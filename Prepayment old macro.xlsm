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workbookProtection workbookPassword="DAA7" lockStructure="1"/>
  <bookViews>
    <workbookView xWindow="480" yWindow="390" windowWidth="19320" windowHeight="6435"/>
  </bookViews>
  <sheets>
    <sheet name="OPERATING EXPENSES" sheetId="1" r:id="rId1"/>
    <sheet name="JOURNAL1" sheetId="5" state="hidden" r:id="rId2"/>
    <sheet name="JOURNAL2" sheetId="6" state="hidden" r:id="rId3"/>
    <sheet name="SCHEDULE" sheetId="4" state="hidden" r:id="rId4"/>
    <sheet name="ERROR LOG" sheetId="3" r:id="rId5"/>
  </sheets>
  <externalReferences>
    <externalReference r:id="rId6"/>
  </externalReferences>
  <definedNames>
    <definedName name="PopCache_MMC_WEBADI_JRN_CURRENCY_CODE" hidden="1">[1]PopCache!$C$1:$C$117</definedName>
    <definedName name="PopCache_MMC_WEBADI_JRN_PROJECT_DFF" hidden="1">[1]PopCache!$D$1:$D$12</definedName>
    <definedName name="_xlnm.Print_Area" localSheetId="0">'OPERATING EXPENSES'!$B$1:$R$20</definedName>
  </definedNames>
  <calcPr calcId="144525"/>
</workbook>
</file>

<file path=xl/calcChain.xml><?xml version="1.0" encoding="utf-8"?>
<calcChain xmlns="http://schemas.openxmlformats.org/spreadsheetml/2006/main">
  <c r="J3" i="1" l="1"/>
  <c r="J8" i="1"/>
  <c r="L3" i="1" l="1"/>
  <c r="L2" i="1"/>
  <c r="L6" i="1" s="1"/>
  <c r="L4" i="1" l="1"/>
  <c r="L5" i="1" s="1"/>
  <c r="J19" i="1" l="1"/>
  <c r="J18" i="1"/>
  <c r="J17" i="1"/>
  <c r="E19" i="1"/>
  <c r="E18" i="1"/>
  <c r="E17" i="1"/>
  <c r="D20" i="1" l="1"/>
  <c r="I20" i="1"/>
  <c r="E12" i="4" l="1"/>
  <c r="C12" i="4"/>
  <c r="C7" i="4"/>
  <c r="F37" i="1" l="1"/>
  <c r="F36" i="1"/>
  <c r="I28" i="1"/>
  <c r="D28" i="1"/>
  <c r="L7" i="1" l="1"/>
  <c r="J24" i="1" s="1"/>
  <c r="J25" i="1" l="1"/>
  <c r="E25" i="1"/>
  <c r="E24" i="1"/>
  <c r="L9" i="1"/>
  <c r="L8" i="1"/>
  <c r="L11" i="1" s="1"/>
  <c r="J26" i="1" l="1"/>
  <c r="E26" i="1"/>
  <c r="L10" i="1"/>
  <c r="L12" i="1" s="1"/>
  <c r="F38" i="1" l="1"/>
  <c r="J27" i="1"/>
  <c r="J28" i="1" s="1"/>
  <c r="J16" i="1"/>
  <c r="J20" i="1" s="1"/>
  <c r="E27" i="1"/>
  <c r="E28" i="1" s="1"/>
  <c r="E16" i="1"/>
  <c r="E20" i="1" s="1"/>
</calcChain>
</file>

<file path=xl/sharedStrings.xml><?xml version="1.0" encoding="utf-8"?>
<sst xmlns="http://schemas.openxmlformats.org/spreadsheetml/2006/main" count="138" uniqueCount="90">
  <si>
    <t>Currency</t>
  </si>
  <si>
    <t/>
  </si>
  <si>
    <t>WACJ</t>
  </si>
  <si>
    <t>USD</t>
  </si>
  <si>
    <t>Vendor Name</t>
  </si>
  <si>
    <t>Invoice Amount</t>
  </si>
  <si>
    <t>MAI</t>
  </si>
  <si>
    <t>Invoice Number</t>
  </si>
  <si>
    <t>Recon Flag Abbreviation</t>
  </si>
  <si>
    <t>Entity</t>
  </si>
  <si>
    <t>Web Centre ID</t>
  </si>
  <si>
    <t>Requested By / User ID</t>
  </si>
  <si>
    <t>US001</t>
  </si>
  <si>
    <t>% Share</t>
  </si>
  <si>
    <t>TOTAL</t>
  </si>
  <si>
    <t>Sr.No.</t>
  </si>
  <si>
    <t>Journal / Batch Name</t>
  </si>
  <si>
    <t>Monthly Amortization Amount</t>
  </si>
  <si>
    <t>Reclass from Expenses to Prepaid</t>
  </si>
  <si>
    <t>Accrual Date / Month</t>
  </si>
  <si>
    <t>RC Code</t>
  </si>
  <si>
    <t>Amount</t>
  </si>
  <si>
    <t>I/C Code</t>
  </si>
  <si>
    <t>Prepaid BS A/c</t>
  </si>
  <si>
    <t>Expenses A/c</t>
  </si>
  <si>
    <t>Service Period From / Amortization Date</t>
  </si>
  <si>
    <t>Service Period To / Amortization End Date</t>
  </si>
  <si>
    <t>Line Description for Amortizn till Accrual Date</t>
  </si>
  <si>
    <t>Line Description for Reclass Tto Prepaid Entry</t>
  </si>
  <si>
    <t>US0450</t>
  </si>
  <si>
    <t>FOR QUICK REVIEW</t>
  </si>
  <si>
    <t>=IF(IF((((YEAR(E8)-YEAR(E6))*12+MONTH(E8)-MONTH(E6))+1)&lt;0,(((YEAR(E8)-YEAR(E6))*12+MONTH(E8)-MONTH(E6))+1)+12,12-K3)&gt;K2,K2,IF((((YEAR(E8)-YEAR(E6))*12+MONTH(E8)-MONTH(E6))+1)&lt;0,(((YEAR(E8)-YEAR(E6))*12+MONTH(E8)-MONTH(E6))+1)+12,IF(K2&gt;12,12,12-K3)))</t>
  </si>
  <si>
    <t>=IF(E6&gt;E8,TEXT(E6,"MMM-YY")&amp;" To "&amp;TEXT(E8+365,"MMM-YY"),TEXT(E6,"MMM-YY")&amp;" To "&amp;TEXT(EDATE(E6,11),"MMM-YY"))</t>
  </si>
  <si>
    <t>MONTHLY AMORTIZATION ENTRY</t>
  </si>
  <si>
    <t>Eligible Amortization Amount (within 1 Year)</t>
  </si>
  <si>
    <t>Balance Amortization Amount for Future (&gt; 1 Year)</t>
  </si>
  <si>
    <t>PREPAID BALANCE SHEET CODING</t>
  </si>
  <si>
    <t>EXPENSES ACCOUNT CODING</t>
  </si>
  <si>
    <t>RECLASS TO PREPAID EXPENSES ENTRY</t>
  </si>
  <si>
    <t>OPERATING EXPENSES RECLASS &amp; AMORTIZATION REQUEST</t>
  </si>
  <si>
    <t>Total No. of Months</t>
  </si>
  <si>
    <t>Eligible Amortization Months for posting (within 1 Year)</t>
  </si>
  <si>
    <t>=((YEAR(E8)+1)-YEAR(E6))*12+MONTH(E8)-MONTH(E6)+1</t>
  </si>
  <si>
    <t>=((YEAR(E8)-YEAR(E6))*12+MONTH(E8)-MONTH(E6)+1)</t>
  </si>
  <si>
    <t>Adjustment Required for Last JE of Amortizn within 1 Year</t>
  </si>
  <si>
    <t>Sr. No.</t>
  </si>
  <si>
    <t>Error Description</t>
  </si>
  <si>
    <t>Journal Name</t>
  </si>
  <si>
    <t>Journal Description</t>
  </si>
  <si>
    <t>Accounting Date</t>
  </si>
  <si>
    <t>Global Account</t>
  </si>
  <si>
    <t>Sub Account</t>
  </si>
  <si>
    <t>Responsibility Center</t>
  </si>
  <si>
    <t>Inter Company</t>
  </si>
  <si>
    <t>Future Use</t>
  </si>
  <si>
    <t>Entered Dr</t>
  </si>
  <si>
    <t>Entered Cr</t>
  </si>
  <si>
    <t>Conversion Type</t>
  </si>
  <si>
    <t>Currency Conversion Date</t>
  </si>
  <si>
    <t>Currency Conversion Rate</t>
  </si>
  <si>
    <t>Line Description</t>
  </si>
  <si>
    <t>Reconciliation Reference</t>
  </si>
  <si>
    <t>Projects Source</t>
  </si>
  <si>
    <t>Project Code</t>
  </si>
  <si>
    <t>Adjustment Required for Last JE of Amortizn (&gt; 1 Year)</t>
  </si>
  <si>
    <t>=IF(E6&gt;E8,L2-(L4+L5),L2-(ABS(L3)+L4+L5))</t>
  </si>
  <si>
    <t>00000</t>
  </si>
  <si>
    <t>Amortization Period</t>
  </si>
  <si>
    <t>From</t>
  </si>
  <si>
    <t>To</t>
  </si>
  <si>
    <t>Amortization Month</t>
  </si>
  <si>
    <t>Accrual Amount</t>
  </si>
  <si>
    <t>Accrual Date</t>
  </si>
  <si>
    <t>Amortization Start Date</t>
  </si>
  <si>
    <t>Months</t>
  </si>
  <si>
    <t>Months remaining</t>
  </si>
  <si>
    <t>Amortization Details</t>
  </si>
  <si>
    <t xml:space="preserve">Current Amortization </t>
  </si>
  <si>
    <t xml:space="preserve">Future Amortization </t>
  </si>
  <si>
    <t>Adjustments</t>
  </si>
  <si>
    <t>Balance</t>
  </si>
  <si>
    <t>Opening Balance</t>
  </si>
  <si>
    <t>Total Amortization</t>
  </si>
  <si>
    <t>Total Adjustments</t>
  </si>
  <si>
    <t>Net Balance</t>
  </si>
  <si>
    <t>ORACLE AMERICA CORPORATION</t>
  </si>
  <si>
    <t>US0451</t>
  </si>
  <si>
    <t>ORACLE AMERICA CORPORATION-42788878</t>
  </si>
  <si>
    <t>Remaining No. of Months for Amortization in Future (&gt; 1Year)</t>
  </si>
  <si>
    <t>=IF(YEAR(E7)&lt;YEAR(E8),"",IF(YEAR(E7)=YEAR(E8),IF(MONTH(E7)&lt;MONTH(E8),"YES","NO"),""))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</si>
</sst>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m"/>
    <numFmt numFmtId="165" formatCode="[$-409]d\-mmm\-yy;@"/>
    <numFmt numFmtId="166" formatCode="[$-409]mmm\-yy;@"/>
    <numFmt numFmtId="167" formatCode="[$-409]mmmm\-yy;@"/>
    <numFmt numFmtId="168" formatCode="0.00_);[Red]\(0.00\)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b/>
      <sz val="11"/>
      <color indexed="10"/>
      <name val="Calibri"/>
      <family val="2"/>
      <scheme val="minor"/>
    </font>
    <font>
      <sz val="11"/>
      <color indexed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.5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.5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0.5"/>
      <color theme="0" tint="-4.9989318521683403E-2"/>
      <name val="Calibri"/>
      <family val="2"/>
      <scheme val="minor"/>
    </font>
    <font>
      <sz val="9"/>
      <color rgb="FF000000"/>
      <name val="Tahoma"/>
      <family val="2"/>
    </font>
    <font>
      <b/>
      <sz val="10"/>
      <name val="Arial"/>
      <family val="2"/>
    </font>
    <font>
      <b/>
      <sz val="13"/>
      <name val="Arial"/>
      <family val="2"/>
    </font>
    <font>
      <u/>
      <sz val="7"/>
      <color indexed="12"/>
      <name val="Arial"/>
      <family val="2"/>
    </font>
    <font>
      <b/>
      <u/>
      <sz val="12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rgb="FF48648C"/>
      <name val="Tahoma"/>
      <family val="2"/>
    </font>
    <font>
      <sz val="10.5"/>
      <color theme="0" tint="-4.9989318521683403E-2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9" tint="0.39997558519241921"/>
      <name val="Arial"/>
      <family val="2"/>
    </font>
    <font>
      <sz val="11"/>
      <color theme="9" tint="0.39997558519241921"/>
      <name val="Calibri"/>
      <family val="2"/>
      <scheme val="minor"/>
    </font>
    <font>
      <b/>
      <sz val="11"/>
      <color theme="9" tint="0.39997558519241921"/>
      <name val="Calibri"/>
      <family val="2"/>
      <scheme val="minor"/>
    </font>
    <font>
      <b/>
      <sz val="9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A3C2D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rgb="FFC9C9CB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 applyNumberFormat="0" applyFill="0" applyBorder="0" applyAlignment="0" applyProtection="0">
      <alignment vertical="top"/>
      <protection locked="0"/>
    </xf>
  </cellStyleXfs>
  <cellXfs count="203">
    <xf numFmtId="0" fontId="0" fillId="0" borderId="0" xfId="0"/>
    <xf numFmtId="0" fontId="0" fillId="2" borderId="0" xfId="0" applyFill="1" applyProtection="1"/>
    <xf numFmtId="0" fontId="0" fillId="2" borderId="0" xfId="0" applyFill="1"/>
    <xf numFmtId="0" fontId="4" fillId="2" borderId="0" xfId="0" applyFont="1" applyFill="1" applyProtection="1"/>
    <xf numFmtId="0" fontId="0" fillId="2" borderId="1" xfId="0" applyFill="1" applyBorder="1"/>
    <xf numFmtId="0" fontId="0" fillId="2" borderId="5" xfId="0" applyFill="1" applyBorder="1"/>
    <xf numFmtId="0" fontId="0" fillId="2" borderId="7" xfId="0" applyFill="1" applyBorder="1"/>
    <xf numFmtId="0" fontId="5" fillId="2" borderId="1" xfId="0" applyNumberFormat="1" applyFont="1" applyFill="1" applyBorder="1" applyAlignment="1" applyProtection="1">
      <alignment horizontal="left"/>
    </xf>
    <xf numFmtId="0" fontId="5" fillId="2" borderId="2" xfId="0" applyNumberFormat="1" applyFont="1" applyFill="1" applyBorder="1" applyAlignment="1" applyProtection="1">
      <alignment horizontal="left"/>
    </xf>
    <xf numFmtId="0" fontId="5" fillId="2" borderId="4" xfId="0" applyNumberFormat="1" applyFont="1" applyFill="1" applyBorder="1" applyAlignment="1" applyProtection="1">
      <alignment horizontal="left"/>
    </xf>
    <xf numFmtId="0" fontId="0" fillId="2" borderId="0" xfId="0" quotePrefix="1" applyFill="1" applyProtection="1"/>
    <xf numFmtId="0" fontId="0" fillId="2" borderId="12" xfId="0" applyFill="1" applyBorder="1"/>
    <xf numFmtId="0" fontId="0" fillId="2" borderId="11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0" xfId="0" quotePrefix="1" applyNumberFormat="1" applyFill="1" applyProtection="1"/>
    <xf numFmtId="0" fontId="2" fillId="2" borderId="0" xfId="0" applyFont="1" applyFill="1" applyProtection="1"/>
    <xf numFmtId="164" fontId="2" fillId="2" borderId="0" xfId="0" applyNumberFormat="1" applyFont="1" applyFill="1" applyProtection="1"/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0" borderId="1" xfId="0" applyBorder="1"/>
    <xf numFmtId="49" fontId="13" fillId="7" borderId="35" xfId="0" applyNumberFormat="1" applyFont="1" applyFill="1" applyBorder="1" applyProtection="1">
      <protection locked="0"/>
    </xf>
    <xf numFmtId="0" fontId="13" fillId="7" borderId="35" xfId="0" applyNumberFormat="1" applyFont="1" applyFill="1" applyBorder="1" applyProtection="1">
      <protection locked="0"/>
    </xf>
    <xf numFmtId="49" fontId="13" fillId="7" borderId="0" xfId="0" applyNumberFormat="1" applyFont="1" applyFill="1" applyBorder="1" applyProtection="1">
      <protection locked="0"/>
    </xf>
    <xf numFmtId="43" fontId="13" fillId="7" borderId="35" xfId="1" applyFont="1" applyFill="1" applyBorder="1" applyProtection="1">
      <protection locked="0"/>
    </xf>
    <xf numFmtId="14" fontId="13" fillId="7" borderId="35" xfId="0" applyNumberFormat="1" applyFont="1" applyFill="1" applyBorder="1" applyProtection="1">
      <protection locked="0"/>
    </xf>
    <xf numFmtId="14" fontId="0" fillId="0" borderId="0" xfId="0" applyNumberFormat="1"/>
    <xf numFmtId="0" fontId="6" fillId="0" borderId="1" xfId="5" applyFill="1" applyBorder="1" applyAlignment="1">
      <alignment horizontal="left" vertical="center"/>
    </xf>
    <xf numFmtId="165" fontId="6" fillId="0" borderId="1" xfId="5" applyNumberFormat="1" applyFont="1" applyFill="1" applyBorder="1" applyAlignment="1" applyProtection="1">
      <protection locked="0"/>
    </xf>
    <xf numFmtId="0" fontId="6" fillId="0" borderId="36" xfId="5" applyFill="1" applyBorder="1" applyAlignment="1">
      <alignment horizontal="left" vertical="center"/>
    </xf>
    <xf numFmtId="166" fontId="6" fillId="0" borderId="36" xfId="5" applyNumberFormat="1" applyFont="1" applyFill="1" applyBorder="1" applyAlignment="1" applyProtection="1">
      <protection locked="0"/>
    </xf>
    <xf numFmtId="166" fontId="6" fillId="0" borderId="6" xfId="5" applyNumberFormat="1" applyFont="1" applyFill="1" applyBorder="1" applyAlignment="1" applyProtection="1">
      <protection locked="0"/>
    </xf>
    <xf numFmtId="0" fontId="6" fillId="0" borderId="6" xfId="5" applyFill="1" applyBorder="1" applyAlignment="1">
      <alignment horizontal="left" vertical="center"/>
    </xf>
    <xf numFmtId="166" fontId="6" fillId="0" borderId="6" xfId="5" applyNumberFormat="1" applyFont="1" applyFill="1" applyBorder="1" applyAlignment="1">
      <alignment horizontal="left" vertical="center"/>
    </xf>
    <xf numFmtId="43" fontId="6" fillId="0" borderId="36" xfId="5" applyNumberFormat="1" applyFont="1" applyFill="1" applyBorder="1" applyProtection="1">
      <protection locked="0"/>
    </xf>
    <xf numFmtId="166" fontId="6" fillId="0" borderId="36" xfId="5" applyNumberFormat="1" applyFont="1" applyFill="1" applyBorder="1" applyAlignment="1">
      <alignment horizontal="left" vertical="center"/>
    </xf>
    <xf numFmtId="0" fontId="6" fillId="0" borderId="36" xfId="5" applyNumberFormat="1" applyFont="1" applyFill="1" applyBorder="1" applyAlignment="1" applyProtection="1">
      <protection locked="0"/>
    </xf>
    <xf numFmtId="0" fontId="6" fillId="0" borderId="3" xfId="5" applyFill="1" applyBorder="1" applyAlignment="1">
      <alignment horizontal="left" vertical="center"/>
    </xf>
    <xf numFmtId="0" fontId="6" fillId="0" borderId="3" xfId="5" applyFill="1" applyBorder="1"/>
    <xf numFmtId="0" fontId="14" fillId="0" borderId="3" xfId="5" applyFont="1" applyFill="1" applyBorder="1" applyAlignment="1">
      <alignment horizontal="center" vertical="center"/>
    </xf>
    <xf numFmtId="0" fontId="14" fillId="0" borderId="3" xfId="5" applyFont="1" applyFill="1" applyBorder="1" applyAlignment="1">
      <alignment horizontal="center" vertical="center" wrapText="1"/>
    </xf>
    <xf numFmtId="0" fontId="6" fillId="0" borderId="12" xfId="5" applyFill="1" applyBorder="1" applyAlignment="1">
      <alignment vertical="center"/>
    </xf>
    <xf numFmtId="0" fontId="6" fillId="0" borderId="6" xfId="5" applyFill="1" applyBorder="1" applyAlignment="1">
      <alignment vertical="center"/>
    </xf>
    <xf numFmtId="0" fontId="6" fillId="0" borderId="7" xfId="5" applyFill="1" applyBorder="1" applyAlignment="1">
      <alignment vertical="center"/>
    </xf>
    <xf numFmtId="0" fontId="14" fillId="0" borderId="37" xfId="5" applyFont="1" applyFill="1" applyBorder="1" applyAlignment="1">
      <alignment vertical="center"/>
    </xf>
    <xf numFmtId="166" fontId="6" fillId="0" borderId="37" xfId="5" applyNumberFormat="1" applyFill="1" applyBorder="1" applyAlignment="1">
      <alignment horizontal="left" vertical="center"/>
    </xf>
    <xf numFmtId="40" fontId="6" fillId="0" borderId="38" xfId="5" applyNumberFormat="1" applyFill="1" applyBorder="1" applyAlignment="1">
      <alignment vertical="center"/>
    </xf>
    <xf numFmtId="0" fontId="6" fillId="0" borderId="37" xfId="5" applyFill="1" applyBorder="1" applyAlignment="1">
      <alignment vertical="center"/>
    </xf>
    <xf numFmtId="40" fontId="6" fillId="0" borderId="36" xfId="5" applyNumberFormat="1" applyFill="1" applyBorder="1" applyAlignment="1">
      <alignment vertical="center"/>
    </xf>
    <xf numFmtId="40" fontId="6" fillId="0" borderId="39" xfId="5" applyNumberFormat="1" applyFill="1" applyBorder="1" applyAlignment="1">
      <alignment vertical="center"/>
    </xf>
    <xf numFmtId="166" fontId="6" fillId="0" borderId="37" xfId="5" applyNumberFormat="1" applyFont="1" applyFill="1" applyBorder="1" applyAlignment="1" applyProtection="1">
      <protection locked="0"/>
    </xf>
    <xf numFmtId="167" fontId="14" fillId="0" borderId="37" xfId="5" applyNumberFormat="1" applyFont="1" applyFill="1" applyBorder="1" applyAlignment="1">
      <alignment vertical="center"/>
    </xf>
    <xf numFmtId="0" fontId="6" fillId="0" borderId="17" xfId="5" applyFill="1" applyBorder="1" applyAlignment="1">
      <alignment vertical="center"/>
    </xf>
    <xf numFmtId="40" fontId="6" fillId="0" borderId="3" xfId="5" applyNumberFormat="1" applyFill="1" applyBorder="1" applyAlignment="1">
      <alignment vertical="center"/>
    </xf>
    <xf numFmtId="40" fontId="6" fillId="0" borderId="19" xfId="5" applyNumberFormat="1" applyFill="1" applyBorder="1" applyAlignment="1">
      <alignment vertical="center"/>
    </xf>
    <xf numFmtId="0" fontId="6" fillId="0" borderId="0" xfId="2"/>
    <xf numFmtId="0" fontId="16" fillId="0" borderId="0" xfId="7" applyFill="1" applyAlignment="1" applyProtection="1"/>
    <xf numFmtId="0" fontId="6" fillId="0" borderId="0" xfId="2" applyFont="1"/>
    <xf numFmtId="0" fontId="2" fillId="0" borderId="0" xfId="2" applyFont="1"/>
    <xf numFmtId="0" fontId="6" fillId="0" borderId="0" xfId="2" quotePrefix="1"/>
    <xf numFmtId="165" fontId="6" fillId="0" borderId="1" xfId="5" applyNumberFormat="1" applyFont="1" applyFill="1" applyBorder="1" applyAlignment="1" applyProtection="1">
      <alignment horizontal="center"/>
      <protection locked="0"/>
    </xf>
    <xf numFmtId="166" fontId="6" fillId="0" borderId="36" xfId="5" applyNumberFormat="1" applyFont="1" applyFill="1" applyBorder="1" applyAlignment="1">
      <alignment horizontal="center" vertical="center"/>
    </xf>
    <xf numFmtId="166" fontId="6" fillId="0" borderId="3" xfId="5" applyNumberFormat="1" applyFont="1" applyFill="1" applyBorder="1" applyAlignment="1">
      <alignment horizontal="center" vertical="center"/>
    </xf>
    <xf numFmtId="0" fontId="0" fillId="2" borderId="0" xfId="0" applyFill="1" applyAlignment="1" applyProtection="1">
      <alignment vertical="center"/>
    </xf>
    <xf numFmtId="0" fontId="0" fillId="2" borderId="0" xfId="0" applyFill="1" applyAlignment="1">
      <alignment vertical="center"/>
    </xf>
    <xf numFmtId="0" fontId="19" fillId="2" borderId="0" xfId="0" applyFont="1" applyFill="1" applyProtection="1"/>
    <xf numFmtId="0" fontId="19" fillId="2" borderId="0" xfId="0" quotePrefix="1" applyNumberFormat="1" applyFont="1" applyFill="1" applyProtection="1"/>
    <xf numFmtId="0" fontId="19" fillId="2" borderId="0" xfId="0" applyFont="1" applyFill="1"/>
    <xf numFmtId="40" fontId="6" fillId="0" borderId="39" xfId="5" quotePrefix="1" applyNumberFormat="1" applyFill="1" applyBorder="1" applyAlignment="1">
      <alignment vertical="center"/>
    </xf>
    <xf numFmtId="0" fontId="14" fillId="0" borderId="0" xfId="2" quotePrefix="1" applyFont="1"/>
    <xf numFmtId="166" fontId="6" fillId="0" borderId="1" xfId="5" applyNumberFormat="1" applyFont="1" applyFill="1" applyBorder="1" applyAlignment="1" applyProtection="1">
      <protection locked="0"/>
    </xf>
    <xf numFmtId="14" fontId="6" fillId="0" borderId="0" xfId="2" applyNumberFormat="1"/>
    <xf numFmtId="14" fontId="14" fillId="0" borderId="37" xfId="5" applyNumberFormat="1" applyFont="1" applyFill="1" applyBorder="1" applyAlignment="1">
      <alignment vertical="center"/>
    </xf>
    <xf numFmtId="168" fontId="14" fillId="0" borderId="37" xfId="5" applyNumberFormat="1" applyFont="1" applyFill="1" applyBorder="1" applyAlignment="1">
      <alignment vertical="center"/>
    </xf>
    <xf numFmtId="168" fontId="6" fillId="0" borderId="1" xfId="5" applyNumberFormat="1" applyFill="1" applyBorder="1" applyAlignment="1">
      <alignment horizontal="left" vertical="center"/>
    </xf>
    <xf numFmtId="168" fontId="6" fillId="0" borderId="36" xfId="5" applyNumberFormat="1" applyFill="1" applyBorder="1" applyAlignment="1">
      <alignment horizontal="left" vertical="center"/>
    </xf>
    <xf numFmtId="168" fontId="6" fillId="0" borderId="6" xfId="5" applyNumberFormat="1" applyFill="1" applyBorder="1" applyAlignment="1">
      <alignment horizontal="left" vertical="center"/>
    </xf>
    <xf numFmtId="168" fontId="6" fillId="0" borderId="3" xfId="5" applyNumberFormat="1" applyFill="1" applyBorder="1" applyAlignment="1">
      <alignment horizontal="left" vertical="center"/>
    </xf>
    <xf numFmtId="168" fontId="14" fillId="0" borderId="3" xfId="5" applyNumberFormat="1" applyFont="1" applyFill="1" applyBorder="1" applyAlignment="1">
      <alignment horizontal="center" vertical="center" wrapText="1"/>
    </xf>
    <xf numFmtId="168" fontId="6" fillId="0" borderId="12" xfId="5" applyNumberFormat="1" applyFill="1" applyBorder="1" applyAlignment="1">
      <alignment vertical="center"/>
    </xf>
    <xf numFmtId="168" fontId="6" fillId="0" borderId="37" xfId="5" applyNumberFormat="1" applyFill="1" applyBorder="1" applyAlignment="1">
      <alignment vertical="center"/>
    </xf>
    <xf numFmtId="168" fontId="6" fillId="0" borderId="17" xfId="5" applyNumberFormat="1" applyFill="1" applyBorder="1" applyAlignment="1">
      <alignment vertical="center"/>
    </xf>
    <xf numFmtId="168" fontId="6" fillId="0" borderId="0" xfId="2" applyNumberFormat="1"/>
    <xf numFmtId="49" fontId="20" fillId="6" borderId="1" xfId="0" applyNumberFormat="1" applyFont="1" applyFill="1" applyBorder="1" applyAlignment="1" applyProtection="1">
      <alignment horizontal="center" vertical="center"/>
    </xf>
    <xf numFmtId="14" fontId="20" fillId="6" borderId="1" xfId="0" applyNumberFormat="1" applyFont="1" applyFill="1" applyBorder="1" applyAlignment="1" applyProtection="1">
      <alignment horizontal="center" vertical="center" wrapText="1"/>
    </xf>
    <xf numFmtId="49" fontId="20" fillId="6" borderId="1" xfId="0" applyNumberFormat="1" applyFont="1" applyFill="1" applyBorder="1" applyAlignment="1" applyProtection="1">
      <alignment horizontal="center" vertical="center" wrapText="1"/>
    </xf>
    <xf numFmtId="0" fontId="0" fillId="0" borderId="0" xfId="0" applyFont="1"/>
    <xf numFmtId="14" fontId="0" fillId="0" borderId="0" xfId="0" applyNumberFormat="1" applyFont="1"/>
    <xf numFmtId="0" fontId="0" fillId="2" borderId="3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alignment horizontal="center"/>
      <protection locked="0"/>
    </xf>
    <xf numFmtId="0" fontId="3" fillId="3" borderId="23" xfId="0" applyFont="1" applyFill="1" applyBorder="1" applyAlignment="1" applyProtection="1">
      <alignment horizontal="center"/>
      <protection hidden="1"/>
    </xf>
    <xf numFmtId="0" fontId="3" fillId="3" borderId="24" xfId="0" applyFont="1" applyFill="1" applyBorder="1" applyAlignment="1" applyProtection="1">
      <alignment horizontal="center"/>
      <protection hidden="1"/>
    </xf>
    <xf numFmtId="0" fontId="3" fillId="3" borderId="25" xfId="0" applyFont="1" applyFill="1" applyBorder="1" applyAlignment="1" applyProtection="1">
      <alignment horizontal="center"/>
      <protection hidden="1"/>
    </xf>
    <xf numFmtId="0" fontId="0" fillId="4" borderId="8" xfId="0" applyFill="1" applyBorder="1" applyAlignment="1" applyProtection="1">
      <alignment horizontal="center"/>
      <protection hidden="1"/>
    </xf>
    <xf numFmtId="0" fontId="0" fillId="4" borderId="19" xfId="0" applyFill="1" applyBorder="1" applyAlignment="1" applyProtection="1">
      <alignment horizontal="center"/>
      <protection hidden="1"/>
    </xf>
    <xf numFmtId="0" fontId="0" fillId="4" borderId="10" xfId="0" applyFill="1" applyBorder="1" applyAlignment="1" applyProtection="1">
      <alignment horizontal="center"/>
      <protection hidden="1"/>
    </xf>
    <xf numFmtId="0" fontId="0" fillId="4" borderId="5" xfId="0" applyFill="1" applyBorder="1" applyAlignment="1" applyProtection="1">
      <alignment horizontal="center"/>
      <protection hidden="1"/>
    </xf>
    <xf numFmtId="43" fontId="0" fillId="4" borderId="13" xfId="1" applyFont="1" applyFill="1" applyBorder="1" applyProtection="1">
      <protection hidden="1"/>
    </xf>
    <xf numFmtId="0" fontId="2" fillId="4" borderId="14" xfId="0" applyFont="1" applyFill="1" applyBorder="1" applyAlignment="1" applyProtection="1">
      <alignment horizontal="center"/>
      <protection hidden="1"/>
    </xf>
    <xf numFmtId="0" fontId="2" fillId="4" borderId="14" xfId="0" applyFont="1" applyFill="1" applyBorder="1" applyProtection="1">
      <protection hidden="1"/>
    </xf>
    <xf numFmtId="0" fontId="2" fillId="4" borderId="15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3" fillId="3" borderId="20" xfId="0" applyFont="1" applyFill="1" applyBorder="1" applyAlignment="1" applyProtection="1">
      <alignment horizontal="center"/>
      <protection hidden="1"/>
    </xf>
    <xf numFmtId="0" fontId="3" fillId="3" borderId="21" xfId="0" applyFont="1" applyFill="1" applyBorder="1" applyAlignment="1" applyProtection="1">
      <alignment horizontal="center"/>
      <protection hidden="1"/>
    </xf>
    <xf numFmtId="0" fontId="3" fillId="3" borderId="22" xfId="0" applyFont="1" applyFill="1" applyBorder="1" applyAlignment="1" applyProtection="1">
      <alignment horizontal="center"/>
      <protection hidden="1"/>
    </xf>
    <xf numFmtId="41" fontId="0" fillId="4" borderId="8" xfId="1" applyNumberFormat="1" applyFont="1" applyFill="1" applyBorder="1" applyProtection="1">
      <protection hidden="1"/>
    </xf>
    <xf numFmtId="0" fontId="0" fillId="4" borderId="19" xfId="0" applyFill="1" applyBorder="1" applyProtection="1">
      <protection hidden="1"/>
    </xf>
    <xf numFmtId="41" fontId="0" fillId="4" borderId="10" xfId="1" applyNumberFormat="1" applyFont="1" applyFill="1" applyBorder="1" applyProtection="1">
      <protection hidden="1"/>
    </xf>
    <xf numFmtId="0" fontId="0" fillId="4" borderId="5" xfId="0" applyFill="1" applyBorder="1" applyProtection="1">
      <protection hidden="1"/>
    </xf>
    <xf numFmtId="0" fontId="2" fillId="4" borderId="15" xfId="0" applyFont="1" applyFill="1" applyBorder="1" applyProtection="1">
      <protection hidden="1"/>
    </xf>
    <xf numFmtId="0" fontId="2" fillId="0" borderId="1" xfId="0" applyFont="1" applyBorder="1" applyAlignment="1" applyProtection="1">
      <alignment horizontal="center"/>
    </xf>
    <xf numFmtId="0" fontId="8" fillId="5" borderId="29" xfId="0" applyFont="1" applyFill="1" applyBorder="1" applyProtection="1">
      <protection hidden="1"/>
    </xf>
    <xf numFmtId="0" fontId="8" fillId="5" borderId="33" xfId="0" applyFont="1" applyFill="1" applyBorder="1" applyProtection="1">
      <protection hidden="1"/>
    </xf>
    <xf numFmtId="0" fontId="8" fillId="5" borderId="28" xfId="0" applyFont="1" applyFill="1" applyBorder="1" applyProtection="1">
      <protection hidden="1"/>
    </xf>
    <xf numFmtId="0" fontId="12" fillId="5" borderId="31" xfId="0" applyFont="1" applyFill="1" applyBorder="1" applyAlignment="1" applyProtection="1">
      <alignment vertical="top"/>
      <protection hidden="1"/>
    </xf>
    <xf numFmtId="0" fontId="12" fillId="5" borderId="27" xfId="0" applyFont="1" applyFill="1" applyBorder="1" applyAlignment="1" applyProtection="1">
      <alignment vertical="top"/>
      <protection hidden="1"/>
    </xf>
    <xf numFmtId="0" fontId="8" fillId="5" borderId="45" xfId="0" applyFont="1" applyFill="1" applyBorder="1" applyProtection="1">
      <protection hidden="1"/>
    </xf>
    <xf numFmtId="0" fontId="19" fillId="2" borderId="0" xfId="0" applyFont="1" applyFill="1" applyBorder="1" applyAlignment="1" applyProtection="1">
      <alignment horizontal="center"/>
      <protection locked="0"/>
    </xf>
    <xf numFmtId="2" fontId="19" fillId="2" borderId="0" xfId="0" applyNumberFormat="1" applyFont="1" applyFill="1" applyProtection="1">
      <protection locked="0"/>
    </xf>
    <xf numFmtId="0" fontId="0" fillId="2" borderId="0" xfId="0" applyFill="1" applyAlignment="1" applyProtection="1">
      <alignment horizontal="left"/>
      <protection locked="0"/>
    </xf>
    <xf numFmtId="2" fontId="0" fillId="2" borderId="0" xfId="0" quotePrefix="1" applyNumberFormat="1" applyFill="1" applyProtection="1">
      <protection locked="0"/>
    </xf>
    <xf numFmtId="0" fontId="0" fillId="2" borderId="0" xfId="0" quotePrefix="1" applyFill="1" applyProtection="1"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0" xfId="0" quotePrefix="1" applyNumberFormat="1" applyFill="1" applyBorder="1" applyAlignment="1" applyProtection="1">
      <alignment vertical="center"/>
      <protection locked="0"/>
    </xf>
    <xf numFmtId="0" fontId="2" fillId="2" borderId="0" xfId="0" applyFont="1" applyFill="1" applyBorder="1" applyProtection="1">
      <protection locked="0"/>
    </xf>
    <xf numFmtId="0" fontId="0" fillId="2" borderId="0" xfId="0" applyFill="1" applyProtection="1">
      <protection locked="0"/>
    </xf>
    <xf numFmtId="0" fontId="0" fillId="2" borderId="0" xfId="0" applyNumberFormat="1" applyFill="1" applyProtection="1">
      <protection locked="0"/>
    </xf>
    <xf numFmtId="0" fontId="0" fillId="2" borderId="0" xfId="0" applyFill="1" applyBorder="1" applyProtection="1">
      <protection locked="0"/>
    </xf>
    <xf numFmtId="0" fontId="0" fillId="2" borderId="0" xfId="0" applyFill="1" applyBorder="1" applyAlignment="1" applyProtection="1">
      <alignment vertical="center"/>
      <protection locked="0"/>
    </xf>
    <xf numFmtId="0" fontId="0" fillId="2" borderId="0" xfId="0" applyFill="1" applyAlignment="1" applyProtection="1">
      <alignment vertical="center"/>
      <protection locked="0"/>
    </xf>
    <xf numFmtId="0" fontId="2" fillId="5" borderId="43" xfId="0" applyFont="1" applyFill="1" applyBorder="1" applyAlignment="1" applyProtection="1">
      <alignment horizontal="right"/>
      <protection hidden="1"/>
    </xf>
    <xf numFmtId="0" fontId="2" fillId="5" borderId="30" xfId="0" applyFont="1" applyFill="1" applyBorder="1" applyAlignment="1" applyProtection="1">
      <alignment horizontal="right"/>
      <protection hidden="1"/>
    </xf>
    <xf numFmtId="0" fontId="22" fillId="5" borderId="32" xfId="0" applyFont="1" applyFill="1" applyBorder="1" applyAlignment="1" applyProtection="1">
      <alignment horizontal="right"/>
      <protection hidden="1"/>
    </xf>
    <xf numFmtId="0" fontId="22" fillId="5" borderId="43" xfId="0" applyFont="1" applyFill="1" applyBorder="1" applyAlignment="1" applyProtection="1">
      <alignment horizontal="right"/>
      <protection hidden="1"/>
    </xf>
    <xf numFmtId="0" fontId="22" fillId="5" borderId="30" xfId="0" applyFont="1" applyFill="1" applyBorder="1" applyAlignment="1" applyProtection="1">
      <alignment horizontal="right"/>
      <protection hidden="1"/>
    </xf>
    <xf numFmtId="0" fontId="25" fillId="5" borderId="30" xfId="0" applyFont="1" applyFill="1" applyBorder="1" applyProtection="1">
      <protection hidden="1"/>
    </xf>
    <xf numFmtId="2" fontId="25" fillId="5" borderId="32" xfId="0" applyNumberFormat="1" applyFont="1" applyFill="1" applyBorder="1" applyProtection="1">
      <protection hidden="1"/>
    </xf>
    <xf numFmtId="2" fontId="25" fillId="5" borderId="40" xfId="0" applyNumberFormat="1" applyFont="1" applyFill="1" applyBorder="1" applyProtection="1">
      <protection hidden="1"/>
    </xf>
    <xf numFmtId="0" fontId="0" fillId="2" borderId="0" xfId="0" quotePrefix="1" applyFill="1" applyBorder="1" applyAlignment="1" applyProtection="1">
      <alignment horizontal="center" vertical="center"/>
      <protection locked="0"/>
    </xf>
    <xf numFmtId="0" fontId="2" fillId="2" borderId="0" xfId="0" quotePrefix="1" applyFont="1" applyFill="1" applyBorder="1" applyAlignment="1" applyProtection="1">
      <alignment horizontal="left"/>
      <protection locked="0"/>
    </xf>
    <xf numFmtId="0" fontId="0" fillId="2" borderId="0" xfId="0" quotePrefix="1" applyFill="1" applyBorder="1" applyAlignment="1" applyProtection="1">
      <alignment horizontal="left"/>
      <protection locked="0"/>
    </xf>
    <xf numFmtId="0" fontId="12" fillId="5" borderId="31" xfId="0" applyFont="1" applyFill="1" applyBorder="1" applyAlignment="1" applyProtection="1">
      <alignment vertical="top"/>
      <protection hidden="1"/>
    </xf>
    <xf numFmtId="0" fontId="12" fillId="5" borderId="34" xfId="0" applyFont="1" applyFill="1" applyBorder="1" applyAlignment="1" applyProtection="1">
      <alignment vertical="top"/>
      <protection hidden="1"/>
    </xf>
    <xf numFmtId="0" fontId="12" fillId="5" borderId="44" xfId="0" applyFont="1" applyFill="1" applyBorder="1" applyAlignment="1" applyProtection="1">
      <alignment vertical="top"/>
      <protection hidden="1"/>
    </xf>
    <xf numFmtId="2" fontId="2" fillId="4" borderId="26" xfId="0" applyNumberFormat="1" applyFont="1" applyFill="1" applyBorder="1" applyProtection="1">
      <protection hidden="1"/>
    </xf>
    <xf numFmtId="2" fontId="25" fillId="5" borderId="30" xfId="0" applyNumberFormat="1" applyFont="1" applyFill="1" applyBorder="1" applyProtection="1">
      <protection hidden="1"/>
    </xf>
    <xf numFmtId="2" fontId="2" fillId="4" borderId="16" xfId="0" applyNumberFormat="1" applyFont="1" applyFill="1" applyBorder="1" applyProtection="1">
      <protection hidden="1"/>
    </xf>
    <xf numFmtId="2" fontId="25" fillId="5" borderId="43" xfId="0" applyNumberFormat="1" applyFont="1" applyFill="1" applyBorder="1" applyProtection="1">
      <protection hidden="1"/>
    </xf>
    <xf numFmtId="0" fontId="2" fillId="5" borderId="46" xfId="0" applyFont="1" applyFill="1" applyBorder="1" applyAlignment="1" applyProtection="1">
      <alignment horizontal="right"/>
      <protection hidden="1"/>
    </xf>
    <xf numFmtId="0" fontId="12" fillId="5" borderId="47" xfId="0" applyFont="1" applyFill="1" applyBorder="1" applyAlignment="1" applyProtection="1">
      <alignment vertical="top"/>
      <protection hidden="1"/>
    </xf>
    <xf numFmtId="0" fontId="8" fillId="5" borderId="48" xfId="0" applyFont="1" applyFill="1" applyBorder="1" applyProtection="1">
      <protection hidden="1"/>
    </xf>
    <xf numFmtId="0" fontId="25" fillId="5" borderId="46" xfId="0" applyFont="1" applyFill="1" applyBorder="1" applyProtection="1">
      <protection hidden="1"/>
    </xf>
    <xf numFmtId="0" fontId="2" fillId="5" borderId="40" xfId="0" applyFont="1" applyFill="1" applyBorder="1" applyAlignment="1" applyProtection="1">
      <alignment horizontal="right"/>
      <protection hidden="1"/>
    </xf>
    <xf numFmtId="0" fontId="25" fillId="5" borderId="40" xfId="0" quotePrefix="1" applyFont="1" applyFill="1" applyBorder="1" applyAlignment="1" applyProtection="1">
      <alignment horizontal="right"/>
      <protection hidden="1"/>
    </xf>
    <xf numFmtId="0" fontId="2" fillId="5" borderId="32" xfId="0" applyFont="1" applyFill="1" applyBorder="1" applyAlignment="1" applyProtection="1">
      <alignment horizontal="right"/>
      <protection hidden="1"/>
    </xf>
    <xf numFmtId="0" fontId="2" fillId="5" borderId="46" xfId="0" applyNumberFormat="1" applyFont="1" applyFill="1" applyBorder="1" applyAlignment="1" applyProtection="1">
      <alignment horizontal="right"/>
      <protection hidden="1"/>
    </xf>
    <xf numFmtId="0" fontId="12" fillId="5" borderId="49" xfId="0" applyFont="1" applyFill="1" applyBorder="1" applyAlignment="1" applyProtection="1">
      <alignment vertical="top"/>
      <protection hidden="1"/>
    </xf>
    <xf numFmtId="0" fontId="8" fillId="5" borderId="50" xfId="0" applyFont="1" applyFill="1" applyBorder="1" applyProtection="1">
      <protection hidden="1"/>
    </xf>
    <xf numFmtId="2" fontId="25" fillId="5" borderId="51" xfId="0" applyNumberFormat="1" applyFont="1" applyFill="1" applyBorder="1" applyProtection="1">
      <protection hidden="1"/>
    </xf>
    <xf numFmtId="0" fontId="2" fillId="5" borderId="40" xfId="0" applyNumberFormat="1" applyFont="1" applyFill="1" applyBorder="1" applyAlignment="1" applyProtection="1">
      <alignment horizontal="right"/>
      <protection hidden="1"/>
    </xf>
    <xf numFmtId="0" fontId="17" fillId="4" borderId="23" xfId="0" applyNumberFormat="1" applyFont="1" applyFill="1" applyBorder="1" applyAlignment="1" applyProtection="1">
      <alignment horizontal="center" vertical="center"/>
      <protection hidden="1"/>
    </xf>
    <xf numFmtId="0" fontId="18" fillId="4" borderId="24" xfId="0" applyFont="1" applyFill="1" applyBorder="1" applyAlignment="1" applyProtection="1">
      <alignment horizontal="center" vertical="center"/>
      <protection hidden="1"/>
    </xf>
    <xf numFmtId="0" fontId="18" fillId="4" borderId="25" xfId="0" applyFont="1" applyFill="1" applyBorder="1" applyAlignment="1" applyProtection="1">
      <alignment horizontal="center" vertical="center"/>
      <protection hidden="1"/>
    </xf>
    <xf numFmtId="0" fontId="9" fillId="4" borderId="20" xfId="0" applyNumberFormat="1" applyFont="1" applyFill="1" applyBorder="1" applyAlignment="1" applyProtection="1">
      <alignment horizontal="center" vertical="center"/>
      <protection hidden="1"/>
    </xf>
    <xf numFmtId="0" fontId="0" fillId="4" borderId="21" xfId="0" applyFont="1" applyFill="1" applyBorder="1" applyAlignment="1" applyProtection="1">
      <alignment horizontal="center" vertical="center"/>
      <protection hidden="1"/>
    </xf>
    <xf numFmtId="0" fontId="0" fillId="4" borderId="41" xfId="0" applyFont="1" applyFill="1" applyBorder="1" applyAlignment="1" applyProtection="1">
      <alignment horizontal="center" vertical="center"/>
      <protection hidden="1"/>
    </xf>
    <xf numFmtId="0" fontId="9" fillId="4" borderId="42" xfId="0" applyNumberFormat="1" applyFont="1" applyFill="1" applyBorder="1" applyAlignment="1" applyProtection="1">
      <alignment horizontal="center" vertical="center"/>
      <protection hidden="1"/>
    </xf>
    <xf numFmtId="0" fontId="0" fillId="4" borderId="22" xfId="0" applyFont="1" applyFill="1" applyBorder="1" applyAlignment="1" applyProtection="1">
      <alignment horizontal="center" vertical="center"/>
      <protection hidden="1"/>
    </xf>
    <xf numFmtId="0" fontId="12" fillId="5" borderId="31" xfId="0" applyFont="1" applyFill="1" applyBorder="1" applyAlignment="1" applyProtection="1">
      <alignment vertical="top"/>
      <protection hidden="1"/>
    </xf>
    <xf numFmtId="0" fontId="21" fillId="5" borderId="4" xfId="0" applyFont="1" applyFill="1" applyBorder="1" applyAlignment="1" applyProtection="1">
      <alignment vertical="top"/>
      <protection hidden="1"/>
    </xf>
    <xf numFmtId="0" fontId="21" fillId="5" borderId="29" xfId="0" applyFont="1" applyFill="1" applyBorder="1" applyAlignment="1" applyProtection="1">
      <alignment vertical="top"/>
      <protection hidden="1"/>
    </xf>
    <xf numFmtId="0" fontId="12" fillId="5" borderId="34" xfId="0" applyFont="1" applyFill="1" applyBorder="1" applyAlignment="1" applyProtection="1">
      <alignment vertical="top"/>
      <protection hidden="1"/>
    </xf>
    <xf numFmtId="0" fontId="21" fillId="5" borderId="11" xfId="0" applyFont="1" applyFill="1" applyBorder="1" applyAlignment="1" applyProtection="1">
      <alignment vertical="top"/>
      <protection hidden="1"/>
    </xf>
    <xf numFmtId="0" fontId="21" fillId="5" borderId="33" xfId="0" applyFont="1" applyFill="1" applyBorder="1" applyAlignment="1" applyProtection="1">
      <alignment vertical="top"/>
      <protection hidden="1"/>
    </xf>
    <xf numFmtId="0" fontId="10" fillId="2" borderId="19" xfId="0" applyNumberFormat="1" applyFont="1" applyFill="1" applyBorder="1" applyAlignment="1" applyProtection="1">
      <alignment horizontal="left" vertical="center"/>
      <protection locked="0"/>
    </xf>
    <xf numFmtId="0" fontId="10" fillId="2" borderId="3" xfId="0" applyNumberFormat="1" applyFont="1" applyFill="1" applyBorder="1" applyAlignment="1" applyProtection="1">
      <alignment horizontal="left" vertical="center"/>
      <protection locked="0"/>
    </xf>
    <xf numFmtId="0" fontId="11" fillId="0" borderId="3" xfId="0" applyFont="1" applyBorder="1" applyAlignment="1" applyProtection="1">
      <alignment horizontal="left" vertical="center"/>
      <protection locked="0"/>
    </xf>
    <xf numFmtId="0" fontId="11" fillId="0" borderId="26" xfId="0" applyFont="1" applyBorder="1" applyAlignment="1" applyProtection="1">
      <alignment horizontal="left" vertical="center"/>
      <protection locked="0"/>
    </xf>
    <xf numFmtId="0" fontId="7" fillId="2" borderId="5" xfId="0" applyNumberFormat="1" applyFont="1" applyFill="1" applyBorder="1" applyAlignment="1" applyProtection="1">
      <alignment horizontal="left" vertical="center"/>
      <protection locked="0"/>
    </xf>
    <xf numFmtId="0" fontId="7" fillId="2" borderId="1" xfId="0" applyNumberFormat="1" applyFont="1" applyFill="1" applyBorder="1" applyAlignment="1" applyProtection="1">
      <alignment horizontal="left" vertical="center"/>
      <protection locked="0"/>
    </xf>
    <xf numFmtId="0" fontId="0" fillId="0" borderId="1" xfId="0" applyFont="1" applyBorder="1" applyAlignment="1" applyProtection="1">
      <alignment horizontal="left" vertical="center"/>
      <protection locked="0"/>
    </xf>
    <xf numFmtId="0" fontId="0" fillId="0" borderId="9" xfId="0" applyFont="1" applyBorder="1" applyAlignment="1" applyProtection="1">
      <alignment horizontal="left" vertical="center"/>
      <protection locked="0"/>
    </xf>
    <xf numFmtId="0" fontId="7" fillId="2" borderId="4" xfId="0" applyNumberFormat="1" applyFont="1" applyFill="1" applyBorder="1" applyAlignment="1" applyProtection="1">
      <alignment horizontal="left" vertical="center"/>
      <protection locked="0"/>
    </xf>
    <xf numFmtId="0" fontId="0" fillId="0" borderId="4" xfId="0" applyFont="1" applyBorder="1" applyAlignment="1" applyProtection="1">
      <alignment horizontal="left" vertical="center"/>
      <protection locked="0"/>
    </xf>
    <xf numFmtId="0" fontId="0" fillId="0" borderId="29" xfId="0" applyFont="1" applyBorder="1" applyAlignment="1" applyProtection="1">
      <alignment horizontal="left" vertical="center"/>
      <protection locked="0"/>
    </xf>
    <xf numFmtId="0" fontId="7" fillId="2" borderId="11" xfId="0" applyNumberFormat="1" applyFont="1" applyFill="1" applyBorder="1" applyAlignment="1" applyProtection="1">
      <alignment horizontal="left" vertical="center"/>
      <protection locked="0"/>
    </xf>
    <xf numFmtId="0" fontId="0" fillId="0" borderId="11" xfId="0" applyFont="1" applyBorder="1" applyAlignment="1" applyProtection="1">
      <alignment horizontal="left" vertical="center"/>
      <protection locked="0"/>
    </xf>
    <xf numFmtId="0" fontId="0" fillId="0" borderId="33" xfId="0" applyFont="1" applyBorder="1" applyAlignment="1" applyProtection="1">
      <alignment horizontal="left" vertical="center"/>
      <protection locked="0"/>
    </xf>
    <xf numFmtId="0" fontId="12" fillId="5" borderId="44" xfId="0" applyFont="1" applyFill="1" applyBorder="1" applyAlignment="1" applyProtection="1">
      <alignment vertical="top"/>
      <protection hidden="1"/>
    </xf>
    <xf numFmtId="0" fontId="21" fillId="5" borderId="18" xfId="0" applyFont="1" applyFill="1" applyBorder="1" applyAlignment="1" applyProtection="1">
      <alignment vertical="top"/>
      <protection hidden="1"/>
    </xf>
    <xf numFmtId="0" fontId="21" fillId="5" borderId="45" xfId="0" applyFont="1" applyFill="1" applyBorder="1" applyAlignment="1" applyProtection="1">
      <alignment vertical="top"/>
      <protection hidden="1"/>
    </xf>
    <xf numFmtId="14" fontId="7" fillId="2" borderId="5" xfId="0" applyNumberFormat="1" applyFont="1" applyFill="1" applyBorder="1" applyAlignment="1" applyProtection="1">
      <alignment horizontal="left" vertical="center"/>
      <protection locked="0"/>
    </xf>
    <xf numFmtId="14" fontId="7" fillId="2" borderId="1" xfId="0" applyNumberFormat="1" applyFont="1" applyFill="1" applyBorder="1" applyAlignment="1" applyProtection="1">
      <alignment horizontal="left" vertical="center"/>
      <protection locked="0"/>
    </xf>
    <xf numFmtId="0" fontId="23" fillId="8" borderId="23" xfId="0" applyFont="1" applyFill="1" applyBorder="1" applyAlignment="1" applyProtection="1">
      <alignment horizontal="center" vertical="center"/>
      <protection hidden="1"/>
    </xf>
    <xf numFmtId="0" fontId="24" fillId="8" borderId="24" xfId="0" applyFont="1" applyFill="1" applyBorder="1" applyAlignment="1" applyProtection="1">
      <alignment horizontal="center" vertical="center"/>
      <protection hidden="1"/>
    </xf>
    <xf numFmtId="0" fontId="24" fillId="8" borderId="25" xfId="0" applyFont="1" applyFill="1" applyBorder="1" applyAlignment="1" applyProtection="1">
      <alignment horizontal="center" vertical="center"/>
      <protection hidden="1"/>
    </xf>
    <xf numFmtId="0" fontId="15" fillId="0" borderId="1" xfId="6" quotePrefix="1" applyFont="1" applyFill="1" applyBorder="1" applyAlignment="1">
      <alignment horizontal="center" vertical="center"/>
    </xf>
    <xf numFmtId="0" fontId="15" fillId="0" borderId="1" xfId="6" applyFont="1" applyFill="1" applyBorder="1" applyAlignment="1">
      <alignment horizontal="center" vertical="center"/>
    </xf>
  </cellXfs>
  <cellStyles count="8">
    <cellStyle name="Comma" xfId="1" builtinId="3"/>
    <cellStyle name="Currency 2" xfId="3"/>
    <cellStyle name="Hyperlink" xfId="7" builtinId="8"/>
    <cellStyle name="Normal" xfId="0" builtinId="0"/>
    <cellStyle name="Normal 2" xfId="2"/>
    <cellStyle name="Normal 2 2" xfId="5"/>
    <cellStyle name="Normal_Sample" xfId="6"/>
    <cellStyle name="Percent 2" xfId="4"/>
  </cellStyles>
  <dxfs count="2"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352425</xdr:colOff>
          <xdr:row>29</xdr:row>
          <xdr:rowOff>85725</xdr:rowOff>
        </xdr:from>
        <xdr:to>
          <xdr:col>8</xdr:col>
          <xdr:colOff>0</xdr:colOff>
          <xdr:row>30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</a:rPr>
                <a:t>CLEAR WORKSHEET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29</xdr:row>
          <xdr:rowOff>76200</xdr:rowOff>
        </xdr:from>
        <xdr:to>
          <xdr:col>4</xdr:col>
          <xdr:colOff>733425</xdr:colOff>
          <xdr:row>30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Calibri"/>
                </a:rPr>
                <a:t>PREPARE JOURNALS  &amp;  SCHEDULE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mannalda\Local%20Settings\Temporary%20Internet%20Files\Content.Outlook\Q9RAV3TI\1897805-1897833-14774-US001-AST-PREPAID%20RECLASS-2014-12-WACJ%20(Op%20%20Exp%20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pCache"/>
      <sheetName val="BneLog"/>
      <sheetName val="BneWorkBookProperties"/>
      <sheetName val="Sheet1"/>
      <sheetName val="BACKUP"/>
    </sheetNames>
    <sheetDataSet>
      <sheetData sheetId="0">
        <row r="1">
          <cell r="C1" t="str">
            <v>AED</v>
          </cell>
          <cell r="D1" t="str">
            <v>Beeline</v>
          </cell>
        </row>
        <row r="2">
          <cell r="C2" t="str">
            <v>ANG</v>
          </cell>
          <cell r="D2" t="str">
            <v>CANSYS/BASYS</v>
          </cell>
        </row>
        <row r="3">
          <cell r="C3" t="str">
            <v>ARS</v>
          </cell>
          <cell r="D3" t="str">
            <v>CONVERSION</v>
          </cell>
        </row>
        <row r="4">
          <cell r="C4" t="str">
            <v>AUD</v>
          </cell>
          <cell r="D4" t="str">
            <v>Default</v>
          </cell>
        </row>
        <row r="5">
          <cell r="C5" t="str">
            <v>AWG</v>
          </cell>
          <cell r="D5" t="str">
            <v>ELITE</v>
          </cell>
        </row>
        <row r="6">
          <cell r="C6" t="str">
            <v>AZN</v>
          </cell>
          <cell r="D6" t="str">
            <v>Enterprise Repository</v>
          </cell>
        </row>
        <row r="7">
          <cell r="C7" t="str">
            <v>BBD</v>
          </cell>
          <cell r="D7" t="str">
            <v>GCMS</v>
          </cell>
        </row>
        <row r="8">
          <cell r="C8" t="str">
            <v>BGL</v>
          </cell>
          <cell r="D8" t="str">
            <v>HP-PPM</v>
          </cell>
        </row>
        <row r="9">
          <cell r="C9" t="str">
            <v>BGN</v>
          </cell>
          <cell r="D9" t="str">
            <v>Other</v>
          </cell>
        </row>
        <row r="10">
          <cell r="C10" t="str">
            <v>BHD</v>
          </cell>
          <cell r="D10" t="str">
            <v>Primavera/Sequentra</v>
          </cell>
        </row>
        <row r="11">
          <cell r="C11" t="str">
            <v>BIF</v>
          </cell>
          <cell r="D11" t="str">
            <v>VOSCO</v>
          </cell>
        </row>
        <row r="12">
          <cell r="C12" t="str">
            <v>BMD</v>
          </cell>
          <cell r="D12" t="str">
            <v>Versaic</v>
          </cell>
        </row>
        <row r="13">
          <cell r="C13" t="str">
            <v>BND</v>
          </cell>
        </row>
        <row r="14">
          <cell r="C14" t="str">
            <v>BOB</v>
          </cell>
        </row>
        <row r="15">
          <cell r="C15" t="str">
            <v>BRL</v>
          </cell>
        </row>
        <row r="16">
          <cell r="C16" t="str">
            <v>BSD</v>
          </cell>
        </row>
        <row r="17">
          <cell r="C17" t="str">
            <v>BWP</v>
          </cell>
        </row>
        <row r="18">
          <cell r="C18" t="str">
            <v>BZD</v>
          </cell>
        </row>
        <row r="19">
          <cell r="C19" t="str">
            <v>CAD</v>
          </cell>
        </row>
        <row r="20">
          <cell r="C20" t="str">
            <v>CHF</v>
          </cell>
        </row>
        <row r="21">
          <cell r="C21" t="str">
            <v>CLF</v>
          </cell>
        </row>
        <row r="22">
          <cell r="C22" t="str">
            <v>CLP</v>
          </cell>
        </row>
        <row r="23">
          <cell r="C23" t="str">
            <v>CNY</v>
          </cell>
        </row>
        <row r="24">
          <cell r="C24" t="str">
            <v>COP</v>
          </cell>
        </row>
        <row r="25">
          <cell r="C25" t="str">
            <v>CVE</v>
          </cell>
        </row>
        <row r="26">
          <cell r="C26" t="str">
            <v>CZK</v>
          </cell>
        </row>
        <row r="27">
          <cell r="C27" t="str">
            <v>DKK</v>
          </cell>
        </row>
        <row r="28">
          <cell r="C28" t="str">
            <v>DOP</v>
          </cell>
        </row>
        <row r="29">
          <cell r="C29" t="str">
            <v>DZD</v>
          </cell>
        </row>
        <row r="30">
          <cell r="C30" t="str">
            <v>EEK</v>
          </cell>
        </row>
        <row r="31">
          <cell r="C31" t="str">
            <v>EGP</v>
          </cell>
        </row>
        <row r="32">
          <cell r="C32" t="str">
            <v>ETB</v>
          </cell>
        </row>
        <row r="33">
          <cell r="C33" t="str">
            <v>EUR</v>
          </cell>
        </row>
        <row r="34">
          <cell r="C34" t="str">
            <v>FJD</v>
          </cell>
        </row>
        <row r="35">
          <cell r="C35" t="str">
            <v>GBP</v>
          </cell>
        </row>
        <row r="36">
          <cell r="C36" t="str">
            <v>GNF</v>
          </cell>
        </row>
        <row r="37">
          <cell r="C37" t="str">
            <v>GTQ</v>
          </cell>
        </row>
        <row r="38">
          <cell r="C38" t="str">
            <v>HKD</v>
          </cell>
        </row>
        <row r="39">
          <cell r="C39" t="str">
            <v>HNL</v>
          </cell>
        </row>
        <row r="40">
          <cell r="C40" t="str">
            <v>HRK</v>
          </cell>
        </row>
        <row r="41">
          <cell r="C41" t="str">
            <v>HUF</v>
          </cell>
        </row>
        <row r="42">
          <cell r="C42" t="str">
            <v>IDR</v>
          </cell>
        </row>
        <row r="43">
          <cell r="C43" t="str">
            <v>ILS</v>
          </cell>
        </row>
        <row r="44">
          <cell r="C44" t="str">
            <v>INR</v>
          </cell>
        </row>
        <row r="45">
          <cell r="C45" t="str">
            <v>IQD</v>
          </cell>
        </row>
        <row r="46">
          <cell r="C46" t="str">
            <v>IRR</v>
          </cell>
        </row>
        <row r="47">
          <cell r="C47" t="str">
            <v>ISK</v>
          </cell>
        </row>
        <row r="48">
          <cell r="C48" t="str">
            <v>JMD</v>
          </cell>
        </row>
        <row r="49">
          <cell r="C49" t="str">
            <v>JOD</v>
          </cell>
        </row>
        <row r="50">
          <cell r="C50" t="str">
            <v>JPY</v>
          </cell>
        </row>
        <row r="51">
          <cell r="C51" t="str">
            <v>KES</v>
          </cell>
        </row>
        <row r="52">
          <cell r="C52" t="str">
            <v>KPW</v>
          </cell>
        </row>
        <row r="53">
          <cell r="C53" t="str">
            <v>KRW</v>
          </cell>
        </row>
        <row r="54">
          <cell r="C54" t="str">
            <v>KWD</v>
          </cell>
        </row>
        <row r="55">
          <cell r="C55" t="str">
            <v>KYD</v>
          </cell>
        </row>
        <row r="56">
          <cell r="C56" t="str">
            <v>KZT</v>
          </cell>
        </row>
        <row r="57">
          <cell r="C57" t="str">
            <v>LBP</v>
          </cell>
        </row>
        <row r="58">
          <cell r="C58" t="str">
            <v>LKR</v>
          </cell>
        </row>
        <row r="59">
          <cell r="C59" t="str">
            <v>LTL</v>
          </cell>
        </row>
        <row r="60">
          <cell r="C60" t="str">
            <v>LVL</v>
          </cell>
        </row>
        <row r="61">
          <cell r="C61" t="str">
            <v>LYD</v>
          </cell>
        </row>
        <row r="62">
          <cell r="C62" t="str">
            <v>MAD</v>
          </cell>
        </row>
        <row r="63">
          <cell r="C63" t="str">
            <v>MGA</v>
          </cell>
        </row>
        <row r="64">
          <cell r="C64" t="str">
            <v>MOP</v>
          </cell>
        </row>
        <row r="65">
          <cell r="C65" t="str">
            <v>MTL</v>
          </cell>
        </row>
        <row r="66">
          <cell r="C66" t="str">
            <v>MUR</v>
          </cell>
        </row>
        <row r="67">
          <cell r="C67" t="str">
            <v>MWK</v>
          </cell>
        </row>
        <row r="68">
          <cell r="C68" t="str">
            <v>MXN</v>
          </cell>
        </row>
        <row r="69">
          <cell r="C69" t="str">
            <v>MYR</v>
          </cell>
        </row>
        <row r="70">
          <cell r="C70" t="str">
            <v>NAD</v>
          </cell>
        </row>
        <row r="71">
          <cell r="C71" t="str">
            <v>NGN</v>
          </cell>
        </row>
        <row r="72">
          <cell r="C72" t="str">
            <v>NOK</v>
          </cell>
        </row>
        <row r="73">
          <cell r="C73" t="str">
            <v>NPR</v>
          </cell>
        </row>
        <row r="74">
          <cell r="C74" t="str">
            <v>NZD</v>
          </cell>
        </row>
        <row r="75">
          <cell r="C75" t="str">
            <v>OMR</v>
          </cell>
        </row>
        <row r="76">
          <cell r="C76" t="str">
            <v>PEN</v>
          </cell>
        </row>
        <row r="77">
          <cell r="C77" t="str">
            <v>PGK</v>
          </cell>
        </row>
        <row r="78">
          <cell r="C78" t="str">
            <v>PHP</v>
          </cell>
        </row>
        <row r="79">
          <cell r="C79" t="str">
            <v>PKR</v>
          </cell>
        </row>
        <row r="80">
          <cell r="C80" t="str">
            <v>PLN</v>
          </cell>
        </row>
        <row r="81">
          <cell r="C81" t="str">
            <v>PLZ</v>
          </cell>
        </row>
        <row r="82">
          <cell r="C82" t="str">
            <v>QAR</v>
          </cell>
        </row>
        <row r="83">
          <cell r="C83" t="str">
            <v>RON</v>
          </cell>
        </row>
        <row r="84">
          <cell r="C84" t="str">
            <v>RSD</v>
          </cell>
        </row>
        <row r="85">
          <cell r="C85" t="str">
            <v>RUB</v>
          </cell>
        </row>
        <row r="86">
          <cell r="C86" t="str">
            <v>SAR</v>
          </cell>
        </row>
        <row r="87">
          <cell r="C87" t="str">
            <v>SBD</v>
          </cell>
        </row>
        <row r="88">
          <cell r="C88" t="str">
            <v>SEK</v>
          </cell>
        </row>
        <row r="89">
          <cell r="C89" t="str">
            <v>SGD</v>
          </cell>
        </row>
        <row r="90">
          <cell r="C90" t="str">
            <v>STAT</v>
          </cell>
        </row>
        <row r="91">
          <cell r="C91" t="str">
            <v>SVC</v>
          </cell>
        </row>
        <row r="92">
          <cell r="C92" t="str">
            <v>SYP</v>
          </cell>
        </row>
        <row r="93">
          <cell r="C93" t="str">
            <v>SZL</v>
          </cell>
        </row>
        <row r="94">
          <cell r="C94" t="str">
            <v>THB</v>
          </cell>
        </row>
        <row r="95">
          <cell r="C95" t="str">
            <v>TND</v>
          </cell>
        </row>
        <row r="96">
          <cell r="C96" t="str">
            <v>TRY</v>
          </cell>
        </row>
        <row r="97">
          <cell r="C97" t="str">
            <v>TTD</v>
          </cell>
        </row>
        <row r="98">
          <cell r="C98" t="str">
            <v>TWD</v>
          </cell>
        </row>
        <row r="99">
          <cell r="C99" t="str">
            <v>TZS</v>
          </cell>
        </row>
        <row r="100">
          <cell r="C100" t="str">
            <v>UAH</v>
          </cell>
        </row>
        <row r="101">
          <cell r="C101" t="str">
            <v>UF</v>
          </cell>
        </row>
        <row r="102">
          <cell r="C102" t="str">
            <v>UGX</v>
          </cell>
        </row>
        <row r="103">
          <cell r="C103" t="str">
            <v>USD</v>
          </cell>
        </row>
        <row r="104">
          <cell r="C104" t="str">
            <v>UYU</v>
          </cell>
        </row>
        <row r="105">
          <cell r="C105" t="str">
            <v>VEB</v>
          </cell>
        </row>
        <row r="106">
          <cell r="C106" t="str">
            <v>VEF</v>
          </cell>
        </row>
        <row r="107">
          <cell r="C107" t="str">
            <v>VND</v>
          </cell>
        </row>
        <row r="108">
          <cell r="C108" t="str">
            <v>VUV</v>
          </cell>
        </row>
        <row r="109">
          <cell r="C109" t="str">
            <v>WST</v>
          </cell>
        </row>
        <row r="110">
          <cell r="C110" t="str">
            <v>XAF</v>
          </cell>
        </row>
        <row r="111">
          <cell r="C111" t="str">
            <v>XCD</v>
          </cell>
        </row>
        <row r="112">
          <cell r="C112" t="str">
            <v>XOF</v>
          </cell>
        </row>
        <row r="113">
          <cell r="C113" t="str">
            <v>XPF</v>
          </cell>
        </row>
        <row r="114">
          <cell r="C114" t="str">
            <v>YER</v>
          </cell>
        </row>
        <row r="115">
          <cell r="C115" t="str">
            <v>ZAR</v>
          </cell>
        </row>
        <row r="116">
          <cell r="C116" t="str">
            <v>ZMK</v>
          </cell>
        </row>
        <row r="117">
          <cell r="C117" t="str">
            <v>ZMW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R40"/>
  <sheetViews>
    <sheetView tabSelected="1" workbookViewId="0">
      <selection activeCell="L2" sqref="L2"/>
    </sheetView>
  </sheetViews>
  <sheetFormatPr defaultRowHeight="15" x14ac:dyDescent="0.25"/>
  <cols>
    <col min="1" max="1" width="5.7109375" style="2" customWidth="1"/>
    <col min="2" max="2" width="15.28515625" style="2" customWidth="1"/>
    <col min="3" max="3" width="11.140625" style="2" customWidth="1"/>
    <col min="4" max="4" width="9.7109375" style="2" customWidth="1"/>
    <col min="5" max="5" width="14.5703125" style="2" customWidth="1"/>
    <col min="6" max="6" width="7" style="2" customWidth="1"/>
    <col min="7" max="7" width="13.140625" style="2" customWidth="1"/>
    <col min="8" max="8" width="13.42578125" style="2" customWidth="1"/>
    <col min="9" max="9" width="9.140625" style="2" customWidth="1"/>
    <col min="10" max="10" width="13" style="2" customWidth="1"/>
    <col min="11" max="11" width="40.42578125" style="2" customWidth="1"/>
    <col min="12" max="12" width="16.42578125" style="2" customWidth="1"/>
    <col min="13" max="13" width="12.7109375" style="2" customWidth="1"/>
    <col min="14" max="14" width="7.7109375" style="2" customWidth="1"/>
    <col min="15" max="15" width="9.7109375" style="2" customWidth="1"/>
    <col min="16" max="16" width="7.85546875" style="2" customWidth="1"/>
    <col min="17" max="17" width="9.7109375" style="2" customWidth="1"/>
    <col min="18" max="18" width="7.7109375" style="2" customWidth="1"/>
    <col min="19" max="16384" width="9.140625" style="2"/>
  </cols>
  <sheetData>
    <row r="1" spans="1:18" ht="21" customHeight="1" thickBot="1" x14ac:dyDescent="0.3">
      <c r="A1" s="198" t="s">
        <v>39</v>
      </c>
      <c r="B1" s="199"/>
      <c r="C1" s="199"/>
      <c r="D1" s="199"/>
      <c r="E1" s="199"/>
      <c r="F1" s="199"/>
      <c r="G1" s="199"/>
      <c r="H1" s="200"/>
      <c r="I1" s="198" t="s">
        <v>30</v>
      </c>
      <c r="J1" s="199"/>
      <c r="K1" s="199"/>
      <c r="L1" s="200"/>
      <c r="M1" s="1"/>
      <c r="N1" s="10" t="s">
        <v>32</v>
      </c>
      <c r="O1" s="1"/>
      <c r="P1" s="1"/>
      <c r="Q1" s="1"/>
      <c r="R1" s="1"/>
    </row>
    <row r="2" spans="1:18" ht="17.100000000000001" customHeight="1" x14ac:dyDescent="0.25">
      <c r="A2" s="138">
        <v>1</v>
      </c>
      <c r="B2" s="193" t="s">
        <v>4</v>
      </c>
      <c r="C2" s="194"/>
      <c r="D2" s="195"/>
      <c r="E2" s="179" t="s">
        <v>85</v>
      </c>
      <c r="F2" s="180"/>
      <c r="G2" s="181"/>
      <c r="H2" s="182"/>
      <c r="I2" s="153">
        <v>1</v>
      </c>
      <c r="J2" s="154" t="s">
        <v>40</v>
      </c>
      <c r="K2" s="155"/>
      <c r="L2" s="156">
        <f>IF(YEAR(E7)&lt;YEAR(E8),"",IF(YEAR(E7)&gt;YEAR(E8),((YEAR(E7)-YEAR(E6))*12+MONTH(E7)-MONTH(E6))+1,IF(MONTH(E7)&lt;MONTH(E8),"",((YEAR(E7)-YEAR(E6))*12+MONTH(E7)-MONTH(E6))+1)))</f>
        <v>29</v>
      </c>
      <c r="M2" s="1"/>
      <c r="N2" s="19"/>
      <c r="O2" s="3"/>
      <c r="P2" s="1"/>
      <c r="Q2" s="1"/>
      <c r="R2" s="1"/>
    </row>
    <row r="3" spans="1:18" ht="17.100000000000001" customHeight="1" x14ac:dyDescent="0.25">
      <c r="A3" s="139">
        <v>2</v>
      </c>
      <c r="B3" s="173" t="s">
        <v>8</v>
      </c>
      <c r="C3" s="174"/>
      <c r="D3" s="175"/>
      <c r="E3" s="183" t="s">
        <v>6</v>
      </c>
      <c r="F3" s="184"/>
      <c r="G3" s="185"/>
      <c r="H3" s="186"/>
      <c r="I3" s="136">
        <v>2</v>
      </c>
      <c r="J3" s="146" t="str">
        <f>"Total No. of Amortization Months Till Accrual Date - " &amp; TEXT(E8,"mmm'yy")</f>
        <v>Total No. of Amortization Months Till Accrual Date - Feb'15</v>
      </c>
      <c r="K3" s="116"/>
      <c r="L3" s="140">
        <f>IF(YEAR(E7)&lt;YEAR(E8),"",IF(YEAR(E7)&gt;YEAR(E8),((YEAR(E8)-YEAR(E6))*12+MONTH(E8)-MONTH(E6)+1),IF(MONTH(E7)&lt;MONTH(E8),"",((YEAR(E8)-YEAR(E6))*12+MONTH(E8)-MONTH(E6)+1))))</f>
        <v>3</v>
      </c>
      <c r="M3" s="1"/>
      <c r="N3" s="19"/>
      <c r="O3" s="1"/>
      <c r="P3" s="1"/>
      <c r="Q3" s="1"/>
      <c r="R3" s="1"/>
    </row>
    <row r="4" spans="1:18" ht="17.100000000000001" customHeight="1" x14ac:dyDescent="0.25">
      <c r="A4" s="139">
        <v>3</v>
      </c>
      <c r="B4" s="173" t="s">
        <v>7</v>
      </c>
      <c r="C4" s="174"/>
      <c r="D4" s="175"/>
      <c r="E4" s="183">
        <v>42788878</v>
      </c>
      <c r="F4" s="184"/>
      <c r="G4" s="185"/>
      <c r="H4" s="186"/>
      <c r="I4" s="136">
        <v>3</v>
      </c>
      <c r="J4" s="146" t="s">
        <v>41</v>
      </c>
      <c r="K4" s="116"/>
      <c r="L4" s="140">
        <f>IF(L2="","",IF(L3&lt;0,IF(L2&gt;12,(12-ABS(L3)),IF(L2&lt;(((YEAR(E8)+1)-YEAR(E6))*12+MONTH(E8)-MONTH(E6)+1),L2,(((YEAR(E8)+1)-YEAR(E6))*12+MONTH(E8)-MONTH(E6)+1))),IF(L2-L3&lt;0,0,IF(L2-L3&lt;12,L2-L3,12))))</f>
        <v>12</v>
      </c>
      <c r="M4" s="1"/>
      <c r="N4" s="19"/>
      <c r="O4" s="1"/>
      <c r="P4" s="1"/>
      <c r="Q4" s="10" t="s">
        <v>31</v>
      </c>
      <c r="R4" s="1"/>
    </row>
    <row r="5" spans="1:18" ht="17.100000000000001" customHeight="1" thickBot="1" x14ac:dyDescent="0.3">
      <c r="A5" s="139">
        <v>4</v>
      </c>
      <c r="B5" s="173" t="s">
        <v>5</v>
      </c>
      <c r="C5" s="174"/>
      <c r="D5" s="175"/>
      <c r="E5" s="187">
        <v>228263.65</v>
      </c>
      <c r="F5" s="187"/>
      <c r="G5" s="188"/>
      <c r="H5" s="189"/>
      <c r="I5" s="157">
        <v>4</v>
      </c>
      <c r="J5" s="120" t="s">
        <v>88</v>
      </c>
      <c r="K5" s="118"/>
      <c r="L5" s="158">
        <f>IF(L2="","",IF(L3&lt;0,L2-L4,IF((YEAR(E6)-YEAR(E8)*12+MONTH(E6)-MONTH(E8))&gt;MONTH(E8),L2-L4,IF((L2-(ABS(L3)+L4))&gt;0,L2-(ABS(L3)+L4),0))))</f>
        <v>14</v>
      </c>
      <c r="M5" s="1"/>
      <c r="N5" s="20"/>
      <c r="O5" s="1"/>
      <c r="P5" s="1"/>
      <c r="Q5" s="1"/>
      <c r="R5" s="1"/>
    </row>
    <row r="6" spans="1:18" ht="17.100000000000001" customHeight="1" x14ac:dyDescent="0.25">
      <c r="A6" s="139">
        <v>5</v>
      </c>
      <c r="B6" s="173" t="s">
        <v>25</v>
      </c>
      <c r="C6" s="174"/>
      <c r="D6" s="175"/>
      <c r="E6" s="196">
        <v>42001</v>
      </c>
      <c r="F6" s="197"/>
      <c r="G6" s="185"/>
      <c r="H6" s="186"/>
      <c r="I6" s="135">
        <v>5</v>
      </c>
      <c r="J6" s="148" t="s">
        <v>18</v>
      </c>
      <c r="K6" s="121"/>
      <c r="L6" s="152">
        <f>IF(L2="","",ROUND(E5,2))</f>
        <v>228263.65</v>
      </c>
      <c r="M6" s="1"/>
      <c r="N6" s="19"/>
      <c r="O6" s="1"/>
      <c r="P6" s="1"/>
      <c r="Q6" s="1"/>
      <c r="R6" s="1"/>
    </row>
    <row r="7" spans="1:18" ht="17.100000000000001" customHeight="1" x14ac:dyDescent="0.25">
      <c r="A7" s="139">
        <v>6</v>
      </c>
      <c r="B7" s="173" t="s">
        <v>26</v>
      </c>
      <c r="C7" s="174"/>
      <c r="D7" s="175"/>
      <c r="E7" s="196">
        <v>42855</v>
      </c>
      <c r="F7" s="197"/>
      <c r="G7" s="185"/>
      <c r="H7" s="186"/>
      <c r="I7" s="136">
        <v>6</v>
      </c>
      <c r="J7" s="119" t="s">
        <v>17</v>
      </c>
      <c r="K7" s="116"/>
      <c r="L7" s="150">
        <f>IF(L2="","",ROUND(E5/L2,2))</f>
        <v>7871.16</v>
      </c>
      <c r="M7" s="1"/>
      <c r="N7" s="19"/>
      <c r="O7" s="1"/>
      <c r="P7" s="1"/>
      <c r="Q7" s="1"/>
      <c r="R7" s="1"/>
    </row>
    <row r="8" spans="1:18" ht="17.100000000000001" customHeight="1" x14ac:dyDescent="0.25">
      <c r="A8" s="139">
        <v>7</v>
      </c>
      <c r="B8" s="173" t="s">
        <v>19</v>
      </c>
      <c r="C8" s="174"/>
      <c r="D8" s="175"/>
      <c r="E8" s="196">
        <v>42063</v>
      </c>
      <c r="F8" s="197"/>
      <c r="G8" s="185"/>
      <c r="H8" s="186"/>
      <c r="I8" s="136">
        <v>7</v>
      </c>
      <c r="J8" s="119" t="str">
        <f>"Amortization Amount Till Accrual Date - " &amp; TEXT(E8,"mmm'yy")</f>
        <v>Amortization Amount Till Accrual Date - Feb'15</v>
      </c>
      <c r="K8" s="116"/>
      <c r="L8" s="150">
        <f>IF(L3="","",IF(L3&lt;0,0,ROUND(L3*L7,2)))</f>
        <v>23613.48</v>
      </c>
      <c r="M8" s="1"/>
      <c r="N8" s="19"/>
      <c r="O8" s="1"/>
      <c r="P8" s="1"/>
      <c r="Q8" s="1"/>
      <c r="R8" s="1"/>
    </row>
    <row r="9" spans="1:18" ht="17.100000000000001" customHeight="1" x14ac:dyDescent="0.25">
      <c r="A9" s="139">
        <v>8</v>
      </c>
      <c r="B9" s="173" t="s">
        <v>9</v>
      </c>
      <c r="C9" s="174"/>
      <c r="D9" s="175"/>
      <c r="E9" s="183" t="s">
        <v>12</v>
      </c>
      <c r="F9" s="184"/>
      <c r="G9" s="185"/>
      <c r="H9" s="186"/>
      <c r="I9" s="136">
        <v>8</v>
      </c>
      <c r="J9" s="119" t="s">
        <v>34</v>
      </c>
      <c r="K9" s="117"/>
      <c r="L9" s="150">
        <f>IF(L4="","",ROUND(L4*L7,2))</f>
        <v>94453.92</v>
      </c>
      <c r="M9" s="1"/>
      <c r="N9" s="19"/>
      <c r="O9" s="1"/>
      <c r="P9" s="1"/>
      <c r="Q9" s="1"/>
      <c r="R9" s="1"/>
    </row>
    <row r="10" spans="1:18" ht="17.100000000000001" customHeight="1" thickBot="1" x14ac:dyDescent="0.3">
      <c r="A10" s="139">
        <v>9</v>
      </c>
      <c r="B10" s="173" t="s">
        <v>0</v>
      </c>
      <c r="C10" s="174"/>
      <c r="D10" s="175"/>
      <c r="E10" s="183" t="s">
        <v>3</v>
      </c>
      <c r="F10" s="184"/>
      <c r="G10" s="185"/>
      <c r="H10" s="186"/>
      <c r="I10" s="159">
        <v>9</v>
      </c>
      <c r="J10" s="147" t="s">
        <v>35</v>
      </c>
      <c r="K10" s="117"/>
      <c r="L10" s="141">
        <f>IF(L5="","",ROUND(L5*L7,2))</f>
        <v>110196.24</v>
      </c>
      <c r="M10" s="1"/>
      <c r="N10" s="1"/>
      <c r="O10" s="1"/>
      <c r="P10" s="1"/>
      <c r="Q10" s="1"/>
      <c r="R10" s="1"/>
    </row>
    <row r="11" spans="1:18" ht="17.100000000000001" customHeight="1" x14ac:dyDescent="0.25">
      <c r="A11" s="139">
        <v>10</v>
      </c>
      <c r="B11" s="173" t="s">
        <v>10</v>
      </c>
      <c r="C11" s="174"/>
      <c r="D11" s="175"/>
      <c r="E11" s="187">
        <v>14774</v>
      </c>
      <c r="F11" s="187"/>
      <c r="G11" s="188"/>
      <c r="H11" s="189"/>
      <c r="I11" s="160">
        <v>10</v>
      </c>
      <c r="J11" s="161" t="s">
        <v>44</v>
      </c>
      <c r="K11" s="162"/>
      <c r="L11" s="163">
        <f>IF(L2="","",IF(L5&gt;0,0,IF(L2-(ABS(L3)+L4)=0,L6-(L8+L9),IF(L5&lt;=0,L6-(L8+L9),0))))</f>
        <v>0</v>
      </c>
      <c r="M11" s="1"/>
      <c r="N11" s="1"/>
      <c r="O11" s="1"/>
      <c r="P11" s="1"/>
      <c r="Q11" s="1"/>
      <c r="R11" s="1"/>
    </row>
    <row r="12" spans="1:18" ht="17.100000000000001" customHeight="1" thickBot="1" x14ac:dyDescent="0.3">
      <c r="A12" s="137">
        <v>11</v>
      </c>
      <c r="B12" s="176" t="s">
        <v>11</v>
      </c>
      <c r="C12" s="177"/>
      <c r="D12" s="178"/>
      <c r="E12" s="190" t="s">
        <v>2</v>
      </c>
      <c r="F12" s="190"/>
      <c r="G12" s="191"/>
      <c r="H12" s="192"/>
      <c r="I12" s="164">
        <v>11</v>
      </c>
      <c r="J12" s="120" t="s">
        <v>64</v>
      </c>
      <c r="K12" s="118"/>
      <c r="L12" s="142">
        <f>IF(L2="","",IF(L5&gt;0,L6-(L8+L9+L10+L11),0))</f>
        <v>9.9999999802093953E-3</v>
      </c>
      <c r="M12" s="10"/>
      <c r="N12" s="10" t="s">
        <v>65</v>
      </c>
      <c r="O12" s="1"/>
      <c r="P12" s="1"/>
      <c r="Q12" s="1"/>
      <c r="R12" s="1"/>
    </row>
    <row r="13" spans="1:18" s="70" customFormat="1" ht="18.75" customHeight="1" thickBot="1" x14ac:dyDescent="0.3">
      <c r="A13" s="165" t="s">
        <v>38</v>
      </c>
      <c r="B13" s="166"/>
      <c r="C13" s="166"/>
      <c r="D13" s="166"/>
      <c r="E13" s="166"/>
      <c r="F13" s="166"/>
      <c r="G13" s="166"/>
      <c r="H13" s="166"/>
      <c r="I13" s="166"/>
      <c r="J13" s="167"/>
      <c r="K13" s="122"/>
      <c r="L13" s="123"/>
      <c r="M13" s="68"/>
      <c r="N13" s="69" t="s">
        <v>42</v>
      </c>
      <c r="O13" s="68"/>
      <c r="P13" s="68"/>
      <c r="Q13" s="68"/>
      <c r="R13" s="68"/>
    </row>
    <row r="14" spans="1:18" ht="18" customHeight="1" thickBot="1" x14ac:dyDescent="0.3">
      <c r="A14" s="168" t="s">
        <v>36</v>
      </c>
      <c r="B14" s="169"/>
      <c r="C14" s="169"/>
      <c r="D14" s="169"/>
      <c r="E14" s="170"/>
      <c r="F14" s="171" t="s">
        <v>37</v>
      </c>
      <c r="G14" s="169"/>
      <c r="H14" s="169"/>
      <c r="I14" s="169"/>
      <c r="J14" s="172"/>
      <c r="K14" s="124"/>
      <c r="L14" s="125"/>
      <c r="M14" s="1"/>
      <c r="N14" s="18" t="s">
        <v>43</v>
      </c>
      <c r="O14" s="1"/>
      <c r="P14" s="1"/>
      <c r="Q14" s="1"/>
      <c r="R14" s="1"/>
    </row>
    <row r="15" spans="1:18" ht="18" customHeight="1" thickBot="1" x14ac:dyDescent="0.3">
      <c r="A15" s="95" t="s">
        <v>15</v>
      </c>
      <c r="B15" s="96" t="s">
        <v>23</v>
      </c>
      <c r="C15" s="96" t="s">
        <v>22</v>
      </c>
      <c r="D15" s="96" t="s">
        <v>13</v>
      </c>
      <c r="E15" s="97" t="s">
        <v>21</v>
      </c>
      <c r="F15" s="96" t="s">
        <v>15</v>
      </c>
      <c r="G15" s="96" t="s">
        <v>24</v>
      </c>
      <c r="H15" s="96" t="s">
        <v>20</v>
      </c>
      <c r="I15" s="96" t="s">
        <v>13</v>
      </c>
      <c r="J15" s="97" t="s">
        <v>21</v>
      </c>
      <c r="K15" s="145"/>
      <c r="L15" s="126"/>
      <c r="M15" s="1"/>
      <c r="N15" s="1"/>
      <c r="O15" s="1"/>
      <c r="P15" s="1"/>
      <c r="Q15" s="1"/>
      <c r="R15" s="1"/>
    </row>
    <row r="16" spans="1:18" ht="17.100000000000001" customHeight="1" x14ac:dyDescent="0.25">
      <c r="A16" s="98">
        <v>1</v>
      </c>
      <c r="B16" s="91">
        <v>12522</v>
      </c>
      <c r="C16" s="92" t="s">
        <v>66</v>
      </c>
      <c r="D16" s="93">
        <v>100</v>
      </c>
      <c r="E16" s="149">
        <f>IF(OR(D16=0,B16=""),"",ROUND((D16/100)*$L$6,2))</f>
        <v>228263.65</v>
      </c>
      <c r="F16" s="99">
        <v>1</v>
      </c>
      <c r="G16" s="91">
        <v>53851</v>
      </c>
      <c r="H16" s="93" t="s">
        <v>86</v>
      </c>
      <c r="I16" s="93">
        <v>100</v>
      </c>
      <c r="J16" s="149">
        <f>IF(OR(I16=0,G16=""),"",ROUND((I16/100)*$L$6,2))</f>
        <v>228263.65</v>
      </c>
      <c r="K16" s="144"/>
      <c r="L16" s="126"/>
      <c r="M16" s="1"/>
      <c r="N16" s="10" t="s">
        <v>89</v>
      </c>
      <c r="O16" s="1"/>
      <c r="P16" s="1"/>
      <c r="Q16" s="1"/>
      <c r="R16" s="1"/>
    </row>
    <row r="17" spans="1:18" s="67" customFormat="1" ht="17.100000000000001" customHeight="1" x14ac:dyDescent="0.25">
      <c r="A17" s="100">
        <v>2</v>
      </c>
      <c r="B17" s="91"/>
      <c r="C17" s="92"/>
      <c r="D17" s="93"/>
      <c r="E17" s="149" t="str">
        <f>IF(OR(D17=0,B17=""),"",ROUND((D17/100)*$L$6,2))</f>
        <v/>
      </c>
      <c r="F17" s="101">
        <v>2</v>
      </c>
      <c r="G17" s="91"/>
      <c r="H17" s="93"/>
      <c r="I17" s="94"/>
      <c r="J17" s="149" t="str">
        <f>IF(OR(I17=0,G17=""),"",ROUND((I17/100)*$L$6,2))</f>
        <v/>
      </c>
      <c r="K17" s="143"/>
      <c r="L17" s="128"/>
      <c r="M17" s="66"/>
      <c r="N17" s="66"/>
      <c r="O17" s="66"/>
      <c r="P17" s="66"/>
      <c r="Q17" s="66"/>
      <c r="R17" s="66"/>
    </row>
    <row r="18" spans="1:18" s="67" customFormat="1" ht="17.100000000000001" customHeight="1" x14ac:dyDescent="0.25">
      <c r="A18" s="100">
        <v>3</v>
      </c>
      <c r="B18" s="91"/>
      <c r="C18" s="92"/>
      <c r="D18" s="93"/>
      <c r="E18" s="149" t="str">
        <f>IF(OR(D18=0,B18=""),"",ROUND((D18/100)*$L$6,2))</f>
        <v/>
      </c>
      <c r="F18" s="101">
        <v>3</v>
      </c>
      <c r="G18" s="91"/>
      <c r="H18" s="93"/>
      <c r="I18" s="94"/>
      <c r="J18" s="149" t="str">
        <f>IF(OR(I18=0,G18=""),"",ROUND((I18/100)*$L$6,2))</f>
        <v/>
      </c>
      <c r="K18" s="127"/>
      <c r="L18" s="128"/>
      <c r="M18" s="66"/>
      <c r="N18" s="66"/>
      <c r="O18" s="66"/>
      <c r="P18" s="66"/>
      <c r="Q18" s="66"/>
      <c r="R18" s="66"/>
    </row>
    <row r="19" spans="1:18" s="67" customFormat="1" ht="17.100000000000001" customHeight="1" thickBot="1" x14ac:dyDescent="0.3">
      <c r="A19" s="100">
        <v>4</v>
      </c>
      <c r="B19" s="94"/>
      <c r="C19" s="94"/>
      <c r="D19" s="94"/>
      <c r="E19" s="149" t="str">
        <f>IF(OR(D19=0,B19=""),"",ROUND((D19/100)*$L$6,2))</f>
        <v/>
      </c>
      <c r="F19" s="101">
        <v>4</v>
      </c>
      <c r="G19" s="91"/>
      <c r="H19" s="93"/>
      <c r="I19" s="94"/>
      <c r="J19" s="149" t="str">
        <f>IF(OR(I19=0,G19=""),"",ROUND((I19/100)*$L$6,2))</f>
        <v/>
      </c>
      <c r="K19" s="127"/>
      <c r="L19" s="128"/>
      <c r="M19" s="66"/>
      <c r="N19" s="66"/>
      <c r="O19" s="66"/>
      <c r="P19" s="66"/>
      <c r="Q19" s="66"/>
      <c r="R19" s="66"/>
    </row>
    <row r="20" spans="1:18" ht="18" customHeight="1" thickBot="1" x14ac:dyDescent="0.3">
      <c r="A20" s="102" t="s">
        <v>1</v>
      </c>
      <c r="B20" s="103" t="s">
        <v>14</v>
      </c>
      <c r="C20" s="103"/>
      <c r="D20" s="104">
        <f>SUM(D16:D19)</f>
        <v>100</v>
      </c>
      <c r="E20" s="151">
        <f>SUM(E16:E19)</f>
        <v>228263.65</v>
      </c>
      <c r="F20" s="105" t="s">
        <v>1</v>
      </c>
      <c r="G20" s="103" t="s">
        <v>14</v>
      </c>
      <c r="H20" s="104"/>
      <c r="I20" s="104">
        <f>SUM(I16:I19)</f>
        <v>100</v>
      </c>
      <c r="J20" s="151">
        <f>SUM(J16:J19)</f>
        <v>228263.65</v>
      </c>
      <c r="K20" s="129"/>
      <c r="L20" s="130"/>
      <c r="M20" s="1"/>
      <c r="N20" s="1"/>
      <c r="O20" s="1"/>
      <c r="P20" s="1"/>
      <c r="Q20" s="1"/>
      <c r="R20" s="1"/>
    </row>
    <row r="21" spans="1:18" ht="18" customHeight="1" thickBot="1" x14ac:dyDescent="0.3">
      <c r="A21" s="165" t="s">
        <v>33</v>
      </c>
      <c r="B21" s="166"/>
      <c r="C21" s="166"/>
      <c r="D21" s="166"/>
      <c r="E21" s="166"/>
      <c r="F21" s="166"/>
      <c r="G21" s="166"/>
      <c r="H21" s="166"/>
      <c r="I21" s="166"/>
      <c r="J21" s="167"/>
      <c r="K21" s="129"/>
      <c r="L21" s="131"/>
      <c r="M21" s="1"/>
      <c r="N21" s="1"/>
      <c r="O21" s="1"/>
      <c r="P21" s="1"/>
      <c r="Q21" s="1"/>
      <c r="R21" s="1"/>
    </row>
    <row r="22" spans="1:18" ht="18" customHeight="1" thickBot="1" x14ac:dyDescent="0.3">
      <c r="A22" s="168" t="s">
        <v>36</v>
      </c>
      <c r="B22" s="169"/>
      <c r="C22" s="169"/>
      <c r="D22" s="169"/>
      <c r="E22" s="170"/>
      <c r="F22" s="171" t="s">
        <v>37</v>
      </c>
      <c r="G22" s="169"/>
      <c r="H22" s="169"/>
      <c r="I22" s="169"/>
      <c r="J22" s="172"/>
      <c r="K22" s="130"/>
      <c r="L22" s="130"/>
    </row>
    <row r="23" spans="1:18" ht="18" customHeight="1" thickBot="1" x14ac:dyDescent="0.3">
      <c r="A23" s="107" t="s">
        <v>15</v>
      </c>
      <c r="B23" s="108" t="s">
        <v>23</v>
      </c>
      <c r="C23" s="108" t="s">
        <v>22</v>
      </c>
      <c r="D23" s="108" t="s">
        <v>13</v>
      </c>
      <c r="E23" s="109" t="s">
        <v>21</v>
      </c>
      <c r="F23" s="108" t="s">
        <v>15</v>
      </c>
      <c r="G23" s="108" t="s">
        <v>24</v>
      </c>
      <c r="H23" s="108" t="s">
        <v>20</v>
      </c>
      <c r="I23" s="108" t="s">
        <v>13</v>
      </c>
      <c r="J23" s="109" t="s">
        <v>21</v>
      </c>
      <c r="K23" s="132"/>
      <c r="L23" s="130"/>
    </row>
    <row r="24" spans="1:18" s="67" customFormat="1" ht="17.100000000000001" customHeight="1" x14ac:dyDescent="0.25">
      <c r="A24" s="110">
        <v>1</v>
      </c>
      <c r="B24" s="93">
        <v>12522</v>
      </c>
      <c r="C24" s="92" t="s">
        <v>66</v>
      </c>
      <c r="D24" s="93">
        <v>100</v>
      </c>
      <c r="E24" s="149">
        <f>IF(L3="","",IF(OR(D24=0,B24=""),"",ROUND((D24/100)*$L$7,2)))</f>
        <v>7871.16</v>
      </c>
      <c r="F24" s="111">
        <v>1</v>
      </c>
      <c r="G24" s="93">
        <v>53851</v>
      </c>
      <c r="H24" s="93" t="s">
        <v>86</v>
      </c>
      <c r="I24" s="93">
        <v>50</v>
      </c>
      <c r="J24" s="149">
        <f>IF(L3="","",IF(OR(I24=0,G24=""),"",ROUND((I24/100)*$L$7,2)))</f>
        <v>3935.58</v>
      </c>
      <c r="K24" s="133"/>
      <c r="L24" s="134"/>
    </row>
    <row r="25" spans="1:18" s="67" customFormat="1" ht="17.100000000000001" customHeight="1" x14ac:dyDescent="0.25">
      <c r="A25" s="112">
        <v>2</v>
      </c>
      <c r="B25" s="93"/>
      <c r="C25" s="92"/>
      <c r="D25" s="93"/>
      <c r="E25" s="149" t="str">
        <f>IF(L4="","",IF(OR(D25=0,B25=""),"",ROUND((D25/100)*$L$7,2)))</f>
        <v/>
      </c>
      <c r="F25" s="113">
        <v>2</v>
      </c>
      <c r="G25" s="93">
        <v>53851</v>
      </c>
      <c r="H25" s="93" t="s">
        <v>29</v>
      </c>
      <c r="I25" s="93">
        <v>49.999989999999997</v>
      </c>
      <c r="J25" s="149">
        <f>IF(L4="","",IF(OR(I25=0,G25=""),"",ROUND((I25/100)*$L$7,2)))</f>
        <v>3935.58</v>
      </c>
      <c r="K25" s="133"/>
      <c r="L25" s="134"/>
    </row>
    <row r="26" spans="1:18" s="67" customFormat="1" ht="17.100000000000001" customHeight="1" x14ac:dyDescent="0.25">
      <c r="A26" s="112">
        <v>3</v>
      </c>
      <c r="B26" s="93"/>
      <c r="C26" s="93"/>
      <c r="D26" s="94"/>
      <c r="E26" s="149" t="str">
        <f>IF(L5="","",IF(OR(D26=0,B26=""),"",ROUND((D26/100)*$L$7,2)))</f>
        <v/>
      </c>
      <c r="F26" s="113">
        <v>3</v>
      </c>
      <c r="G26" s="93"/>
      <c r="H26" s="93"/>
      <c r="I26" s="94"/>
      <c r="J26" s="149" t="str">
        <f>IF(L5="","",IF(OR(I26=0,G26=""),"",ROUND((I26/100)*$L$7,2)))</f>
        <v/>
      </c>
      <c r="K26" s="133"/>
      <c r="L26" s="134"/>
    </row>
    <row r="27" spans="1:18" s="67" customFormat="1" ht="17.100000000000001" customHeight="1" thickBot="1" x14ac:dyDescent="0.3">
      <c r="A27" s="112">
        <v>4</v>
      </c>
      <c r="B27" s="93"/>
      <c r="C27" s="93"/>
      <c r="D27" s="94"/>
      <c r="E27" s="149" t="str">
        <f>IF(L6="","",IF(OR(D27=0,B27=""),"",ROUND((D27/100)*$L$7,2)))</f>
        <v/>
      </c>
      <c r="F27" s="113">
        <v>4</v>
      </c>
      <c r="G27" s="93"/>
      <c r="H27" s="93"/>
      <c r="I27" s="94"/>
      <c r="J27" s="149" t="str">
        <f>IF(L6="","",IF(OR(I27=0,G27=""),"",ROUND((I27/100)*$L$7,2)))</f>
        <v/>
      </c>
      <c r="K27" s="133"/>
      <c r="L27" s="134"/>
    </row>
    <row r="28" spans="1:18" ht="18" customHeight="1" thickBot="1" x14ac:dyDescent="0.3">
      <c r="A28" s="102" t="s">
        <v>1</v>
      </c>
      <c r="B28" s="103" t="s">
        <v>14</v>
      </c>
      <c r="C28" s="103"/>
      <c r="D28" s="104">
        <f>SUM(D24:D27)</f>
        <v>100</v>
      </c>
      <c r="E28" s="151">
        <f>SUM(E24:E27)</f>
        <v>7871.16</v>
      </c>
      <c r="F28" s="114" t="s">
        <v>1</v>
      </c>
      <c r="G28" s="103" t="s">
        <v>14</v>
      </c>
      <c r="H28" s="104"/>
      <c r="I28" s="104">
        <f>SUM(I24:I27)</f>
        <v>99.999989999999997</v>
      </c>
      <c r="J28" s="151">
        <f>SUM(J24:J27)</f>
        <v>7871.16</v>
      </c>
      <c r="K28" s="129"/>
      <c r="L28" s="130"/>
    </row>
    <row r="29" spans="1:18" x14ac:dyDescent="0.25">
      <c r="A29" s="106"/>
      <c r="B29" s="106"/>
      <c r="C29" s="106"/>
      <c r="D29" s="106"/>
      <c r="E29" s="106"/>
      <c r="F29" s="106"/>
      <c r="G29" s="106"/>
      <c r="H29" s="106"/>
      <c r="I29" s="106"/>
      <c r="J29" s="106"/>
      <c r="K29" s="130"/>
      <c r="L29" s="130"/>
    </row>
    <row r="30" spans="1:18" x14ac:dyDescent="0.25">
      <c r="A30" s="106"/>
      <c r="B30" s="106"/>
      <c r="C30" s="106"/>
      <c r="D30" s="106"/>
      <c r="E30" s="106"/>
      <c r="F30" s="106"/>
      <c r="G30" s="106"/>
      <c r="H30" s="106"/>
      <c r="I30" s="106"/>
      <c r="J30" s="106"/>
      <c r="K30" s="130"/>
      <c r="L30" s="130"/>
    </row>
    <row r="31" spans="1:18" x14ac:dyDescent="0.25">
      <c r="A31" s="106"/>
      <c r="B31" s="106"/>
      <c r="C31" s="106"/>
      <c r="D31" s="106"/>
      <c r="E31" s="106"/>
      <c r="F31" s="106"/>
      <c r="G31" s="106"/>
      <c r="H31" s="106"/>
      <c r="I31" s="106"/>
      <c r="J31" s="106"/>
      <c r="K31" s="130"/>
      <c r="L31" s="130"/>
    </row>
    <row r="32" spans="1:18" x14ac:dyDescent="0.25">
      <c r="A32" s="106"/>
      <c r="B32" s="106"/>
      <c r="C32" s="106"/>
      <c r="D32" s="106"/>
      <c r="E32" s="106"/>
      <c r="F32" s="106"/>
      <c r="G32" s="106"/>
      <c r="H32" s="106"/>
      <c r="I32" s="106"/>
      <c r="J32" s="106"/>
      <c r="K32" s="106"/>
      <c r="L32" s="106"/>
    </row>
    <row r="33" spans="1:12" x14ac:dyDescent="0.25">
      <c r="A33" s="106"/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</row>
    <row r="34" spans="1:12" x14ac:dyDescent="0.25">
      <c r="L34" s="1"/>
    </row>
    <row r="35" spans="1:12" x14ac:dyDescent="0.25">
      <c r="L35" s="1"/>
    </row>
    <row r="36" spans="1:12" x14ac:dyDescent="0.25">
      <c r="A36" s="21">
        <v>1</v>
      </c>
      <c r="B36" s="8" t="s">
        <v>16</v>
      </c>
      <c r="C36" s="9"/>
      <c r="D36" s="9"/>
      <c r="E36" s="5"/>
      <c r="F36" s="12" t="str">
        <f>E11&amp;"-"&amp;E9&amp;"-"&amp;"AST-PREPAID RECLASS"&amp;"-"&amp;YEAR(E8)&amp;"-"&amp;MONTH(E8)&amp;"-"&amp;E12</f>
        <v>14774-US001-AST-PREPAID RECLASS-2015-2-WACJ</v>
      </c>
      <c r="G36" s="11"/>
      <c r="H36" s="12"/>
      <c r="I36" s="12"/>
      <c r="J36" s="12"/>
      <c r="K36" s="6"/>
      <c r="L36" s="1"/>
    </row>
    <row r="37" spans="1:12" x14ac:dyDescent="0.25">
      <c r="A37" s="22">
        <v>2</v>
      </c>
      <c r="B37" s="7" t="s">
        <v>28</v>
      </c>
      <c r="C37" s="7">
        <v>-11661.449999999986</v>
      </c>
      <c r="D37" s="8"/>
      <c r="E37" s="4"/>
      <c r="F37" s="17" t="str">
        <f>E2&amp;"-"&amp;"PREPAID RECLASS"&amp;"-"&amp;TEXT(E8,"mmm")&amp;"-"&amp;TEXT(E8,"yy")</f>
        <v>ORACLE AMERICA CORPORATION-PREPAID RECLASS-Feb-15</v>
      </c>
      <c r="G37" s="16"/>
      <c r="H37" s="17"/>
      <c r="I37" s="17"/>
      <c r="J37" s="17"/>
      <c r="K37" s="5"/>
      <c r="L37" s="1"/>
    </row>
    <row r="38" spans="1:12" x14ac:dyDescent="0.25">
      <c r="A38" s="22">
        <v>3</v>
      </c>
      <c r="B38" s="7" t="s">
        <v>27</v>
      </c>
      <c r="C38" s="7"/>
      <c r="D38" s="8"/>
      <c r="E38" s="4"/>
      <c r="F38" s="14" t="str">
        <f>E2&amp;"-"&amp;"PREPAID AMORT"&amp;"-"&amp;L12</f>
        <v>ORACLE AMERICA CORPORATION-PREPAID AMORT-0.0099999999802094</v>
      </c>
      <c r="G38" s="13"/>
      <c r="H38" s="14"/>
      <c r="I38" s="14"/>
      <c r="J38" s="14"/>
      <c r="K38" s="15"/>
      <c r="L38" s="1"/>
    </row>
    <row r="39" spans="1:12" x14ac:dyDescent="0.25">
      <c r="L39" s="1"/>
    </row>
    <row r="40" spans="1:12" x14ac:dyDescent="0.25">
      <c r="L40" s="1"/>
    </row>
  </sheetData>
  <mergeCells count="30">
    <mergeCell ref="B4:D4"/>
    <mergeCell ref="B9:D9"/>
    <mergeCell ref="B10:D10"/>
    <mergeCell ref="I1:L1"/>
    <mergeCell ref="A1:H1"/>
    <mergeCell ref="B5:D5"/>
    <mergeCell ref="B6:D6"/>
    <mergeCell ref="B7:D7"/>
    <mergeCell ref="B11:D11"/>
    <mergeCell ref="B12:D12"/>
    <mergeCell ref="E2:H2"/>
    <mergeCell ref="E3:H3"/>
    <mergeCell ref="E9:H9"/>
    <mergeCell ref="E10:H10"/>
    <mergeCell ref="E11:H11"/>
    <mergeCell ref="E12:H12"/>
    <mergeCell ref="B2:D2"/>
    <mergeCell ref="E4:H4"/>
    <mergeCell ref="E5:H5"/>
    <mergeCell ref="E6:H6"/>
    <mergeCell ref="E7:H7"/>
    <mergeCell ref="E8:H8"/>
    <mergeCell ref="B8:D8"/>
    <mergeCell ref="B3:D3"/>
    <mergeCell ref="A21:J21"/>
    <mergeCell ref="A22:E22"/>
    <mergeCell ref="F22:J22"/>
    <mergeCell ref="A13:J13"/>
    <mergeCell ref="A14:E14"/>
    <mergeCell ref="F14:J14"/>
  </mergeCells>
  <pageMargins left="0.7" right="0.7" top="0.75" bottom="0.75" header="0.3" footer="0.3"/>
  <pageSetup scale="71" orientation="landscape" r:id="rId1"/>
  <ignoredErrors>
    <ignoredError sqref="C16 C24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leardata">
                <anchor moveWithCells="1" sizeWithCells="1">
                  <from>
                    <xdr:col>6</xdr:col>
                    <xdr:colOff>352425</xdr:colOff>
                    <xdr:row>29</xdr:row>
                    <xdr:rowOff>85725</xdr:rowOff>
                  </from>
                  <to>
                    <xdr:col>8</xdr:col>
                    <xdr:colOff>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reate_journal">
                <anchor moveWithCells="1" sizeWithCells="1">
                  <from>
                    <xdr:col>2</xdr:col>
                    <xdr:colOff>190500</xdr:colOff>
                    <xdr:row>29</xdr:row>
                    <xdr:rowOff>76200</xdr:rowOff>
                  </from>
                  <to>
                    <xdr:col>4</xdr:col>
                    <xdr:colOff>733425</xdr:colOff>
                    <xdr:row>30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114"/>
  <sheetViews>
    <sheetView workbookViewId="0">
      <selection activeCell="A2" sqref="A2"/>
    </sheetView>
  </sheetViews>
  <sheetFormatPr defaultRowHeight="15" x14ac:dyDescent="0.25"/>
  <cols>
    <col min="1" max="2" width="44" style="89" bestFit="1" customWidth="1"/>
    <col min="3" max="3" width="9.140625" style="89"/>
    <col min="4" max="4" width="11.140625" style="90" customWidth="1"/>
    <col min="5" max="5" width="9.140625" style="89"/>
    <col min="6" max="6" width="8.28515625" style="89" bestFit="1" customWidth="1"/>
    <col min="7" max="7" width="9.140625" style="89"/>
    <col min="8" max="8" width="13.7109375" style="89" customWidth="1"/>
    <col min="9" max="10" width="9.140625" style="89"/>
    <col min="11" max="12" width="11.5703125" style="89" bestFit="1" customWidth="1"/>
    <col min="13" max="13" width="11.7109375" style="89" customWidth="1"/>
    <col min="14" max="14" width="15.5703125" style="89" bestFit="1" customWidth="1"/>
    <col min="15" max="15" width="15.42578125" style="89" customWidth="1"/>
    <col min="16" max="16" width="59.7109375" style="89" customWidth="1"/>
    <col min="17" max="17" width="13.28515625" style="89" bestFit="1" customWidth="1"/>
    <col min="18" max="16384" width="9.140625" style="89"/>
  </cols>
  <sheetData>
    <row r="1" spans="1:24" ht="22.5" x14ac:dyDescent="0.25">
      <c r="A1" s="86" t="s">
        <v>47</v>
      </c>
      <c r="B1" s="86" t="s">
        <v>48</v>
      </c>
      <c r="C1" s="86" t="s">
        <v>0</v>
      </c>
      <c r="D1" s="87" t="s">
        <v>49</v>
      </c>
      <c r="E1" s="86" t="s">
        <v>9</v>
      </c>
      <c r="F1" s="88" t="s">
        <v>50</v>
      </c>
      <c r="G1" s="88" t="s">
        <v>51</v>
      </c>
      <c r="H1" s="88" t="s">
        <v>52</v>
      </c>
      <c r="I1" s="88" t="s">
        <v>53</v>
      </c>
      <c r="J1" s="88" t="s">
        <v>54</v>
      </c>
      <c r="K1" s="86" t="s">
        <v>55</v>
      </c>
      <c r="L1" s="86" t="s">
        <v>56</v>
      </c>
      <c r="M1" s="88" t="s">
        <v>57</v>
      </c>
      <c r="N1" s="88" t="s">
        <v>58</v>
      </c>
      <c r="O1" s="88" t="s">
        <v>59</v>
      </c>
      <c r="P1" s="88" t="s">
        <v>60</v>
      </c>
      <c r="Q1" s="88" t="s">
        <v>61</v>
      </c>
      <c r="R1" s="88" t="s">
        <v>62</v>
      </c>
      <c r="S1" s="88" t="s">
        <v>63</v>
      </c>
    </row>
    <row r="2" spans="1:24" x14ac:dyDescent="0.25">
      <c r="A2" s="24"/>
      <c r="B2" s="24"/>
      <c r="C2" s="24"/>
      <c r="D2" s="28"/>
      <c r="E2" s="24"/>
      <c r="F2" s="26"/>
      <c r="G2" s="26"/>
      <c r="H2" s="26"/>
      <c r="I2" s="26"/>
      <c r="J2" s="26"/>
      <c r="K2" s="27"/>
      <c r="L2" s="27"/>
      <c r="M2" s="24"/>
      <c r="N2" s="25"/>
      <c r="O2" s="25"/>
      <c r="P2" s="24"/>
      <c r="Q2" s="24"/>
      <c r="R2" s="24"/>
      <c r="S2" s="24"/>
      <c r="T2" s="24"/>
      <c r="U2" s="24"/>
      <c r="V2" s="24"/>
      <c r="W2" s="25"/>
      <c r="X2" s="24"/>
    </row>
    <row r="3" spans="1:24" x14ac:dyDescent="0.25">
      <c r="A3" s="24"/>
      <c r="B3" s="24"/>
      <c r="C3" s="24"/>
      <c r="D3" s="28"/>
      <c r="E3" s="24"/>
      <c r="F3" s="26"/>
      <c r="G3" s="26"/>
      <c r="H3" s="26"/>
      <c r="I3" s="26"/>
      <c r="J3" s="26"/>
      <c r="K3" s="27"/>
      <c r="L3" s="27"/>
      <c r="M3" s="24"/>
      <c r="N3" s="25"/>
      <c r="O3" s="25"/>
      <c r="P3" s="24"/>
      <c r="Q3" s="24"/>
      <c r="R3" s="24"/>
      <c r="S3" s="24"/>
      <c r="T3" s="24"/>
      <c r="U3" s="24"/>
      <c r="V3" s="24"/>
      <c r="W3" s="25"/>
      <c r="X3" s="24"/>
    </row>
    <row r="4" spans="1:24" x14ac:dyDescent="0.25">
      <c r="A4" s="24"/>
      <c r="B4" s="24"/>
      <c r="C4" s="24"/>
      <c r="D4" s="28"/>
      <c r="E4" s="24"/>
      <c r="F4" s="26"/>
      <c r="G4" s="26"/>
      <c r="H4" s="26"/>
      <c r="I4" s="26"/>
      <c r="J4" s="26"/>
      <c r="K4" s="27"/>
      <c r="L4" s="27"/>
      <c r="M4" s="24"/>
      <c r="N4" s="25"/>
      <c r="O4" s="25"/>
      <c r="P4" s="24"/>
      <c r="Q4" s="24"/>
      <c r="R4" s="24"/>
      <c r="S4" s="24"/>
      <c r="T4" s="24"/>
      <c r="U4" s="24"/>
      <c r="V4" s="24"/>
      <c r="W4" s="25"/>
      <c r="X4" s="24"/>
    </row>
    <row r="5" spans="1:24" x14ac:dyDescent="0.25">
      <c r="A5" s="24"/>
      <c r="B5" s="24"/>
      <c r="C5" s="24"/>
      <c r="D5" s="28"/>
      <c r="E5" s="24"/>
      <c r="F5" s="26"/>
      <c r="G5" s="26"/>
      <c r="H5" s="26"/>
      <c r="I5" s="26"/>
      <c r="J5" s="26"/>
      <c r="K5" s="27"/>
      <c r="L5" s="27"/>
      <c r="M5" s="24"/>
      <c r="N5" s="25"/>
      <c r="O5" s="25"/>
      <c r="P5" s="24"/>
      <c r="Q5" s="24"/>
      <c r="R5" s="24"/>
      <c r="S5" s="24"/>
      <c r="T5" s="24"/>
      <c r="U5" s="24"/>
      <c r="V5" s="24"/>
      <c r="W5" s="25"/>
      <c r="X5" s="24"/>
    </row>
    <row r="6" spans="1:24" x14ac:dyDescent="0.25">
      <c r="A6" s="24"/>
      <c r="B6" s="24"/>
      <c r="C6" s="24"/>
      <c r="D6" s="28"/>
      <c r="E6" s="24"/>
      <c r="F6" s="26"/>
      <c r="G6" s="26"/>
      <c r="H6" s="26"/>
      <c r="I6" s="26"/>
      <c r="J6" s="26"/>
      <c r="K6" s="27"/>
      <c r="L6" s="27"/>
      <c r="M6" s="24"/>
      <c r="N6" s="25"/>
      <c r="O6" s="25"/>
      <c r="P6" s="24"/>
      <c r="Q6" s="24"/>
      <c r="R6" s="24"/>
      <c r="S6" s="24"/>
      <c r="T6" s="24"/>
      <c r="U6" s="24"/>
      <c r="V6" s="24"/>
      <c r="W6" s="25"/>
      <c r="X6" s="24"/>
    </row>
    <row r="7" spans="1:24" x14ac:dyDescent="0.25">
      <c r="A7" s="24"/>
      <c r="B7" s="24"/>
      <c r="C7" s="24"/>
      <c r="D7" s="28"/>
      <c r="E7" s="24"/>
      <c r="F7" s="26"/>
      <c r="G7" s="26"/>
      <c r="H7" s="26"/>
      <c r="I7" s="26"/>
      <c r="J7" s="26"/>
      <c r="K7" s="27"/>
      <c r="L7" s="27"/>
      <c r="M7" s="24"/>
      <c r="N7" s="25"/>
      <c r="O7" s="25"/>
      <c r="P7" s="24"/>
      <c r="Q7" s="24"/>
      <c r="R7" s="24"/>
      <c r="S7" s="24"/>
      <c r="T7" s="24"/>
      <c r="U7" s="24"/>
      <c r="V7" s="24"/>
      <c r="W7" s="25"/>
      <c r="X7" s="24"/>
    </row>
    <row r="8" spans="1:24" x14ac:dyDescent="0.25">
      <c r="A8" s="24"/>
      <c r="B8" s="24"/>
      <c r="C8" s="24"/>
      <c r="D8" s="28"/>
      <c r="E8" s="24"/>
      <c r="F8" s="26"/>
      <c r="G8" s="26"/>
      <c r="H8" s="26"/>
      <c r="I8" s="26"/>
      <c r="J8" s="26"/>
      <c r="K8" s="27"/>
      <c r="L8" s="27"/>
      <c r="M8" s="24"/>
      <c r="N8" s="25"/>
      <c r="O8" s="25"/>
      <c r="P8" s="24"/>
      <c r="Q8" s="24"/>
      <c r="R8" s="24"/>
      <c r="S8" s="24"/>
      <c r="T8" s="24"/>
      <c r="U8" s="24"/>
      <c r="V8" s="24"/>
      <c r="W8" s="25"/>
      <c r="X8" s="24"/>
    </row>
    <row r="9" spans="1:24" x14ac:dyDescent="0.25">
      <c r="A9" s="24"/>
      <c r="B9" s="24"/>
      <c r="C9" s="24"/>
      <c r="D9" s="28"/>
      <c r="E9" s="24"/>
      <c r="F9" s="26"/>
      <c r="G9" s="26"/>
      <c r="H9" s="26"/>
      <c r="I9" s="26"/>
      <c r="J9" s="26"/>
      <c r="K9" s="27"/>
      <c r="L9" s="27"/>
      <c r="M9" s="24"/>
      <c r="N9" s="25"/>
      <c r="O9" s="25"/>
      <c r="P9" s="24"/>
      <c r="Q9" s="24"/>
      <c r="R9" s="24"/>
      <c r="S9" s="24"/>
      <c r="T9" s="24"/>
      <c r="U9" s="24"/>
      <c r="V9" s="24"/>
      <c r="W9" s="25"/>
      <c r="X9" s="24"/>
    </row>
    <row r="10" spans="1:24" x14ac:dyDescent="0.25">
      <c r="A10" s="24"/>
      <c r="B10" s="24"/>
      <c r="C10" s="24"/>
      <c r="D10" s="28"/>
      <c r="E10" s="24"/>
      <c r="F10" s="26"/>
      <c r="G10" s="26"/>
      <c r="H10" s="26"/>
      <c r="I10" s="26"/>
      <c r="J10" s="26"/>
      <c r="K10" s="27"/>
      <c r="L10" s="27"/>
      <c r="M10" s="24"/>
      <c r="N10" s="25"/>
      <c r="O10" s="25"/>
      <c r="P10" s="24"/>
      <c r="Q10" s="24"/>
      <c r="R10" s="24"/>
      <c r="S10" s="24"/>
      <c r="T10" s="24"/>
      <c r="U10" s="24"/>
      <c r="V10" s="24"/>
      <c r="W10" s="25"/>
      <c r="X10" s="24"/>
    </row>
    <row r="11" spans="1:24" x14ac:dyDescent="0.25">
      <c r="A11" s="24"/>
      <c r="B11" s="24"/>
      <c r="C11" s="24"/>
      <c r="D11" s="28"/>
      <c r="E11" s="24"/>
      <c r="F11" s="26"/>
      <c r="G11" s="26"/>
      <c r="H11" s="26"/>
      <c r="I11" s="26"/>
      <c r="J11" s="26"/>
      <c r="K11" s="27"/>
      <c r="L11" s="27"/>
      <c r="M11" s="24"/>
      <c r="N11" s="25"/>
      <c r="O11" s="25"/>
      <c r="P11" s="24"/>
      <c r="Q11" s="24"/>
      <c r="R11" s="24"/>
      <c r="S11" s="24"/>
      <c r="T11" s="24"/>
      <c r="U11" s="24"/>
      <c r="V11" s="24"/>
      <c r="W11" s="25"/>
      <c r="X11" s="24"/>
    </row>
    <row r="12" spans="1:24" x14ac:dyDescent="0.25">
      <c r="A12" s="24"/>
      <c r="B12" s="24"/>
      <c r="C12" s="24"/>
      <c r="D12" s="28"/>
      <c r="E12" s="24"/>
      <c r="F12" s="26"/>
      <c r="G12" s="26"/>
      <c r="H12" s="26"/>
      <c r="I12" s="26"/>
      <c r="J12" s="26"/>
      <c r="K12" s="27"/>
      <c r="L12" s="27"/>
      <c r="M12" s="24"/>
      <c r="N12" s="25"/>
      <c r="O12" s="25"/>
      <c r="P12" s="24"/>
      <c r="Q12" s="24"/>
      <c r="R12" s="24"/>
      <c r="S12" s="24"/>
      <c r="T12" s="24"/>
      <c r="U12" s="24"/>
      <c r="V12" s="24"/>
      <c r="W12" s="25"/>
      <c r="X12" s="24"/>
    </row>
    <row r="13" spans="1:24" x14ac:dyDescent="0.25">
      <c r="A13" s="24"/>
      <c r="B13" s="24"/>
      <c r="C13" s="24"/>
      <c r="D13" s="28"/>
      <c r="E13" s="24"/>
      <c r="F13" s="26"/>
      <c r="G13" s="26"/>
      <c r="H13" s="26"/>
      <c r="I13" s="26"/>
      <c r="J13" s="26"/>
      <c r="K13" s="27"/>
      <c r="L13" s="27"/>
      <c r="M13" s="24"/>
      <c r="N13" s="25"/>
      <c r="O13" s="25"/>
      <c r="P13" s="24"/>
      <c r="Q13" s="24"/>
      <c r="R13" s="24"/>
      <c r="S13" s="24"/>
      <c r="T13" s="24"/>
      <c r="U13" s="24"/>
      <c r="V13" s="24"/>
      <c r="W13" s="25"/>
      <c r="X13" s="24"/>
    </row>
    <row r="14" spans="1:24" x14ac:dyDescent="0.25">
      <c r="A14" s="24"/>
      <c r="B14" s="24"/>
      <c r="C14" s="24"/>
      <c r="D14" s="28"/>
      <c r="E14" s="24"/>
      <c r="F14" s="26"/>
      <c r="G14" s="26"/>
      <c r="H14" s="26"/>
      <c r="I14" s="26"/>
      <c r="J14" s="26"/>
      <c r="K14" s="27"/>
      <c r="L14" s="27"/>
      <c r="M14" s="24"/>
      <c r="N14" s="25"/>
      <c r="O14" s="25"/>
      <c r="P14" s="24"/>
      <c r="Q14" s="24"/>
      <c r="R14" s="24"/>
      <c r="S14" s="24"/>
      <c r="T14" s="24"/>
      <c r="U14" s="24"/>
      <c r="V14" s="24"/>
      <c r="W14" s="25"/>
      <c r="X14" s="24"/>
    </row>
    <row r="15" spans="1:24" x14ac:dyDescent="0.25">
      <c r="A15" s="24"/>
      <c r="B15" s="24"/>
      <c r="C15" s="24"/>
      <c r="D15" s="28"/>
      <c r="E15" s="24"/>
      <c r="F15" s="26"/>
      <c r="G15" s="26"/>
      <c r="H15" s="26"/>
      <c r="I15" s="26"/>
      <c r="J15" s="26"/>
      <c r="K15" s="27"/>
      <c r="L15" s="27"/>
      <c r="M15" s="24"/>
      <c r="N15" s="25"/>
      <c r="O15" s="25"/>
      <c r="P15" s="24"/>
      <c r="Q15" s="24"/>
      <c r="R15" s="24"/>
      <c r="S15" s="24"/>
      <c r="T15" s="24"/>
      <c r="U15" s="24"/>
      <c r="V15" s="24"/>
      <c r="W15" s="25"/>
      <c r="X15" s="24"/>
    </row>
    <row r="16" spans="1:24" x14ac:dyDescent="0.25">
      <c r="A16" s="24"/>
      <c r="B16" s="24"/>
      <c r="C16" s="24"/>
      <c r="D16" s="28"/>
      <c r="E16" s="24"/>
      <c r="F16" s="26"/>
      <c r="G16" s="26"/>
      <c r="H16" s="26"/>
      <c r="I16" s="26"/>
      <c r="J16" s="26"/>
      <c r="K16" s="27"/>
      <c r="L16" s="27"/>
      <c r="M16" s="24"/>
      <c r="N16" s="25"/>
      <c r="O16" s="25"/>
      <c r="P16" s="24"/>
      <c r="Q16" s="24"/>
      <c r="R16" s="24"/>
      <c r="S16" s="24"/>
      <c r="T16" s="24"/>
      <c r="U16" s="24"/>
      <c r="V16" s="24"/>
      <c r="W16" s="25"/>
      <c r="X16" s="24"/>
    </row>
    <row r="17" spans="1:24" x14ac:dyDescent="0.25">
      <c r="A17" s="24"/>
      <c r="B17" s="24"/>
      <c r="C17" s="24"/>
      <c r="D17" s="28"/>
      <c r="E17" s="24"/>
      <c r="F17" s="26"/>
      <c r="G17" s="26"/>
      <c r="H17" s="26"/>
      <c r="I17" s="26"/>
      <c r="J17" s="26"/>
      <c r="K17" s="27"/>
      <c r="L17" s="27"/>
      <c r="M17" s="24"/>
      <c r="N17" s="25"/>
      <c r="O17" s="25"/>
      <c r="P17" s="24"/>
      <c r="Q17" s="24"/>
      <c r="R17" s="24"/>
      <c r="S17" s="24"/>
      <c r="T17" s="24"/>
      <c r="U17" s="24"/>
      <c r="V17" s="24"/>
      <c r="W17" s="25"/>
      <c r="X17" s="24"/>
    </row>
    <row r="18" spans="1:24" x14ac:dyDescent="0.25">
      <c r="A18" s="24"/>
      <c r="B18" s="24"/>
      <c r="C18" s="24"/>
      <c r="D18" s="28"/>
      <c r="E18" s="24"/>
      <c r="F18" s="26"/>
      <c r="G18" s="26"/>
      <c r="H18" s="26"/>
      <c r="I18" s="26"/>
      <c r="J18" s="26"/>
      <c r="K18" s="27"/>
      <c r="L18" s="27"/>
      <c r="M18" s="24"/>
      <c r="N18" s="25"/>
      <c r="O18" s="25"/>
      <c r="P18" s="24"/>
      <c r="Q18" s="24"/>
      <c r="R18" s="24"/>
      <c r="S18" s="24"/>
      <c r="T18" s="24"/>
      <c r="U18" s="24"/>
      <c r="V18" s="24"/>
      <c r="W18" s="25"/>
      <c r="X18" s="24"/>
    </row>
    <row r="19" spans="1:24" x14ac:dyDescent="0.25">
      <c r="A19" s="24"/>
      <c r="B19" s="24"/>
      <c r="C19" s="24"/>
      <c r="D19" s="28"/>
      <c r="E19" s="24"/>
      <c r="F19" s="26"/>
      <c r="G19" s="26"/>
      <c r="H19" s="26"/>
      <c r="I19" s="26"/>
      <c r="J19" s="26"/>
      <c r="K19" s="27"/>
      <c r="L19" s="27"/>
      <c r="M19" s="24"/>
      <c r="N19" s="25"/>
      <c r="O19" s="25"/>
      <c r="P19" s="24"/>
      <c r="Q19" s="24"/>
      <c r="R19" s="24"/>
      <c r="S19" s="24"/>
      <c r="T19" s="24"/>
      <c r="U19" s="24"/>
      <c r="V19" s="24"/>
      <c r="W19" s="25"/>
      <c r="X19" s="24"/>
    </row>
    <row r="20" spans="1:24" x14ac:dyDescent="0.25">
      <c r="A20" s="24"/>
      <c r="B20" s="24"/>
      <c r="C20" s="24"/>
      <c r="D20" s="28"/>
      <c r="E20" s="24"/>
      <c r="F20" s="26"/>
      <c r="G20" s="26"/>
      <c r="H20" s="26"/>
      <c r="I20" s="26"/>
      <c r="J20" s="26"/>
      <c r="K20" s="27"/>
      <c r="L20" s="27"/>
      <c r="M20" s="24"/>
      <c r="N20" s="25"/>
      <c r="O20" s="25"/>
      <c r="P20" s="24"/>
      <c r="Q20" s="24"/>
      <c r="R20" s="24"/>
      <c r="S20" s="24"/>
      <c r="T20" s="24"/>
      <c r="U20" s="24"/>
    </row>
    <row r="21" spans="1:24" x14ac:dyDescent="0.25">
      <c r="A21" s="24"/>
      <c r="B21" s="24"/>
      <c r="C21" s="24"/>
      <c r="D21" s="28"/>
      <c r="E21" s="24"/>
      <c r="F21" s="26"/>
      <c r="G21" s="26"/>
      <c r="H21" s="26"/>
      <c r="I21" s="26"/>
      <c r="J21" s="26"/>
      <c r="K21" s="27"/>
      <c r="L21" s="27"/>
      <c r="M21" s="24"/>
      <c r="N21" s="25"/>
      <c r="O21" s="25"/>
      <c r="P21" s="24"/>
      <c r="Q21" s="24"/>
      <c r="R21" s="24"/>
      <c r="S21" s="24"/>
      <c r="T21" s="24"/>
      <c r="U21" s="24"/>
    </row>
    <row r="22" spans="1:24" x14ac:dyDescent="0.25">
      <c r="A22" s="24"/>
      <c r="B22" s="24"/>
      <c r="C22" s="24"/>
      <c r="D22" s="28"/>
      <c r="E22" s="24"/>
      <c r="F22" s="26"/>
      <c r="G22" s="26"/>
      <c r="H22" s="26"/>
      <c r="I22" s="26"/>
      <c r="J22" s="26"/>
      <c r="K22" s="27"/>
      <c r="L22" s="27"/>
      <c r="M22" s="24"/>
      <c r="N22" s="25"/>
      <c r="O22" s="25"/>
      <c r="P22" s="24"/>
      <c r="Q22" s="24"/>
      <c r="R22" s="24"/>
      <c r="S22" s="24"/>
      <c r="T22" s="24"/>
      <c r="U22" s="24"/>
    </row>
    <row r="23" spans="1:24" x14ac:dyDescent="0.25">
      <c r="A23" s="24"/>
      <c r="B23" s="24"/>
      <c r="C23" s="24"/>
      <c r="D23" s="28"/>
      <c r="E23" s="24"/>
      <c r="F23" s="26"/>
      <c r="G23" s="26"/>
      <c r="H23" s="26"/>
      <c r="I23" s="26"/>
      <c r="J23" s="26"/>
      <c r="K23" s="27"/>
      <c r="L23" s="27"/>
      <c r="M23" s="24"/>
      <c r="N23" s="25"/>
      <c r="O23" s="25"/>
      <c r="P23" s="24"/>
      <c r="Q23" s="24"/>
      <c r="R23" s="24"/>
      <c r="S23" s="24"/>
      <c r="T23" s="24"/>
      <c r="U23" s="24"/>
    </row>
    <row r="24" spans="1:24" x14ac:dyDescent="0.25">
      <c r="A24" s="24"/>
      <c r="B24" s="24"/>
      <c r="C24" s="24"/>
      <c r="D24" s="28"/>
      <c r="E24" s="24"/>
      <c r="F24" s="26"/>
      <c r="G24" s="26"/>
      <c r="H24" s="26"/>
      <c r="I24" s="26"/>
      <c r="J24" s="26"/>
      <c r="K24" s="27"/>
      <c r="L24" s="27"/>
      <c r="M24" s="24"/>
      <c r="N24" s="25"/>
      <c r="O24" s="25"/>
      <c r="P24" s="24"/>
      <c r="Q24" s="24"/>
      <c r="R24" s="24"/>
      <c r="S24" s="24"/>
      <c r="T24" s="24"/>
      <c r="U24" s="24"/>
    </row>
    <row r="25" spans="1:24" x14ac:dyDescent="0.25">
      <c r="A25" s="24"/>
      <c r="B25" s="24"/>
      <c r="C25" s="24"/>
      <c r="D25" s="28"/>
      <c r="E25" s="24"/>
      <c r="F25" s="26"/>
      <c r="G25" s="26"/>
      <c r="H25" s="26"/>
      <c r="I25" s="26"/>
      <c r="J25" s="26"/>
      <c r="K25" s="27"/>
      <c r="L25" s="27"/>
      <c r="M25" s="24"/>
      <c r="N25" s="25"/>
      <c r="O25" s="25"/>
      <c r="P25" s="24"/>
      <c r="Q25" s="24"/>
      <c r="R25" s="24"/>
      <c r="S25" s="24"/>
      <c r="T25" s="24"/>
      <c r="U25" s="24"/>
    </row>
    <row r="26" spans="1:24" x14ac:dyDescent="0.25">
      <c r="A26" s="24"/>
      <c r="B26" s="24"/>
      <c r="C26" s="24"/>
      <c r="D26" s="28"/>
      <c r="E26" s="24"/>
      <c r="F26" s="26"/>
      <c r="G26" s="26"/>
      <c r="H26" s="26"/>
      <c r="I26" s="26"/>
      <c r="J26" s="26"/>
      <c r="K26" s="27"/>
      <c r="L26" s="27"/>
      <c r="M26" s="24"/>
      <c r="N26" s="25"/>
      <c r="O26" s="25"/>
      <c r="P26" s="24"/>
      <c r="Q26" s="24"/>
      <c r="R26" s="24"/>
      <c r="S26" s="24"/>
      <c r="T26" s="24"/>
      <c r="U26" s="24"/>
    </row>
    <row r="27" spans="1:24" x14ac:dyDescent="0.25">
      <c r="A27" s="24"/>
      <c r="B27" s="24"/>
      <c r="C27" s="24"/>
      <c r="D27" s="28"/>
      <c r="E27" s="24"/>
      <c r="F27" s="26"/>
      <c r="G27" s="26"/>
      <c r="H27" s="26"/>
      <c r="I27" s="26"/>
      <c r="J27" s="26"/>
      <c r="K27" s="27"/>
      <c r="L27" s="27"/>
      <c r="M27" s="24"/>
      <c r="N27" s="25"/>
      <c r="O27" s="25"/>
      <c r="P27" s="24"/>
      <c r="Q27" s="24"/>
      <c r="R27" s="24"/>
      <c r="S27" s="24"/>
      <c r="T27" s="24"/>
      <c r="U27" s="24"/>
    </row>
    <row r="28" spans="1:24" x14ac:dyDescent="0.25">
      <c r="A28" s="24"/>
      <c r="B28" s="24"/>
      <c r="C28" s="24"/>
      <c r="D28" s="28"/>
      <c r="E28" s="24"/>
      <c r="F28" s="26"/>
      <c r="G28" s="26"/>
      <c r="H28" s="26"/>
      <c r="I28" s="26"/>
      <c r="J28" s="26"/>
      <c r="K28" s="27"/>
      <c r="L28" s="27"/>
      <c r="M28" s="24"/>
      <c r="N28" s="25"/>
      <c r="O28" s="25"/>
      <c r="P28" s="24"/>
      <c r="Q28" s="24"/>
      <c r="R28" s="24"/>
      <c r="S28" s="24"/>
      <c r="T28" s="24"/>
      <c r="U28" s="24"/>
    </row>
    <row r="29" spans="1:24" x14ac:dyDescent="0.25">
      <c r="A29" s="24"/>
      <c r="B29" s="24"/>
      <c r="C29" s="24"/>
      <c r="D29" s="28"/>
      <c r="E29" s="24"/>
      <c r="F29" s="26"/>
      <c r="G29" s="26"/>
      <c r="H29" s="26"/>
      <c r="I29" s="26"/>
      <c r="J29" s="26"/>
      <c r="K29" s="27"/>
      <c r="L29" s="27"/>
      <c r="M29" s="24"/>
      <c r="N29" s="25"/>
      <c r="O29" s="25"/>
      <c r="P29" s="24"/>
      <c r="Q29" s="24"/>
      <c r="R29" s="24"/>
      <c r="S29" s="24"/>
      <c r="T29" s="24"/>
      <c r="U29" s="24"/>
    </row>
    <row r="30" spans="1:24" x14ac:dyDescent="0.25">
      <c r="A30" s="24"/>
      <c r="B30" s="24"/>
      <c r="C30" s="24"/>
      <c r="D30" s="28"/>
      <c r="E30" s="24"/>
      <c r="F30" s="26"/>
      <c r="G30" s="26"/>
      <c r="H30" s="26"/>
      <c r="I30" s="26"/>
      <c r="J30" s="26"/>
      <c r="K30" s="27"/>
      <c r="L30" s="27"/>
      <c r="M30" s="24"/>
      <c r="N30" s="25"/>
      <c r="O30" s="25"/>
      <c r="P30" s="24"/>
      <c r="Q30" s="24"/>
      <c r="R30" s="24"/>
      <c r="S30" s="24"/>
      <c r="T30" s="24"/>
      <c r="U30" s="24"/>
    </row>
    <row r="31" spans="1:24" x14ac:dyDescent="0.25">
      <c r="A31" s="24"/>
      <c r="B31" s="24"/>
      <c r="C31" s="24"/>
      <c r="D31" s="28"/>
      <c r="E31" s="24"/>
      <c r="F31" s="26"/>
      <c r="G31" s="26"/>
      <c r="H31" s="26"/>
      <c r="I31" s="26"/>
      <c r="J31" s="26"/>
      <c r="K31" s="27"/>
      <c r="L31" s="27"/>
      <c r="M31" s="24"/>
      <c r="N31" s="25"/>
      <c r="O31" s="25"/>
      <c r="P31" s="24"/>
      <c r="Q31" s="24"/>
      <c r="R31" s="24"/>
      <c r="S31" s="24"/>
      <c r="T31" s="24"/>
      <c r="U31" s="24"/>
    </row>
    <row r="32" spans="1:24" x14ac:dyDescent="0.25">
      <c r="A32" s="24"/>
      <c r="B32" s="24"/>
      <c r="C32" s="24"/>
      <c r="D32" s="28"/>
      <c r="E32" s="24"/>
      <c r="F32" s="26"/>
      <c r="G32" s="26"/>
      <c r="H32" s="26"/>
      <c r="I32" s="26"/>
      <c r="J32" s="26"/>
      <c r="K32" s="27"/>
      <c r="L32" s="27"/>
      <c r="M32" s="24"/>
      <c r="N32" s="25"/>
      <c r="O32" s="25"/>
      <c r="P32" s="24"/>
      <c r="Q32" s="24"/>
      <c r="R32" s="24"/>
      <c r="S32" s="24"/>
      <c r="T32" s="24"/>
      <c r="U32" s="24"/>
    </row>
    <row r="33" spans="1:21" x14ac:dyDescent="0.25">
      <c r="A33" s="24"/>
      <c r="B33" s="24"/>
      <c r="C33" s="24"/>
      <c r="D33" s="28"/>
      <c r="E33" s="24"/>
      <c r="F33" s="26"/>
      <c r="G33" s="26"/>
      <c r="H33" s="26"/>
      <c r="I33" s="26"/>
      <c r="J33" s="26"/>
      <c r="K33" s="27"/>
      <c r="L33" s="27"/>
      <c r="M33" s="24"/>
      <c r="N33" s="25"/>
      <c r="O33" s="25"/>
      <c r="P33" s="24"/>
      <c r="Q33" s="24"/>
      <c r="R33" s="24"/>
      <c r="S33" s="24"/>
      <c r="T33" s="24"/>
      <c r="U33" s="24"/>
    </row>
    <row r="34" spans="1:21" x14ac:dyDescent="0.25">
      <c r="A34" s="24"/>
      <c r="B34" s="24"/>
      <c r="C34" s="24"/>
      <c r="D34" s="28"/>
      <c r="E34" s="24"/>
      <c r="F34" s="26"/>
      <c r="G34" s="26"/>
      <c r="H34" s="26"/>
      <c r="I34" s="26"/>
      <c r="J34" s="26"/>
      <c r="K34" s="27"/>
      <c r="L34" s="27"/>
      <c r="M34" s="24"/>
      <c r="N34" s="25"/>
      <c r="O34" s="25"/>
      <c r="P34" s="24"/>
      <c r="Q34" s="24"/>
      <c r="R34" s="24"/>
      <c r="S34" s="24"/>
      <c r="T34" s="24"/>
      <c r="U34" s="24"/>
    </row>
    <row r="35" spans="1:21" x14ac:dyDescent="0.25">
      <c r="A35" s="24"/>
      <c r="B35" s="24"/>
      <c r="C35" s="24"/>
      <c r="D35" s="28"/>
      <c r="E35" s="24"/>
      <c r="F35" s="26"/>
      <c r="G35" s="26"/>
      <c r="H35" s="26"/>
      <c r="I35" s="26"/>
      <c r="J35" s="26"/>
      <c r="K35" s="27"/>
      <c r="L35" s="27"/>
      <c r="M35" s="24"/>
      <c r="N35" s="25"/>
      <c r="O35" s="25"/>
      <c r="P35" s="24"/>
      <c r="Q35" s="24"/>
      <c r="R35" s="24"/>
      <c r="S35" s="24"/>
      <c r="T35" s="24"/>
      <c r="U35" s="24"/>
    </row>
    <row r="36" spans="1:21" x14ac:dyDescent="0.25">
      <c r="A36" s="24"/>
      <c r="B36" s="24"/>
      <c r="C36" s="24"/>
      <c r="D36" s="28"/>
      <c r="E36" s="24"/>
      <c r="F36" s="26"/>
      <c r="G36" s="26"/>
      <c r="H36" s="26"/>
      <c r="I36" s="26"/>
      <c r="J36" s="26"/>
      <c r="K36" s="27"/>
      <c r="L36" s="27"/>
      <c r="M36" s="24"/>
      <c r="N36" s="25"/>
      <c r="O36" s="25"/>
      <c r="P36" s="24"/>
      <c r="Q36" s="24"/>
      <c r="R36" s="24"/>
      <c r="S36" s="24"/>
      <c r="T36" s="24"/>
      <c r="U36" s="24"/>
    </row>
    <row r="37" spans="1:21" x14ac:dyDescent="0.25">
      <c r="A37" s="24"/>
      <c r="B37" s="24"/>
      <c r="C37" s="24"/>
      <c r="D37" s="28"/>
      <c r="E37" s="24"/>
      <c r="F37" s="26"/>
      <c r="G37" s="26"/>
      <c r="H37" s="26"/>
      <c r="I37" s="26"/>
      <c r="J37" s="26"/>
      <c r="K37" s="27"/>
      <c r="L37" s="27"/>
      <c r="M37" s="24"/>
      <c r="N37" s="25"/>
      <c r="O37" s="25"/>
      <c r="P37" s="24"/>
      <c r="Q37" s="24"/>
      <c r="R37" s="24"/>
      <c r="S37" s="24"/>
      <c r="T37" s="24"/>
      <c r="U37" s="24"/>
    </row>
    <row r="38" spans="1:21" x14ac:dyDescent="0.25">
      <c r="A38" s="24"/>
      <c r="B38" s="24"/>
      <c r="C38" s="24"/>
      <c r="D38" s="28"/>
      <c r="E38" s="24"/>
      <c r="F38" s="26"/>
      <c r="G38" s="26"/>
      <c r="H38" s="26"/>
      <c r="I38" s="26"/>
      <c r="J38" s="26"/>
      <c r="K38" s="27"/>
      <c r="L38" s="27"/>
      <c r="M38" s="24"/>
      <c r="N38" s="25"/>
      <c r="O38" s="25"/>
      <c r="P38" s="24"/>
      <c r="Q38" s="24"/>
      <c r="R38" s="24"/>
      <c r="S38" s="24"/>
      <c r="T38" s="24"/>
      <c r="U38" s="24"/>
    </row>
    <row r="39" spans="1:21" x14ac:dyDescent="0.25">
      <c r="A39" s="24"/>
      <c r="B39" s="24"/>
      <c r="C39" s="24"/>
      <c r="D39" s="28"/>
      <c r="E39" s="24"/>
      <c r="F39" s="26"/>
      <c r="G39" s="26"/>
      <c r="H39" s="26"/>
      <c r="I39" s="26"/>
      <c r="J39" s="26"/>
      <c r="K39" s="27"/>
      <c r="L39" s="27"/>
      <c r="M39" s="24"/>
      <c r="N39" s="25"/>
      <c r="O39" s="25"/>
      <c r="P39" s="24"/>
      <c r="Q39" s="24"/>
      <c r="R39" s="24"/>
      <c r="S39" s="24"/>
      <c r="T39" s="24"/>
      <c r="U39" s="24"/>
    </row>
    <row r="40" spans="1:21" x14ac:dyDescent="0.25">
      <c r="A40" s="24"/>
      <c r="B40" s="24"/>
      <c r="C40" s="24"/>
      <c r="D40" s="28"/>
      <c r="E40" s="24"/>
      <c r="F40" s="26"/>
      <c r="G40" s="26"/>
      <c r="H40" s="26"/>
      <c r="I40" s="26"/>
      <c r="J40" s="26"/>
      <c r="K40" s="27"/>
      <c r="L40" s="27"/>
      <c r="M40" s="24"/>
      <c r="N40" s="25"/>
      <c r="O40" s="25"/>
      <c r="P40" s="24"/>
      <c r="Q40" s="24"/>
      <c r="R40" s="24"/>
      <c r="S40" s="24"/>
      <c r="T40" s="24"/>
      <c r="U40" s="24"/>
    </row>
    <row r="41" spans="1:21" x14ac:dyDescent="0.25">
      <c r="A41" s="24"/>
      <c r="B41" s="24"/>
      <c r="C41" s="24"/>
      <c r="D41" s="28"/>
      <c r="E41" s="24"/>
      <c r="F41" s="26"/>
      <c r="G41" s="26"/>
      <c r="H41" s="26"/>
      <c r="I41" s="26"/>
      <c r="J41" s="26"/>
      <c r="K41" s="27"/>
      <c r="L41" s="27"/>
      <c r="M41" s="24"/>
      <c r="N41" s="25"/>
      <c r="O41" s="25"/>
      <c r="P41" s="24"/>
      <c r="Q41" s="24"/>
      <c r="R41" s="24"/>
      <c r="S41" s="24"/>
      <c r="T41" s="24"/>
      <c r="U41" s="24"/>
    </row>
    <row r="42" spans="1:21" x14ac:dyDescent="0.25">
      <c r="A42" s="24"/>
      <c r="B42" s="24"/>
      <c r="C42" s="24"/>
      <c r="D42" s="28"/>
      <c r="E42" s="24"/>
      <c r="F42" s="26"/>
      <c r="G42" s="26"/>
      <c r="H42" s="26"/>
      <c r="I42" s="26"/>
      <c r="J42" s="26"/>
      <c r="K42" s="27"/>
      <c r="L42" s="27"/>
      <c r="M42" s="24"/>
      <c r="N42" s="25"/>
      <c r="O42" s="25"/>
      <c r="P42" s="24"/>
      <c r="Q42" s="24"/>
      <c r="R42" s="24"/>
      <c r="S42" s="24"/>
      <c r="T42" s="24"/>
      <c r="U42" s="24"/>
    </row>
    <row r="43" spans="1:21" x14ac:dyDescent="0.25">
      <c r="A43" s="24"/>
      <c r="B43" s="24"/>
      <c r="C43" s="24"/>
      <c r="D43" s="28"/>
      <c r="E43" s="24"/>
      <c r="F43" s="26"/>
      <c r="G43" s="26"/>
      <c r="H43" s="26"/>
      <c r="I43" s="26"/>
      <c r="J43" s="26"/>
      <c r="K43" s="27"/>
      <c r="L43" s="27"/>
      <c r="M43" s="24"/>
      <c r="N43" s="25"/>
      <c r="O43" s="25"/>
      <c r="P43" s="24"/>
      <c r="Q43" s="24"/>
      <c r="R43" s="24"/>
      <c r="S43" s="24"/>
      <c r="T43" s="24"/>
      <c r="U43" s="24"/>
    </row>
    <row r="44" spans="1:21" x14ac:dyDescent="0.25">
      <c r="A44" s="24"/>
      <c r="B44" s="24"/>
      <c r="C44" s="24"/>
      <c r="D44" s="28"/>
      <c r="E44" s="24"/>
      <c r="F44" s="26"/>
      <c r="G44" s="26"/>
      <c r="H44" s="26"/>
      <c r="I44" s="26"/>
      <c r="J44" s="26"/>
      <c r="K44" s="27"/>
      <c r="L44" s="27"/>
      <c r="M44" s="24"/>
      <c r="N44" s="25"/>
      <c r="O44" s="25"/>
      <c r="P44" s="24"/>
      <c r="Q44" s="24"/>
      <c r="R44" s="24"/>
      <c r="S44" s="24"/>
      <c r="T44" s="24"/>
      <c r="U44" s="24"/>
    </row>
    <row r="45" spans="1:21" x14ac:dyDescent="0.25">
      <c r="A45" s="24"/>
      <c r="B45" s="24"/>
      <c r="C45" s="24"/>
      <c r="D45" s="28"/>
      <c r="E45" s="24"/>
      <c r="F45" s="26"/>
      <c r="G45" s="26"/>
      <c r="H45" s="26"/>
      <c r="I45" s="26"/>
      <c r="J45" s="26"/>
      <c r="K45" s="27"/>
      <c r="L45" s="27"/>
      <c r="M45" s="24"/>
      <c r="N45" s="25"/>
      <c r="O45" s="25"/>
      <c r="P45" s="24"/>
      <c r="Q45" s="24"/>
      <c r="R45" s="24"/>
      <c r="S45" s="24"/>
      <c r="T45" s="24"/>
      <c r="U45" s="24"/>
    </row>
    <row r="46" spans="1:21" x14ac:dyDescent="0.25">
      <c r="A46" s="24"/>
      <c r="B46" s="24"/>
      <c r="C46" s="24"/>
      <c r="D46" s="28"/>
      <c r="E46" s="24"/>
      <c r="F46" s="26"/>
      <c r="G46" s="26"/>
      <c r="H46" s="26"/>
      <c r="I46" s="26"/>
      <c r="J46" s="26"/>
      <c r="K46" s="27"/>
      <c r="L46" s="27"/>
      <c r="M46" s="24"/>
      <c r="N46" s="25"/>
      <c r="O46" s="25"/>
      <c r="P46" s="24"/>
      <c r="Q46" s="24"/>
      <c r="R46" s="24"/>
      <c r="S46" s="24"/>
      <c r="T46" s="24"/>
      <c r="U46" s="24"/>
    </row>
    <row r="47" spans="1:21" x14ac:dyDescent="0.25">
      <c r="A47" s="24"/>
      <c r="B47" s="24"/>
      <c r="C47" s="24"/>
      <c r="D47" s="28"/>
      <c r="E47" s="24"/>
      <c r="F47" s="26"/>
      <c r="G47" s="26"/>
      <c r="H47" s="26"/>
      <c r="I47" s="26"/>
      <c r="J47" s="26"/>
      <c r="K47" s="27"/>
      <c r="L47" s="27"/>
      <c r="M47" s="24"/>
      <c r="N47" s="25"/>
      <c r="O47" s="25"/>
      <c r="P47" s="24"/>
      <c r="Q47" s="24"/>
      <c r="R47" s="24"/>
      <c r="S47" s="24"/>
      <c r="T47" s="24"/>
      <c r="U47" s="24"/>
    </row>
    <row r="48" spans="1:21" x14ac:dyDescent="0.25">
      <c r="A48" s="24"/>
      <c r="B48" s="24"/>
      <c r="C48" s="24"/>
      <c r="D48" s="28"/>
      <c r="E48" s="24"/>
      <c r="F48" s="26"/>
      <c r="G48" s="26"/>
      <c r="H48" s="26"/>
      <c r="I48" s="26"/>
      <c r="J48" s="26"/>
      <c r="K48" s="27"/>
      <c r="L48" s="27"/>
      <c r="M48" s="24"/>
      <c r="N48" s="25"/>
      <c r="O48" s="25"/>
      <c r="P48" s="24"/>
      <c r="Q48" s="24"/>
      <c r="R48" s="24"/>
      <c r="S48" s="24"/>
      <c r="T48" s="24"/>
      <c r="U48" s="24"/>
    </row>
    <row r="49" spans="1:21" x14ac:dyDescent="0.25">
      <c r="A49" s="24"/>
      <c r="B49" s="24"/>
      <c r="C49" s="24"/>
      <c r="D49" s="28"/>
      <c r="E49" s="24"/>
      <c r="F49" s="26"/>
      <c r="G49" s="26"/>
      <c r="H49" s="26"/>
      <c r="I49" s="26"/>
      <c r="J49" s="26"/>
      <c r="K49" s="27"/>
      <c r="L49" s="27"/>
      <c r="M49" s="24"/>
      <c r="N49" s="25"/>
      <c r="O49" s="25"/>
      <c r="P49" s="24"/>
      <c r="Q49" s="24"/>
      <c r="R49" s="24"/>
      <c r="S49" s="24"/>
      <c r="T49" s="24"/>
      <c r="U49" s="24"/>
    </row>
    <row r="50" spans="1:21" x14ac:dyDescent="0.25">
      <c r="A50" s="24"/>
      <c r="B50" s="24"/>
      <c r="C50" s="24"/>
      <c r="D50" s="28"/>
      <c r="E50" s="24"/>
      <c r="F50" s="26"/>
      <c r="G50" s="26"/>
      <c r="H50" s="26"/>
      <c r="I50" s="26"/>
      <c r="J50" s="26"/>
      <c r="K50" s="27"/>
      <c r="L50" s="27"/>
      <c r="M50" s="24"/>
      <c r="N50" s="25"/>
      <c r="O50" s="25"/>
      <c r="P50" s="24"/>
      <c r="Q50" s="24"/>
      <c r="R50" s="24"/>
      <c r="S50" s="24"/>
      <c r="T50" s="24"/>
      <c r="U50" s="24"/>
    </row>
    <row r="51" spans="1:21" x14ac:dyDescent="0.25">
      <c r="A51" s="24"/>
      <c r="B51" s="24"/>
      <c r="C51" s="24"/>
      <c r="D51" s="28"/>
      <c r="E51" s="24"/>
      <c r="F51" s="26"/>
      <c r="G51" s="26"/>
      <c r="H51" s="26"/>
      <c r="I51" s="26"/>
      <c r="J51" s="26"/>
      <c r="K51" s="27"/>
      <c r="L51" s="27"/>
      <c r="M51" s="24"/>
      <c r="N51" s="25"/>
      <c r="O51" s="25"/>
      <c r="P51" s="24"/>
      <c r="Q51" s="24"/>
      <c r="R51" s="24"/>
      <c r="S51" s="24"/>
      <c r="T51" s="24"/>
      <c r="U51" s="24"/>
    </row>
    <row r="52" spans="1:21" x14ac:dyDescent="0.25">
      <c r="A52" s="24"/>
      <c r="B52" s="24"/>
      <c r="C52" s="24"/>
      <c r="D52" s="28"/>
      <c r="E52" s="24"/>
      <c r="F52" s="26"/>
      <c r="G52" s="26"/>
      <c r="H52" s="26"/>
      <c r="I52" s="26"/>
      <c r="J52" s="26"/>
      <c r="K52" s="27"/>
      <c r="L52" s="27"/>
      <c r="M52" s="24"/>
      <c r="N52" s="25"/>
      <c r="O52" s="25"/>
      <c r="P52" s="24"/>
      <c r="Q52" s="24"/>
      <c r="R52" s="24"/>
      <c r="S52" s="24"/>
      <c r="T52" s="24"/>
      <c r="U52" s="24"/>
    </row>
    <row r="53" spans="1:21" x14ac:dyDescent="0.25">
      <c r="A53" s="24"/>
      <c r="B53" s="24"/>
      <c r="C53" s="24"/>
      <c r="D53" s="28"/>
      <c r="E53" s="24"/>
      <c r="F53" s="26"/>
      <c r="G53" s="26"/>
      <c r="H53" s="26"/>
      <c r="I53" s="26"/>
      <c r="J53" s="26"/>
      <c r="K53" s="27"/>
      <c r="L53" s="27"/>
      <c r="M53" s="24"/>
      <c r="N53" s="25"/>
      <c r="O53" s="25"/>
      <c r="P53" s="24"/>
      <c r="Q53" s="24"/>
      <c r="R53" s="24"/>
      <c r="S53" s="24"/>
      <c r="T53" s="24"/>
      <c r="U53" s="24"/>
    </row>
    <row r="54" spans="1:21" x14ac:dyDescent="0.25">
      <c r="A54" s="24"/>
      <c r="B54" s="24"/>
      <c r="C54" s="24"/>
      <c r="D54" s="28"/>
      <c r="E54" s="24"/>
      <c r="F54" s="26"/>
      <c r="G54" s="26"/>
      <c r="H54" s="26"/>
      <c r="I54" s="26"/>
      <c r="J54" s="26"/>
      <c r="K54" s="27"/>
      <c r="L54" s="27"/>
      <c r="M54" s="24"/>
      <c r="N54" s="25"/>
      <c r="O54" s="25"/>
      <c r="P54" s="24"/>
      <c r="Q54" s="24"/>
      <c r="R54" s="24"/>
      <c r="S54" s="24"/>
      <c r="T54" s="24"/>
      <c r="U54" s="24"/>
    </row>
    <row r="55" spans="1:21" x14ac:dyDescent="0.25">
      <c r="A55" s="24"/>
      <c r="B55" s="24"/>
      <c r="C55" s="24"/>
      <c r="D55" s="28"/>
      <c r="E55" s="24"/>
      <c r="F55" s="26"/>
      <c r="G55" s="26"/>
      <c r="H55" s="26"/>
      <c r="I55" s="26"/>
      <c r="J55" s="26"/>
      <c r="K55" s="27"/>
      <c r="L55" s="27"/>
      <c r="M55" s="24"/>
      <c r="N55" s="25"/>
      <c r="O55" s="25"/>
      <c r="P55" s="24"/>
      <c r="Q55" s="24"/>
      <c r="R55" s="24"/>
      <c r="S55" s="24"/>
      <c r="T55" s="24"/>
      <c r="U55" s="24"/>
    </row>
    <row r="56" spans="1:21" x14ac:dyDescent="0.25">
      <c r="A56" s="24"/>
      <c r="B56" s="24"/>
      <c r="C56" s="24"/>
      <c r="D56" s="28"/>
      <c r="E56" s="24"/>
      <c r="F56" s="26"/>
      <c r="G56" s="26"/>
      <c r="H56" s="26"/>
      <c r="I56" s="26"/>
      <c r="J56" s="26"/>
      <c r="K56" s="27"/>
      <c r="L56" s="27"/>
      <c r="M56" s="24"/>
      <c r="N56" s="25"/>
      <c r="O56" s="25"/>
      <c r="P56" s="24"/>
      <c r="Q56" s="24"/>
      <c r="R56" s="24"/>
      <c r="S56" s="24"/>
      <c r="T56" s="24"/>
      <c r="U56" s="24"/>
    </row>
    <row r="57" spans="1:21" x14ac:dyDescent="0.25">
      <c r="A57" s="24"/>
      <c r="B57" s="24"/>
      <c r="C57" s="24"/>
      <c r="D57" s="28"/>
      <c r="E57" s="24"/>
      <c r="F57" s="26"/>
      <c r="G57" s="26"/>
      <c r="H57" s="26"/>
      <c r="I57" s="26"/>
      <c r="J57" s="26"/>
      <c r="K57" s="27"/>
      <c r="L57" s="27"/>
      <c r="M57" s="24"/>
      <c r="N57" s="25"/>
      <c r="O57" s="25"/>
      <c r="P57" s="24"/>
      <c r="Q57" s="24"/>
      <c r="R57" s="24"/>
      <c r="S57" s="24"/>
      <c r="T57" s="24"/>
      <c r="U57" s="24"/>
    </row>
    <row r="58" spans="1:21" x14ac:dyDescent="0.25">
      <c r="A58" s="24"/>
      <c r="B58" s="24"/>
      <c r="C58" s="24"/>
      <c r="D58" s="28"/>
      <c r="E58" s="24"/>
      <c r="F58" s="26"/>
      <c r="G58" s="26"/>
      <c r="H58" s="26"/>
      <c r="I58" s="26"/>
      <c r="J58" s="26"/>
      <c r="K58" s="27"/>
      <c r="L58" s="27"/>
      <c r="M58" s="24"/>
      <c r="N58" s="25"/>
      <c r="O58" s="25"/>
      <c r="P58" s="24"/>
      <c r="Q58" s="24"/>
      <c r="R58" s="24"/>
      <c r="S58" s="24"/>
      <c r="T58" s="24"/>
      <c r="U58" s="24"/>
    </row>
    <row r="59" spans="1:21" x14ac:dyDescent="0.25">
      <c r="A59" s="24"/>
      <c r="B59" s="24"/>
      <c r="C59" s="24"/>
      <c r="D59" s="28"/>
      <c r="E59" s="24"/>
      <c r="F59" s="26"/>
      <c r="G59" s="26"/>
      <c r="H59" s="26"/>
      <c r="I59" s="26"/>
      <c r="J59" s="26"/>
      <c r="K59" s="27"/>
      <c r="L59" s="27"/>
      <c r="M59" s="24"/>
      <c r="N59" s="25"/>
      <c r="O59" s="25"/>
      <c r="P59" s="24"/>
      <c r="Q59" s="24"/>
      <c r="R59" s="24"/>
      <c r="S59" s="24"/>
      <c r="T59" s="24"/>
      <c r="U59" s="24"/>
    </row>
    <row r="60" spans="1:21" x14ac:dyDescent="0.25">
      <c r="A60" s="24"/>
      <c r="B60" s="24"/>
      <c r="C60" s="24"/>
      <c r="D60" s="28"/>
      <c r="E60" s="24"/>
      <c r="F60" s="26"/>
      <c r="G60" s="26"/>
      <c r="H60" s="26"/>
      <c r="I60" s="26"/>
      <c r="J60" s="26"/>
      <c r="K60" s="27"/>
      <c r="L60" s="27"/>
      <c r="M60" s="24"/>
      <c r="N60" s="25"/>
      <c r="O60" s="25"/>
      <c r="P60" s="24"/>
      <c r="Q60" s="24"/>
      <c r="R60" s="24"/>
      <c r="S60" s="24"/>
      <c r="T60" s="24"/>
      <c r="U60" s="24"/>
    </row>
    <row r="61" spans="1:21" x14ac:dyDescent="0.25">
      <c r="A61" s="24"/>
      <c r="B61" s="24"/>
      <c r="C61" s="24"/>
      <c r="D61" s="28"/>
      <c r="E61" s="24"/>
      <c r="F61" s="26"/>
      <c r="G61" s="26"/>
      <c r="H61" s="26"/>
      <c r="I61" s="26"/>
      <c r="J61" s="26"/>
      <c r="K61" s="27"/>
      <c r="L61" s="27"/>
      <c r="M61" s="24"/>
      <c r="N61" s="25"/>
      <c r="O61" s="25"/>
      <c r="P61" s="24"/>
      <c r="Q61" s="24"/>
      <c r="R61" s="24"/>
      <c r="S61" s="24"/>
      <c r="T61" s="24"/>
      <c r="U61" s="24"/>
    </row>
    <row r="62" spans="1:21" x14ac:dyDescent="0.25">
      <c r="A62" s="24"/>
      <c r="B62" s="24"/>
      <c r="C62" s="24"/>
      <c r="D62" s="28"/>
      <c r="E62" s="24"/>
      <c r="F62" s="26"/>
      <c r="G62" s="26"/>
      <c r="H62" s="26"/>
      <c r="I62" s="26"/>
      <c r="J62" s="26"/>
      <c r="K62" s="27"/>
      <c r="L62" s="27"/>
      <c r="M62" s="24"/>
      <c r="N62" s="25"/>
      <c r="O62" s="25"/>
      <c r="P62" s="24"/>
      <c r="Q62" s="24"/>
      <c r="R62" s="24"/>
      <c r="S62" s="24"/>
      <c r="T62" s="24"/>
      <c r="U62" s="24"/>
    </row>
    <row r="63" spans="1:21" x14ac:dyDescent="0.25">
      <c r="A63" s="24"/>
      <c r="B63" s="24"/>
      <c r="C63" s="24"/>
      <c r="D63" s="28"/>
      <c r="E63" s="24"/>
      <c r="F63" s="26"/>
      <c r="G63" s="26"/>
      <c r="H63" s="26"/>
      <c r="I63" s="26"/>
      <c r="J63" s="26"/>
      <c r="K63" s="27"/>
      <c r="L63" s="27"/>
      <c r="M63" s="24"/>
      <c r="N63" s="25"/>
      <c r="O63" s="25"/>
      <c r="P63" s="24"/>
      <c r="Q63" s="24"/>
      <c r="R63" s="24"/>
      <c r="S63" s="24"/>
      <c r="T63" s="24"/>
      <c r="U63" s="24"/>
    </row>
    <row r="64" spans="1:21" x14ac:dyDescent="0.25">
      <c r="A64" s="24"/>
      <c r="B64" s="24"/>
      <c r="C64" s="24"/>
      <c r="D64" s="28"/>
      <c r="E64" s="24"/>
      <c r="F64" s="26"/>
      <c r="G64" s="26"/>
      <c r="H64" s="26"/>
      <c r="I64" s="26"/>
      <c r="J64" s="26"/>
      <c r="K64" s="27"/>
      <c r="L64" s="27"/>
      <c r="M64" s="24"/>
      <c r="N64" s="25"/>
      <c r="O64" s="25"/>
      <c r="P64" s="24"/>
      <c r="Q64" s="24"/>
      <c r="R64" s="24"/>
      <c r="S64" s="24"/>
      <c r="T64" s="24"/>
      <c r="U64" s="24"/>
    </row>
    <row r="65" spans="1:21" x14ac:dyDescent="0.25">
      <c r="A65" s="24"/>
      <c r="B65" s="24"/>
      <c r="C65" s="24"/>
      <c r="D65" s="28"/>
      <c r="E65" s="24"/>
      <c r="F65" s="26"/>
      <c r="G65" s="26"/>
      <c r="H65" s="26"/>
      <c r="I65" s="26"/>
      <c r="J65" s="26"/>
      <c r="K65" s="27"/>
      <c r="L65" s="27"/>
      <c r="M65" s="24"/>
      <c r="N65" s="25"/>
      <c r="O65" s="25"/>
      <c r="P65" s="24"/>
      <c r="Q65" s="24"/>
      <c r="R65" s="24"/>
      <c r="S65" s="24"/>
      <c r="T65" s="24"/>
      <c r="U65" s="24"/>
    </row>
    <row r="66" spans="1:21" x14ac:dyDescent="0.25">
      <c r="A66" s="24"/>
      <c r="B66" s="24"/>
      <c r="C66" s="24"/>
      <c r="D66" s="28"/>
      <c r="E66" s="24"/>
      <c r="F66" s="26"/>
      <c r="G66" s="26"/>
      <c r="H66" s="26"/>
      <c r="I66" s="26"/>
      <c r="J66" s="26"/>
      <c r="K66" s="27"/>
      <c r="L66" s="27"/>
      <c r="M66" s="24"/>
      <c r="N66" s="25"/>
      <c r="O66" s="25"/>
      <c r="P66" s="24"/>
      <c r="Q66" s="24"/>
      <c r="R66" s="24"/>
      <c r="S66" s="24"/>
      <c r="T66" s="24"/>
      <c r="U66" s="24"/>
    </row>
    <row r="67" spans="1:21" x14ac:dyDescent="0.25">
      <c r="A67" s="24"/>
      <c r="B67" s="24"/>
      <c r="C67" s="24"/>
      <c r="D67" s="28"/>
      <c r="E67" s="24"/>
      <c r="F67" s="26"/>
      <c r="G67" s="26"/>
      <c r="H67" s="26"/>
      <c r="I67" s="26"/>
      <c r="J67" s="26"/>
      <c r="K67" s="27"/>
      <c r="L67" s="27"/>
      <c r="M67" s="24"/>
      <c r="N67" s="25"/>
      <c r="O67" s="25"/>
      <c r="P67" s="24"/>
      <c r="Q67" s="24"/>
      <c r="R67" s="24"/>
      <c r="S67" s="24"/>
      <c r="T67" s="24"/>
      <c r="U67" s="24"/>
    </row>
    <row r="68" spans="1:21" x14ac:dyDescent="0.25">
      <c r="A68" s="24"/>
      <c r="B68" s="24"/>
      <c r="C68" s="24"/>
      <c r="D68" s="28"/>
      <c r="E68" s="24"/>
      <c r="F68" s="26"/>
      <c r="G68" s="26"/>
      <c r="H68" s="26"/>
      <c r="I68" s="26"/>
      <c r="J68" s="26"/>
      <c r="K68" s="27"/>
      <c r="L68" s="27"/>
      <c r="M68" s="24"/>
      <c r="N68" s="25"/>
      <c r="O68" s="25"/>
      <c r="P68" s="24"/>
      <c r="Q68" s="24"/>
      <c r="R68" s="24"/>
      <c r="S68" s="24"/>
      <c r="T68" s="24"/>
      <c r="U68" s="24"/>
    </row>
    <row r="69" spans="1:21" x14ac:dyDescent="0.25">
      <c r="A69" s="24"/>
      <c r="B69" s="24"/>
      <c r="C69" s="24"/>
      <c r="D69" s="28"/>
      <c r="E69" s="24"/>
      <c r="F69" s="26"/>
      <c r="G69" s="26"/>
      <c r="H69" s="26"/>
      <c r="I69" s="26"/>
      <c r="J69" s="26"/>
      <c r="K69" s="27"/>
      <c r="L69" s="27"/>
      <c r="M69" s="24"/>
      <c r="N69" s="25"/>
      <c r="O69" s="25"/>
      <c r="P69" s="24"/>
      <c r="Q69" s="24"/>
      <c r="R69" s="24"/>
      <c r="S69" s="24"/>
      <c r="T69" s="24"/>
      <c r="U69" s="24"/>
    </row>
    <row r="70" spans="1:21" x14ac:dyDescent="0.25">
      <c r="A70" s="24"/>
      <c r="B70" s="24"/>
      <c r="C70" s="24"/>
      <c r="D70" s="28"/>
      <c r="E70" s="24"/>
      <c r="F70" s="26"/>
      <c r="G70" s="26"/>
      <c r="H70" s="26"/>
      <c r="I70" s="26"/>
      <c r="J70" s="26"/>
      <c r="K70" s="27"/>
      <c r="L70" s="27"/>
      <c r="M70" s="24"/>
      <c r="N70" s="25"/>
      <c r="O70" s="25"/>
      <c r="P70" s="24"/>
      <c r="Q70" s="24"/>
      <c r="R70" s="24"/>
      <c r="S70" s="24"/>
      <c r="T70" s="24"/>
      <c r="U70" s="24"/>
    </row>
    <row r="71" spans="1:21" x14ac:dyDescent="0.25">
      <c r="A71" s="24"/>
      <c r="B71" s="24"/>
      <c r="C71" s="24"/>
      <c r="D71" s="28"/>
      <c r="E71" s="24"/>
      <c r="F71" s="26"/>
      <c r="G71" s="26"/>
      <c r="H71" s="26"/>
      <c r="I71" s="26"/>
      <c r="J71" s="26"/>
      <c r="K71" s="27"/>
      <c r="L71" s="27"/>
      <c r="M71" s="24"/>
      <c r="N71" s="25"/>
      <c r="O71" s="25"/>
      <c r="P71" s="24"/>
      <c r="Q71" s="24"/>
      <c r="R71" s="24"/>
      <c r="S71" s="24"/>
      <c r="T71" s="24"/>
      <c r="U71" s="24"/>
    </row>
    <row r="72" spans="1:21" x14ac:dyDescent="0.25">
      <c r="A72" s="24"/>
      <c r="B72" s="24"/>
      <c r="C72" s="24"/>
      <c r="D72" s="28"/>
      <c r="E72" s="24"/>
      <c r="F72" s="26"/>
      <c r="G72" s="26"/>
      <c r="H72" s="26"/>
      <c r="I72" s="26"/>
      <c r="J72" s="26"/>
      <c r="K72" s="27"/>
      <c r="L72" s="27"/>
      <c r="M72" s="24"/>
      <c r="N72" s="25"/>
      <c r="O72" s="25"/>
      <c r="P72" s="24"/>
      <c r="Q72" s="24"/>
      <c r="R72" s="24"/>
      <c r="S72" s="24"/>
      <c r="T72" s="24"/>
      <c r="U72" s="24"/>
    </row>
    <row r="73" spans="1:21" x14ac:dyDescent="0.25">
      <c r="A73" s="24"/>
      <c r="B73" s="24"/>
      <c r="C73" s="24"/>
      <c r="D73" s="28"/>
      <c r="E73" s="24"/>
      <c r="F73" s="26"/>
      <c r="G73" s="26"/>
      <c r="H73" s="26"/>
      <c r="I73" s="26"/>
      <c r="J73" s="26"/>
      <c r="K73" s="27"/>
      <c r="L73" s="27"/>
      <c r="M73" s="24"/>
      <c r="N73" s="25"/>
      <c r="O73" s="25"/>
      <c r="P73" s="24"/>
      <c r="Q73" s="24"/>
      <c r="R73" s="24"/>
      <c r="S73" s="24"/>
      <c r="T73" s="24"/>
      <c r="U73" s="24"/>
    </row>
    <row r="74" spans="1:21" x14ac:dyDescent="0.25">
      <c r="A74" s="24"/>
      <c r="B74" s="24"/>
      <c r="C74" s="24"/>
      <c r="D74" s="28"/>
      <c r="E74" s="24"/>
      <c r="F74" s="26"/>
      <c r="G74" s="26"/>
      <c r="H74" s="26"/>
      <c r="I74" s="26"/>
      <c r="J74" s="26"/>
      <c r="K74" s="27"/>
      <c r="L74" s="27"/>
      <c r="M74" s="24"/>
      <c r="N74" s="25"/>
      <c r="O74" s="25"/>
      <c r="P74" s="24"/>
      <c r="Q74" s="24"/>
      <c r="R74" s="24"/>
      <c r="S74" s="24"/>
      <c r="T74" s="24"/>
      <c r="U74" s="24"/>
    </row>
    <row r="75" spans="1:21" x14ac:dyDescent="0.25">
      <c r="A75" s="24"/>
      <c r="B75" s="24"/>
      <c r="C75" s="24"/>
      <c r="D75" s="28"/>
      <c r="E75" s="24"/>
      <c r="F75" s="26"/>
      <c r="G75" s="26"/>
      <c r="H75" s="26"/>
      <c r="I75" s="26"/>
      <c r="J75" s="26"/>
      <c r="K75" s="27"/>
      <c r="L75" s="27"/>
      <c r="M75" s="24"/>
      <c r="N75" s="25"/>
      <c r="O75" s="25"/>
      <c r="P75" s="24"/>
      <c r="Q75" s="24"/>
      <c r="R75" s="24"/>
      <c r="S75" s="24"/>
      <c r="T75" s="24"/>
      <c r="U75" s="24"/>
    </row>
    <row r="76" spans="1:21" x14ac:dyDescent="0.25">
      <c r="A76" s="24"/>
      <c r="B76" s="24"/>
      <c r="C76" s="24"/>
      <c r="D76" s="28"/>
      <c r="E76" s="24"/>
      <c r="F76" s="26"/>
      <c r="G76" s="26"/>
      <c r="H76" s="26"/>
      <c r="I76" s="26"/>
      <c r="J76" s="26"/>
      <c r="K76" s="27"/>
      <c r="L76" s="27"/>
      <c r="M76" s="24"/>
      <c r="N76" s="25"/>
      <c r="O76" s="25"/>
      <c r="P76" s="24"/>
      <c r="Q76" s="24"/>
      <c r="R76" s="24"/>
      <c r="S76" s="24"/>
      <c r="T76" s="24"/>
      <c r="U76" s="24"/>
    </row>
    <row r="77" spans="1:21" x14ac:dyDescent="0.25">
      <c r="A77" s="24"/>
      <c r="B77" s="24"/>
      <c r="C77" s="24"/>
      <c r="D77" s="28"/>
      <c r="E77" s="24"/>
      <c r="F77" s="26"/>
      <c r="G77" s="26"/>
      <c r="H77" s="26"/>
      <c r="I77" s="26"/>
      <c r="J77" s="26"/>
      <c r="K77" s="27"/>
      <c r="L77" s="27"/>
      <c r="M77" s="24"/>
      <c r="N77" s="25"/>
      <c r="O77" s="25"/>
      <c r="P77" s="24"/>
      <c r="Q77" s="24"/>
      <c r="R77" s="24"/>
      <c r="S77" s="24"/>
      <c r="T77" s="24"/>
      <c r="U77" s="24"/>
    </row>
    <row r="78" spans="1:21" x14ac:dyDescent="0.25">
      <c r="A78" s="24"/>
      <c r="B78" s="24"/>
      <c r="C78" s="24"/>
      <c r="D78" s="28"/>
      <c r="E78" s="24"/>
      <c r="F78" s="26"/>
      <c r="G78" s="26"/>
      <c r="H78" s="26"/>
      <c r="I78" s="26"/>
      <c r="J78" s="26"/>
      <c r="K78" s="27"/>
      <c r="L78" s="27"/>
      <c r="M78" s="24"/>
      <c r="N78" s="25"/>
      <c r="O78" s="25"/>
      <c r="P78" s="24"/>
      <c r="Q78" s="24"/>
      <c r="R78" s="24"/>
      <c r="S78" s="24"/>
      <c r="T78" s="24"/>
      <c r="U78" s="24"/>
    </row>
    <row r="79" spans="1:21" x14ac:dyDescent="0.25">
      <c r="A79" s="24"/>
      <c r="B79" s="24"/>
      <c r="C79" s="24"/>
      <c r="D79" s="28"/>
      <c r="E79" s="24"/>
      <c r="F79" s="26"/>
      <c r="G79" s="26"/>
      <c r="H79" s="26"/>
      <c r="I79" s="26"/>
      <c r="J79" s="26"/>
      <c r="K79" s="27"/>
      <c r="L79" s="27"/>
      <c r="M79" s="24"/>
      <c r="N79" s="25"/>
      <c r="O79" s="25"/>
      <c r="P79" s="24"/>
      <c r="Q79" s="24"/>
      <c r="R79" s="24"/>
      <c r="S79" s="24"/>
      <c r="T79" s="24"/>
      <c r="U79" s="24"/>
    </row>
    <row r="80" spans="1:21" x14ac:dyDescent="0.25">
      <c r="A80" s="24"/>
      <c r="B80" s="24"/>
      <c r="C80" s="24"/>
      <c r="D80" s="28"/>
      <c r="E80" s="24"/>
      <c r="F80" s="26"/>
      <c r="G80" s="26"/>
      <c r="H80" s="26"/>
      <c r="I80" s="26"/>
      <c r="J80" s="26"/>
      <c r="K80" s="27"/>
      <c r="L80" s="27"/>
      <c r="M80" s="24"/>
      <c r="N80" s="25"/>
      <c r="O80" s="25"/>
      <c r="P80" s="24"/>
      <c r="Q80" s="24"/>
      <c r="R80" s="24"/>
      <c r="S80" s="24"/>
      <c r="T80" s="24"/>
      <c r="U80" s="24"/>
    </row>
    <row r="81" spans="1:21" x14ac:dyDescent="0.25">
      <c r="A81" s="24"/>
      <c r="B81" s="24"/>
      <c r="C81" s="24"/>
      <c r="D81" s="28"/>
      <c r="E81" s="24"/>
      <c r="F81" s="26"/>
      <c r="G81" s="26"/>
      <c r="H81" s="26"/>
      <c r="I81" s="26"/>
      <c r="J81" s="26"/>
      <c r="K81" s="27"/>
      <c r="L81" s="27"/>
      <c r="M81" s="24"/>
      <c r="N81" s="25"/>
      <c r="O81" s="25"/>
      <c r="P81" s="24"/>
      <c r="Q81" s="24"/>
      <c r="R81" s="24"/>
      <c r="S81" s="24"/>
      <c r="T81" s="24"/>
      <c r="U81" s="24"/>
    </row>
    <row r="82" spans="1:21" x14ac:dyDescent="0.25">
      <c r="A82" s="24"/>
      <c r="B82" s="24"/>
      <c r="C82" s="24"/>
      <c r="D82" s="28"/>
      <c r="E82" s="24"/>
      <c r="F82" s="26"/>
      <c r="G82" s="26"/>
      <c r="H82" s="26"/>
      <c r="I82" s="26"/>
      <c r="J82" s="26"/>
      <c r="K82" s="27"/>
      <c r="L82" s="27"/>
      <c r="M82" s="24"/>
      <c r="N82" s="25"/>
      <c r="O82" s="25"/>
      <c r="P82" s="24"/>
      <c r="Q82" s="24"/>
      <c r="R82" s="24"/>
      <c r="S82" s="24"/>
      <c r="T82" s="24"/>
      <c r="U82" s="24"/>
    </row>
    <row r="83" spans="1:21" x14ac:dyDescent="0.25">
      <c r="A83" s="24"/>
      <c r="B83" s="24"/>
      <c r="C83" s="24"/>
      <c r="D83" s="28"/>
      <c r="E83" s="24"/>
      <c r="F83" s="26"/>
      <c r="G83" s="26"/>
      <c r="H83" s="26"/>
      <c r="I83" s="26"/>
      <c r="J83" s="26"/>
      <c r="K83" s="27"/>
      <c r="L83" s="27"/>
      <c r="M83" s="24"/>
      <c r="N83" s="25"/>
      <c r="O83" s="25"/>
      <c r="P83" s="24"/>
      <c r="Q83" s="24"/>
      <c r="R83" s="24"/>
      <c r="S83" s="24"/>
      <c r="T83" s="24"/>
      <c r="U83" s="24"/>
    </row>
    <row r="84" spans="1:21" x14ac:dyDescent="0.25">
      <c r="A84" s="24"/>
      <c r="B84" s="24"/>
      <c r="C84" s="24"/>
      <c r="D84" s="28"/>
      <c r="E84" s="24"/>
      <c r="F84" s="26"/>
      <c r="G84" s="26"/>
      <c r="H84" s="26"/>
      <c r="I84" s="26"/>
      <c r="J84" s="26"/>
      <c r="K84" s="27"/>
      <c r="L84" s="27"/>
      <c r="M84" s="24"/>
      <c r="N84" s="25"/>
      <c r="O84" s="25"/>
      <c r="P84" s="24"/>
      <c r="Q84" s="24"/>
      <c r="R84" s="24"/>
      <c r="S84" s="24"/>
      <c r="T84" s="24"/>
      <c r="U84" s="24"/>
    </row>
    <row r="85" spans="1:21" x14ac:dyDescent="0.25">
      <c r="A85" s="24"/>
      <c r="B85" s="24"/>
      <c r="C85" s="24"/>
      <c r="D85" s="28"/>
      <c r="E85" s="24"/>
      <c r="F85" s="26"/>
      <c r="G85" s="26"/>
      <c r="H85" s="26"/>
      <c r="I85" s="26"/>
      <c r="J85" s="26"/>
      <c r="K85" s="27"/>
      <c r="L85" s="27"/>
      <c r="M85" s="24"/>
      <c r="N85" s="25"/>
      <c r="O85" s="25"/>
      <c r="P85" s="24"/>
      <c r="Q85" s="24"/>
      <c r="R85" s="24"/>
      <c r="S85" s="24"/>
      <c r="T85" s="24"/>
      <c r="U85" s="24"/>
    </row>
    <row r="86" spans="1:21" x14ac:dyDescent="0.25">
      <c r="A86" s="24"/>
      <c r="B86" s="24"/>
      <c r="C86" s="24"/>
      <c r="D86" s="28"/>
      <c r="E86" s="24"/>
      <c r="F86" s="26"/>
      <c r="G86" s="26"/>
      <c r="H86" s="26"/>
      <c r="I86" s="26"/>
      <c r="J86" s="26"/>
      <c r="K86" s="27"/>
      <c r="L86" s="27"/>
      <c r="M86" s="24"/>
      <c r="N86" s="25"/>
      <c r="O86" s="25"/>
      <c r="P86" s="24"/>
      <c r="Q86" s="24"/>
      <c r="R86" s="24"/>
      <c r="S86" s="24"/>
      <c r="T86" s="24"/>
      <c r="U86" s="24"/>
    </row>
    <row r="87" spans="1:21" x14ac:dyDescent="0.25">
      <c r="A87" s="24"/>
      <c r="B87" s="24"/>
      <c r="C87" s="24"/>
      <c r="D87" s="28"/>
      <c r="E87" s="24"/>
      <c r="F87" s="26"/>
      <c r="G87" s="26"/>
      <c r="H87" s="26"/>
      <c r="I87" s="26"/>
      <c r="J87" s="26"/>
      <c r="K87" s="27"/>
      <c r="L87" s="27"/>
      <c r="M87" s="24"/>
      <c r="N87" s="25"/>
      <c r="O87" s="25"/>
      <c r="P87" s="24"/>
      <c r="Q87" s="24"/>
      <c r="R87" s="24"/>
      <c r="S87" s="24"/>
      <c r="T87" s="24"/>
      <c r="U87" s="24"/>
    </row>
    <row r="88" spans="1:21" x14ac:dyDescent="0.25">
      <c r="A88" s="24"/>
      <c r="B88" s="24"/>
      <c r="C88" s="24"/>
      <c r="D88" s="28"/>
      <c r="E88" s="24"/>
      <c r="F88" s="26"/>
      <c r="G88" s="26"/>
      <c r="H88" s="26"/>
      <c r="I88" s="26"/>
      <c r="J88" s="26"/>
      <c r="K88" s="27"/>
      <c r="L88" s="27"/>
      <c r="M88" s="24"/>
      <c r="N88" s="25"/>
      <c r="O88" s="25"/>
      <c r="P88" s="24"/>
      <c r="Q88" s="24"/>
      <c r="R88" s="24"/>
      <c r="S88" s="24"/>
      <c r="T88" s="24"/>
      <c r="U88" s="24"/>
    </row>
    <row r="89" spans="1:21" x14ac:dyDescent="0.25">
      <c r="A89" s="24"/>
      <c r="B89" s="24"/>
      <c r="C89" s="24"/>
      <c r="D89" s="28"/>
      <c r="E89" s="24"/>
      <c r="F89" s="26"/>
      <c r="G89" s="26"/>
      <c r="H89" s="26"/>
      <c r="I89" s="26"/>
      <c r="J89" s="26"/>
      <c r="K89" s="27"/>
      <c r="L89" s="27"/>
      <c r="M89" s="24"/>
      <c r="N89" s="25"/>
      <c r="O89" s="25"/>
      <c r="P89" s="24"/>
      <c r="Q89" s="24"/>
      <c r="R89" s="24"/>
      <c r="S89" s="24"/>
      <c r="T89" s="24"/>
      <c r="U89" s="24"/>
    </row>
    <row r="90" spans="1:21" x14ac:dyDescent="0.25">
      <c r="A90" s="24"/>
      <c r="B90" s="24"/>
      <c r="C90" s="24"/>
      <c r="D90" s="28"/>
      <c r="E90" s="24"/>
      <c r="F90" s="26"/>
      <c r="G90" s="26"/>
      <c r="H90" s="26"/>
      <c r="I90" s="26"/>
      <c r="J90" s="26"/>
      <c r="K90" s="27"/>
      <c r="L90" s="27"/>
      <c r="M90" s="24"/>
      <c r="N90" s="25"/>
      <c r="O90" s="25"/>
      <c r="P90" s="24"/>
      <c r="Q90" s="24"/>
      <c r="R90" s="24"/>
      <c r="S90" s="24"/>
      <c r="T90" s="24"/>
      <c r="U90" s="24"/>
    </row>
    <row r="91" spans="1:21" x14ac:dyDescent="0.25">
      <c r="A91" s="24"/>
      <c r="B91" s="24"/>
      <c r="C91" s="24"/>
      <c r="D91" s="25"/>
      <c r="E91" s="24"/>
      <c r="F91" s="26"/>
      <c r="G91" s="26"/>
      <c r="H91" s="26"/>
      <c r="I91" s="26"/>
      <c r="J91" s="26"/>
      <c r="K91" s="27"/>
      <c r="L91" s="27"/>
      <c r="M91" s="24"/>
      <c r="N91" s="25"/>
      <c r="O91" s="25"/>
      <c r="P91" s="24"/>
      <c r="Q91" s="24"/>
      <c r="R91" s="24"/>
      <c r="S91" s="24"/>
      <c r="T91" s="24"/>
      <c r="U91" s="24"/>
    </row>
    <row r="92" spans="1:21" x14ac:dyDescent="0.25">
      <c r="A92" s="24"/>
      <c r="B92" s="24"/>
      <c r="C92" s="24"/>
      <c r="D92" s="25"/>
      <c r="E92" s="24"/>
      <c r="F92" s="26"/>
      <c r="G92" s="26"/>
      <c r="H92" s="26"/>
      <c r="I92" s="26"/>
      <c r="J92" s="26"/>
      <c r="K92" s="27"/>
      <c r="L92" s="27"/>
      <c r="M92" s="24"/>
      <c r="N92" s="25"/>
      <c r="O92" s="25"/>
      <c r="P92" s="24"/>
      <c r="Q92" s="24"/>
      <c r="R92" s="24"/>
      <c r="S92" s="24"/>
      <c r="T92" s="24"/>
      <c r="U92" s="24"/>
    </row>
    <row r="93" spans="1:21" x14ac:dyDescent="0.25">
      <c r="A93" s="24"/>
      <c r="B93" s="24"/>
      <c r="C93" s="24"/>
      <c r="D93" s="25"/>
      <c r="E93" s="24"/>
      <c r="F93" s="26"/>
      <c r="G93" s="26"/>
      <c r="H93" s="26"/>
      <c r="I93" s="26"/>
      <c r="J93" s="26"/>
      <c r="K93" s="27"/>
      <c r="L93" s="27"/>
      <c r="M93" s="24"/>
      <c r="N93" s="25"/>
      <c r="O93" s="25"/>
      <c r="P93" s="24"/>
      <c r="Q93" s="24"/>
      <c r="R93" s="24"/>
      <c r="S93" s="24"/>
      <c r="T93" s="24"/>
      <c r="U93" s="24"/>
    </row>
    <row r="94" spans="1:21" x14ac:dyDescent="0.25">
      <c r="A94" s="24"/>
      <c r="B94" s="24"/>
      <c r="C94" s="24"/>
      <c r="D94" s="25"/>
      <c r="E94" s="24"/>
      <c r="F94" s="26"/>
      <c r="G94" s="26"/>
      <c r="H94" s="26"/>
      <c r="I94" s="26"/>
      <c r="J94" s="26"/>
      <c r="K94" s="27"/>
      <c r="L94" s="27"/>
      <c r="M94" s="24"/>
      <c r="N94" s="25"/>
      <c r="O94" s="25"/>
      <c r="P94" s="24"/>
      <c r="Q94" s="24"/>
      <c r="R94" s="24"/>
      <c r="S94" s="24"/>
      <c r="T94" s="24"/>
      <c r="U94" s="24"/>
    </row>
    <row r="95" spans="1:21" x14ac:dyDescent="0.25">
      <c r="A95" s="24"/>
      <c r="B95" s="24"/>
      <c r="C95" s="24"/>
      <c r="D95" s="25"/>
      <c r="E95" s="24"/>
      <c r="F95" s="26"/>
      <c r="G95" s="26"/>
      <c r="H95" s="26"/>
      <c r="I95" s="26"/>
      <c r="J95" s="26"/>
      <c r="K95" s="27"/>
      <c r="L95" s="27"/>
      <c r="M95" s="24"/>
      <c r="N95" s="25"/>
      <c r="O95" s="25"/>
      <c r="P95" s="24"/>
      <c r="Q95" s="24"/>
      <c r="R95" s="24"/>
      <c r="S95" s="24"/>
      <c r="T95" s="24"/>
      <c r="U95" s="24"/>
    </row>
    <row r="96" spans="1:21" x14ac:dyDescent="0.25">
      <c r="A96" s="24"/>
      <c r="B96" s="24"/>
      <c r="C96" s="24"/>
      <c r="D96" s="25"/>
      <c r="E96" s="24"/>
      <c r="F96" s="26"/>
      <c r="G96" s="26"/>
      <c r="H96" s="26"/>
      <c r="I96" s="26"/>
      <c r="J96" s="26"/>
      <c r="K96" s="27"/>
      <c r="L96" s="27"/>
      <c r="M96" s="24"/>
      <c r="N96" s="25"/>
      <c r="O96" s="25"/>
      <c r="P96" s="24"/>
      <c r="Q96" s="24"/>
      <c r="R96" s="24"/>
      <c r="S96" s="24"/>
      <c r="T96" s="24"/>
      <c r="U96" s="24"/>
    </row>
    <row r="97" spans="1:21" x14ac:dyDescent="0.25">
      <c r="A97" s="24"/>
      <c r="B97" s="24"/>
      <c r="C97" s="24"/>
      <c r="D97" s="25"/>
      <c r="E97" s="24"/>
      <c r="F97" s="26"/>
      <c r="G97" s="26"/>
      <c r="H97" s="26"/>
      <c r="I97" s="26"/>
      <c r="J97" s="26"/>
      <c r="K97" s="27"/>
      <c r="L97" s="27"/>
      <c r="M97" s="24"/>
      <c r="N97" s="25"/>
      <c r="O97" s="25"/>
      <c r="P97" s="24"/>
      <c r="Q97" s="24"/>
      <c r="R97" s="24"/>
      <c r="S97" s="24"/>
      <c r="T97" s="24"/>
      <c r="U97" s="24"/>
    </row>
    <row r="98" spans="1:21" x14ac:dyDescent="0.25">
      <c r="A98" s="24"/>
      <c r="B98" s="24"/>
      <c r="C98" s="24"/>
      <c r="D98" s="25"/>
      <c r="E98" s="24"/>
      <c r="F98" s="26"/>
      <c r="G98" s="26"/>
      <c r="H98" s="26"/>
      <c r="I98" s="26"/>
      <c r="J98" s="26"/>
      <c r="K98" s="27"/>
      <c r="L98" s="27"/>
      <c r="M98" s="24"/>
      <c r="N98" s="25"/>
      <c r="O98" s="25"/>
      <c r="P98" s="24"/>
      <c r="Q98" s="24"/>
      <c r="R98" s="24"/>
      <c r="S98" s="24"/>
      <c r="T98" s="24"/>
      <c r="U98" s="24"/>
    </row>
    <row r="99" spans="1:21" x14ac:dyDescent="0.25">
      <c r="A99" s="24"/>
      <c r="B99" s="24"/>
      <c r="C99" s="24"/>
      <c r="D99" s="25"/>
      <c r="E99" s="24"/>
      <c r="F99" s="26"/>
      <c r="G99" s="26"/>
      <c r="H99" s="26"/>
      <c r="I99" s="26"/>
      <c r="J99" s="26"/>
      <c r="K99" s="27"/>
      <c r="L99" s="27"/>
      <c r="M99" s="24"/>
      <c r="N99" s="25"/>
      <c r="O99" s="25"/>
      <c r="P99" s="24"/>
      <c r="Q99" s="24"/>
      <c r="R99" s="24"/>
      <c r="S99" s="24"/>
      <c r="T99" s="24"/>
      <c r="U99" s="24"/>
    </row>
    <row r="100" spans="1:21" x14ac:dyDescent="0.25">
      <c r="A100" s="24"/>
      <c r="B100" s="24"/>
      <c r="C100" s="24"/>
      <c r="D100" s="25"/>
      <c r="E100" s="24"/>
      <c r="F100" s="26"/>
      <c r="G100" s="26"/>
      <c r="H100" s="26"/>
      <c r="I100" s="26"/>
      <c r="J100" s="26"/>
      <c r="K100" s="27"/>
      <c r="L100" s="27"/>
      <c r="M100" s="24"/>
      <c r="N100" s="25"/>
      <c r="O100" s="25"/>
      <c r="P100" s="24"/>
      <c r="Q100" s="24"/>
      <c r="R100" s="24"/>
      <c r="S100" s="24"/>
      <c r="T100" s="24"/>
      <c r="U100" s="24"/>
    </row>
    <row r="101" spans="1:21" x14ac:dyDescent="0.25">
      <c r="A101" s="24"/>
      <c r="B101" s="24"/>
      <c r="C101" s="24"/>
      <c r="D101" s="25"/>
      <c r="E101" s="24"/>
      <c r="F101" s="26"/>
      <c r="G101" s="26"/>
      <c r="H101" s="26"/>
      <c r="I101" s="26"/>
      <c r="J101" s="26"/>
      <c r="K101" s="27"/>
      <c r="L101" s="27"/>
      <c r="M101" s="24"/>
      <c r="N101" s="25"/>
      <c r="O101" s="25"/>
      <c r="P101" s="24"/>
      <c r="Q101" s="24"/>
      <c r="R101" s="24"/>
      <c r="S101" s="24"/>
      <c r="T101" s="24"/>
      <c r="U101" s="24"/>
    </row>
    <row r="102" spans="1:21" x14ac:dyDescent="0.25">
      <c r="A102" s="24"/>
      <c r="B102" s="24"/>
      <c r="C102" s="24"/>
      <c r="D102" s="25"/>
      <c r="E102" s="24"/>
      <c r="F102" s="26"/>
      <c r="G102" s="26"/>
      <c r="H102" s="26"/>
      <c r="I102" s="26"/>
      <c r="J102" s="26"/>
      <c r="K102" s="27"/>
      <c r="L102" s="27"/>
      <c r="M102" s="24"/>
      <c r="N102" s="25"/>
      <c r="O102" s="25"/>
      <c r="P102" s="24"/>
      <c r="Q102" s="24"/>
      <c r="R102" s="24"/>
      <c r="S102" s="24"/>
      <c r="T102" s="24"/>
      <c r="U102" s="24"/>
    </row>
    <row r="103" spans="1:21" x14ac:dyDescent="0.25">
      <c r="A103" s="24"/>
      <c r="B103" s="24"/>
      <c r="C103" s="24"/>
      <c r="D103" s="25"/>
      <c r="E103" s="24"/>
      <c r="F103" s="26"/>
      <c r="G103" s="26"/>
      <c r="H103" s="26"/>
      <c r="I103" s="26"/>
      <c r="J103" s="26"/>
      <c r="K103" s="27"/>
      <c r="L103" s="27"/>
      <c r="M103" s="24"/>
      <c r="N103" s="25"/>
      <c r="O103" s="25"/>
      <c r="P103" s="24"/>
      <c r="Q103" s="24"/>
      <c r="R103" s="24"/>
      <c r="S103" s="24"/>
      <c r="T103" s="24"/>
      <c r="U103" s="24"/>
    </row>
    <row r="104" spans="1:21" x14ac:dyDescent="0.25">
      <c r="A104" s="24"/>
      <c r="B104" s="24"/>
      <c r="C104" s="24"/>
      <c r="D104" s="25"/>
      <c r="E104" s="24"/>
      <c r="F104" s="26"/>
      <c r="G104" s="26"/>
      <c r="H104" s="26"/>
      <c r="I104" s="26"/>
      <c r="J104" s="26"/>
      <c r="K104" s="27"/>
      <c r="L104" s="27"/>
      <c r="M104" s="24"/>
      <c r="N104" s="25"/>
      <c r="O104" s="25"/>
      <c r="P104" s="24"/>
      <c r="Q104" s="24"/>
      <c r="R104" s="24"/>
      <c r="S104" s="24"/>
      <c r="T104" s="24"/>
      <c r="U104" s="24"/>
    </row>
    <row r="105" spans="1:21" x14ac:dyDescent="0.25">
      <c r="A105" s="24"/>
      <c r="B105" s="24"/>
      <c r="C105" s="24"/>
      <c r="D105" s="25"/>
      <c r="E105" s="24"/>
      <c r="F105" s="26"/>
      <c r="G105" s="26"/>
      <c r="H105" s="26"/>
      <c r="I105" s="26"/>
      <c r="J105" s="26"/>
      <c r="K105" s="27"/>
      <c r="L105" s="27"/>
      <c r="M105" s="24"/>
      <c r="N105" s="25"/>
      <c r="O105" s="25"/>
      <c r="P105" s="24"/>
      <c r="Q105" s="24"/>
      <c r="R105" s="24"/>
      <c r="S105" s="24"/>
      <c r="T105" s="24"/>
      <c r="U105" s="24"/>
    </row>
    <row r="106" spans="1:21" x14ac:dyDescent="0.25">
      <c r="A106" s="24"/>
      <c r="B106" s="24"/>
      <c r="C106" s="24"/>
      <c r="D106" s="25"/>
      <c r="E106" s="24"/>
      <c r="F106" s="26"/>
      <c r="G106" s="26"/>
      <c r="H106" s="26"/>
      <c r="I106" s="26"/>
      <c r="J106" s="26"/>
      <c r="K106" s="27"/>
      <c r="L106" s="27"/>
      <c r="M106" s="24"/>
      <c r="N106" s="25"/>
      <c r="O106" s="25"/>
      <c r="P106" s="24"/>
      <c r="Q106" s="24"/>
      <c r="R106" s="24"/>
      <c r="S106" s="24"/>
      <c r="T106" s="24"/>
      <c r="U106" s="24"/>
    </row>
    <row r="107" spans="1:21" x14ac:dyDescent="0.25">
      <c r="A107" s="24"/>
      <c r="B107" s="24"/>
      <c r="C107" s="24"/>
      <c r="D107" s="25"/>
      <c r="E107" s="24"/>
      <c r="F107" s="26"/>
      <c r="G107" s="26"/>
      <c r="H107" s="26"/>
      <c r="I107" s="26"/>
      <c r="J107" s="26"/>
      <c r="K107" s="27"/>
      <c r="L107" s="27"/>
      <c r="M107" s="24"/>
      <c r="N107" s="25"/>
      <c r="O107" s="25"/>
      <c r="P107" s="24"/>
      <c r="Q107" s="24"/>
      <c r="R107" s="24"/>
      <c r="S107" s="24"/>
      <c r="T107" s="24"/>
      <c r="U107" s="24"/>
    </row>
    <row r="108" spans="1:21" x14ac:dyDescent="0.25">
      <c r="A108" s="24"/>
      <c r="B108" s="24"/>
      <c r="C108" s="24"/>
      <c r="D108" s="25"/>
      <c r="E108" s="24"/>
      <c r="F108" s="26"/>
      <c r="G108" s="26"/>
      <c r="H108" s="26"/>
      <c r="I108" s="26"/>
      <c r="J108" s="26"/>
      <c r="K108" s="27"/>
      <c r="L108" s="27"/>
      <c r="M108" s="24"/>
      <c r="N108" s="25"/>
      <c r="O108" s="25"/>
      <c r="P108" s="24"/>
      <c r="Q108" s="24"/>
      <c r="R108" s="24"/>
      <c r="S108" s="24"/>
      <c r="T108" s="24"/>
      <c r="U108" s="24"/>
    </row>
    <row r="109" spans="1:21" x14ac:dyDescent="0.25">
      <c r="A109" s="24"/>
      <c r="B109" s="24"/>
      <c r="C109" s="24"/>
      <c r="D109" s="25"/>
      <c r="E109" s="24"/>
      <c r="F109" s="26"/>
      <c r="G109" s="26"/>
      <c r="H109" s="26"/>
      <c r="I109" s="26"/>
      <c r="J109" s="26"/>
      <c r="K109" s="27"/>
      <c r="L109" s="27"/>
      <c r="M109" s="24"/>
      <c r="N109" s="25"/>
      <c r="O109" s="25"/>
      <c r="P109" s="24"/>
      <c r="Q109" s="24"/>
      <c r="R109" s="24"/>
      <c r="S109" s="24"/>
      <c r="T109" s="24"/>
      <c r="U109" s="24"/>
    </row>
    <row r="110" spans="1:21" x14ac:dyDescent="0.25">
      <c r="A110" s="24"/>
      <c r="B110" s="24"/>
      <c r="C110" s="24"/>
      <c r="D110" s="25"/>
      <c r="E110" s="24"/>
      <c r="F110" s="26"/>
      <c r="G110" s="26"/>
      <c r="H110" s="26"/>
      <c r="I110" s="26"/>
      <c r="J110" s="26"/>
      <c r="K110" s="27"/>
      <c r="L110" s="27"/>
      <c r="M110" s="24"/>
      <c r="N110" s="25"/>
      <c r="O110" s="25"/>
      <c r="P110" s="24"/>
      <c r="Q110" s="24"/>
      <c r="R110" s="24"/>
      <c r="S110" s="24"/>
      <c r="T110" s="24"/>
      <c r="U110" s="24"/>
    </row>
    <row r="111" spans="1:21" x14ac:dyDescent="0.25">
      <c r="A111" s="24"/>
      <c r="B111" s="24"/>
      <c r="C111" s="24"/>
      <c r="D111" s="25"/>
      <c r="E111" s="24"/>
      <c r="F111" s="26"/>
      <c r="G111" s="26"/>
      <c r="H111" s="26"/>
      <c r="I111" s="26"/>
      <c r="J111" s="26"/>
      <c r="K111" s="27"/>
      <c r="L111" s="27"/>
      <c r="M111" s="24"/>
      <c r="N111" s="25"/>
      <c r="O111" s="25"/>
      <c r="P111" s="24"/>
      <c r="Q111" s="24"/>
      <c r="R111" s="24"/>
      <c r="S111" s="24"/>
      <c r="T111" s="24"/>
      <c r="U111" s="24"/>
    </row>
    <row r="112" spans="1:21" x14ac:dyDescent="0.25">
      <c r="A112" s="24"/>
      <c r="B112" s="24"/>
      <c r="C112" s="24"/>
      <c r="D112" s="25"/>
      <c r="E112" s="24"/>
      <c r="F112" s="26"/>
      <c r="G112" s="26"/>
      <c r="H112" s="26"/>
      <c r="I112" s="26"/>
      <c r="J112" s="26"/>
      <c r="K112" s="27"/>
      <c r="L112" s="27"/>
      <c r="M112" s="24"/>
      <c r="N112" s="25"/>
      <c r="O112" s="25"/>
      <c r="P112" s="24"/>
      <c r="Q112" s="24"/>
      <c r="R112" s="24"/>
      <c r="S112" s="24"/>
      <c r="T112" s="24"/>
      <c r="U112" s="24"/>
    </row>
    <row r="113" spans="1:21" x14ac:dyDescent="0.25">
      <c r="A113" s="24"/>
      <c r="B113" s="24"/>
      <c r="C113" s="24"/>
      <c r="D113" s="25"/>
      <c r="E113" s="24"/>
      <c r="F113" s="26"/>
      <c r="G113" s="26"/>
      <c r="H113" s="26"/>
      <c r="I113" s="26"/>
      <c r="J113" s="26"/>
      <c r="K113" s="27"/>
      <c r="L113" s="27"/>
      <c r="M113" s="24"/>
      <c r="N113" s="25"/>
      <c r="O113" s="25"/>
      <c r="P113" s="24"/>
      <c r="Q113" s="24"/>
      <c r="R113" s="24"/>
      <c r="S113" s="24"/>
      <c r="T113" s="24"/>
      <c r="U113" s="24"/>
    </row>
    <row r="114" spans="1:21" x14ac:dyDescent="0.25">
      <c r="A114" s="24"/>
      <c r="B114" s="24"/>
      <c r="C114" s="24"/>
      <c r="D114" s="25"/>
      <c r="E114" s="24"/>
      <c r="F114" s="26"/>
      <c r="G114" s="26"/>
      <c r="H114" s="26"/>
      <c r="I114" s="26"/>
      <c r="J114" s="26"/>
      <c r="K114" s="27"/>
      <c r="L114" s="27"/>
      <c r="M114" s="24"/>
      <c r="N114" s="25"/>
      <c r="O114" s="25"/>
      <c r="P114" s="24"/>
      <c r="Q114" s="24"/>
      <c r="R114" s="24"/>
      <c r="S114" s="24"/>
      <c r="T114" s="24"/>
      <c r="U114" s="24"/>
    </row>
  </sheetData>
  <dataValidations count="2">
    <dataValidation type="list" allowBlank="1" showInputMessage="1" sqref="R2:R20">
      <formula1>PopCache_MMC_WEBADI_JRN_PROJECT_DFF</formula1>
    </dataValidation>
    <dataValidation type="list" allowBlank="1" showInputMessage="1" sqref="C2:C20">
      <formula1>PopCache_MMC_WEBADI_JRN_CURRENCY_CODE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172"/>
  <sheetViews>
    <sheetView workbookViewId="0">
      <selection activeCell="A2" sqref="A2"/>
    </sheetView>
  </sheetViews>
  <sheetFormatPr defaultRowHeight="15" x14ac:dyDescent="0.25"/>
  <cols>
    <col min="1" max="2" width="44" bestFit="1" customWidth="1"/>
    <col min="4" max="4" width="11.140625" style="29" customWidth="1"/>
    <col min="6" max="6" width="8.28515625" bestFit="1" customWidth="1"/>
    <col min="8" max="8" width="13.7109375" customWidth="1"/>
    <col min="11" max="12" width="11.5703125" bestFit="1" customWidth="1"/>
    <col min="13" max="13" width="11.7109375" customWidth="1"/>
    <col min="14" max="14" width="15.5703125" bestFit="1" customWidth="1"/>
    <col min="15" max="15" width="15.42578125" customWidth="1"/>
    <col min="16" max="16" width="56" bestFit="1" customWidth="1"/>
    <col min="17" max="17" width="13.28515625" bestFit="1" customWidth="1"/>
  </cols>
  <sheetData>
    <row r="1" spans="1:24" ht="22.5" x14ac:dyDescent="0.25">
      <c r="A1" s="86" t="s">
        <v>47</v>
      </c>
      <c r="B1" s="86" t="s">
        <v>48</v>
      </c>
      <c r="C1" s="86" t="s">
        <v>0</v>
      </c>
      <c r="D1" s="87" t="s">
        <v>49</v>
      </c>
      <c r="E1" s="86" t="s">
        <v>9</v>
      </c>
      <c r="F1" s="88" t="s">
        <v>50</v>
      </c>
      <c r="G1" s="88" t="s">
        <v>51</v>
      </c>
      <c r="H1" s="88" t="s">
        <v>52</v>
      </c>
      <c r="I1" s="88" t="s">
        <v>53</v>
      </c>
      <c r="J1" s="88" t="s">
        <v>54</v>
      </c>
      <c r="K1" s="86" t="s">
        <v>55</v>
      </c>
      <c r="L1" s="86" t="s">
        <v>56</v>
      </c>
      <c r="M1" s="88" t="s">
        <v>57</v>
      </c>
      <c r="N1" s="88" t="s">
        <v>58</v>
      </c>
      <c r="O1" s="88" t="s">
        <v>59</v>
      </c>
      <c r="P1" s="88" t="s">
        <v>60</v>
      </c>
      <c r="Q1" s="88" t="s">
        <v>61</v>
      </c>
      <c r="R1" s="88" t="s">
        <v>62</v>
      </c>
      <c r="S1" s="88" t="s">
        <v>63</v>
      </c>
    </row>
    <row r="2" spans="1:24" x14ac:dyDescent="0.25">
      <c r="A2" s="24"/>
      <c r="B2" s="24"/>
      <c r="C2" s="24"/>
      <c r="D2" s="28"/>
      <c r="E2" s="24"/>
      <c r="F2" s="26"/>
      <c r="G2" s="26"/>
      <c r="H2" s="26"/>
      <c r="I2" s="26"/>
      <c r="J2" s="26"/>
      <c r="K2" s="27"/>
      <c r="L2" s="27"/>
      <c r="M2" s="24"/>
      <c r="N2" s="25"/>
      <c r="O2" s="25"/>
      <c r="P2" s="24"/>
      <c r="Q2" s="24"/>
      <c r="R2" s="24"/>
      <c r="S2" s="24"/>
      <c r="T2" s="24"/>
      <c r="U2" s="24"/>
      <c r="V2" s="24"/>
      <c r="W2" s="25"/>
      <c r="X2" s="24"/>
    </row>
    <row r="3" spans="1:24" x14ac:dyDescent="0.25">
      <c r="A3" s="24"/>
      <c r="B3" s="24"/>
      <c r="C3" s="24"/>
      <c r="D3" s="28"/>
      <c r="E3" s="24"/>
      <c r="F3" s="26"/>
      <c r="G3" s="26"/>
      <c r="H3" s="26"/>
      <c r="I3" s="26"/>
      <c r="J3" s="26"/>
      <c r="K3" s="27"/>
      <c r="L3" s="27"/>
      <c r="M3" s="24"/>
      <c r="N3" s="25"/>
      <c r="O3" s="25"/>
      <c r="P3" s="24"/>
      <c r="Q3" s="24"/>
      <c r="R3" s="24"/>
      <c r="S3" s="24"/>
      <c r="T3" s="24"/>
      <c r="U3" s="24"/>
      <c r="V3" s="24"/>
      <c r="W3" s="25"/>
      <c r="X3" s="24"/>
    </row>
    <row r="4" spans="1:24" x14ac:dyDescent="0.25">
      <c r="A4" s="24"/>
      <c r="B4" s="24"/>
      <c r="C4" s="24"/>
      <c r="D4" s="28"/>
      <c r="E4" s="24"/>
      <c r="F4" s="26"/>
      <c r="G4" s="26"/>
      <c r="H4" s="26"/>
      <c r="I4" s="26"/>
      <c r="J4" s="26"/>
      <c r="K4" s="27"/>
      <c r="L4" s="27"/>
      <c r="M4" s="24"/>
      <c r="N4" s="25"/>
      <c r="O4" s="25"/>
      <c r="P4" s="24"/>
      <c r="Q4" s="24"/>
      <c r="R4" s="24"/>
      <c r="S4" s="24"/>
      <c r="T4" s="24"/>
      <c r="U4" s="24"/>
      <c r="V4" s="24"/>
      <c r="W4" s="25"/>
      <c r="X4" s="24"/>
    </row>
    <row r="5" spans="1:24" x14ac:dyDescent="0.25">
      <c r="A5" s="24"/>
      <c r="B5" s="24"/>
      <c r="C5" s="24"/>
      <c r="D5" s="28"/>
      <c r="E5" s="24"/>
      <c r="F5" s="26"/>
      <c r="G5" s="26"/>
      <c r="H5" s="26"/>
      <c r="I5" s="26"/>
      <c r="J5" s="26"/>
      <c r="K5" s="27"/>
      <c r="L5" s="27"/>
      <c r="M5" s="24"/>
      <c r="N5" s="25"/>
      <c r="O5" s="25"/>
      <c r="P5" s="24"/>
      <c r="Q5" s="24"/>
      <c r="R5" s="24"/>
      <c r="S5" s="24"/>
      <c r="T5" s="24"/>
      <c r="U5" s="24"/>
      <c r="V5" s="24"/>
      <c r="W5" s="25"/>
      <c r="X5" s="24"/>
    </row>
    <row r="6" spans="1:24" x14ac:dyDescent="0.25">
      <c r="A6" s="24"/>
      <c r="B6" s="24"/>
      <c r="C6" s="24"/>
      <c r="D6" s="28"/>
      <c r="E6" s="24"/>
      <c r="F6" s="26"/>
      <c r="G6" s="26"/>
      <c r="H6" s="26"/>
      <c r="I6" s="26"/>
      <c r="J6" s="26"/>
      <c r="K6" s="27"/>
      <c r="L6" s="27"/>
      <c r="M6" s="24"/>
      <c r="N6" s="25"/>
      <c r="O6" s="25"/>
      <c r="P6" s="24"/>
      <c r="Q6" s="24"/>
      <c r="R6" s="24"/>
      <c r="S6" s="24"/>
      <c r="T6" s="24"/>
      <c r="U6" s="24"/>
      <c r="V6" s="24"/>
      <c r="W6" s="25"/>
      <c r="X6" s="24"/>
    </row>
    <row r="7" spans="1:24" x14ac:dyDescent="0.25">
      <c r="A7" s="24"/>
      <c r="B7" s="24"/>
      <c r="C7" s="24"/>
      <c r="D7" s="28"/>
      <c r="E7" s="24"/>
      <c r="F7" s="26"/>
      <c r="G7" s="26"/>
      <c r="H7" s="26"/>
      <c r="I7" s="26"/>
      <c r="J7" s="26"/>
      <c r="K7" s="27"/>
      <c r="L7" s="27"/>
      <c r="M7" s="24"/>
      <c r="N7" s="25"/>
      <c r="O7" s="25"/>
      <c r="P7" s="24"/>
      <c r="Q7" s="24"/>
      <c r="R7" s="24"/>
      <c r="S7" s="24"/>
      <c r="T7" s="24"/>
      <c r="U7" s="24"/>
    </row>
    <row r="8" spans="1:24" x14ac:dyDescent="0.25">
      <c r="A8" s="24"/>
      <c r="B8" s="24"/>
      <c r="C8" s="24"/>
      <c r="D8" s="28"/>
      <c r="E8" s="24"/>
      <c r="F8" s="26"/>
      <c r="G8" s="26"/>
      <c r="H8" s="26"/>
      <c r="I8" s="26"/>
      <c r="J8" s="26"/>
      <c r="K8" s="27"/>
      <c r="L8" s="27"/>
      <c r="M8" s="24"/>
      <c r="N8" s="25"/>
      <c r="O8" s="25"/>
      <c r="P8" s="24"/>
      <c r="Q8" s="24"/>
      <c r="R8" s="24"/>
      <c r="S8" s="24"/>
      <c r="T8" s="24"/>
      <c r="U8" s="24"/>
    </row>
    <row r="9" spans="1:24" x14ac:dyDescent="0.25">
      <c r="A9" s="24"/>
      <c r="B9" s="24"/>
      <c r="C9" s="24"/>
      <c r="D9" s="28"/>
      <c r="E9" s="24"/>
      <c r="F9" s="26"/>
      <c r="G9" s="26"/>
      <c r="H9" s="26"/>
      <c r="I9" s="26"/>
      <c r="J9" s="26"/>
      <c r="K9" s="27"/>
      <c r="L9" s="27"/>
      <c r="M9" s="24"/>
      <c r="N9" s="25"/>
      <c r="O9" s="25"/>
      <c r="P9" s="24"/>
      <c r="Q9" s="24"/>
      <c r="R9" s="24"/>
      <c r="S9" s="24"/>
      <c r="T9" s="24"/>
      <c r="U9" s="24"/>
    </row>
    <row r="10" spans="1:24" x14ac:dyDescent="0.25">
      <c r="A10" s="24"/>
      <c r="B10" s="24"/>
      <c r="C10" s="24"/>
      <c r="D10" s="28"/>
      <c r="E10" s="24"/>
      <c r="F10" s="26"/>
      <c r="G10" s="26"/>
      <c r="H10" s="26"/>
      <c r="I10" s="26"/>
      <c r="J10" s="26"/>
      <c r="K10" s="27"/>
      <c r="L10" s="27"/>
      <c r="M10" s="24"/>
      <c r="N10" s="25"/>
      <c r="O10" s="25"/>
      <c r="P10" s="24"/>
      <c r="Q10" s="24"/>
      <c r="R10" s="24"/>
      <c r="S10" s="24"/>
      <c r="T10" s="24"/>
      <c r="U10" s="24"/>
    </row>
    <row r="11" spans="1:24" x14ac:dyDescent="0.25">
      <c r="A11" s="24"/>
      <c r="B11" s="24"/>
      <c r="C11" s="24"/>
      <c r="D11" s="28"/>
      <c r="E11" s="24"/>
      <c r="F11" s="26"/>
      <c r="G11" s="26"/>
      <c r="H11" s="26"/>
      <c r="I11" s="26"/>
      <c r="J11" s="26"/>
      <c r="K11" s="27"/>
      <c r="L11" s="27"/>
      <c r="M11" s="24"/>
      <c r="N11" s="25"/>
      <c r="O11" s="25"/>
      <c r="P11" s="24"/>
      <c r="Q11" s="24"/>
      <c r="R11" s="24"/>
      <c r="S11" s="24"/>
      <c r="T11" s="24"/>
      <c r="U11" s="24"/>
    </row>
    <row r="12" spans="1:24" x14ac:dyDescent="0.25">
      <c r="A12" s="24"/>
      <c r="B12" s="24"/>
      <c r="C12" s="24"/>
      <c r="D12" s="28"/>
      <c r="E12" s="24"/>
      <c r="F12" s="26"/>
      <c r="G12" s="26"/>
      <c r="H12" s="26"/>
      <c r="I12" s="26"/>
      <c r="J12" s="26"/>
      <c r="K12" s="27"/>
      <c r="L12" s="27"/>
      <c r="M12" s="24"/>
      <c r="N12" s="25"/>
      <c r="O12" s="25"/>
      <c r="P12" s="24"/>
      <c r="Q12" s="24"/>
      <c r="R12" s="24"/>
      <c r="S12" s="24"/>
      <c r="T12" s="24"/>
      <c r="U12" s="24"/>
    </row>
    <row r="13" spans="1:24" x14ac:dyDescent="0.25">
      <c r="A13" s="24"/>
      <c r="B13" s="24"/>
      <c r="C13" s="24"/>
      <c r="D13" s="28"/>
      <c r="E13" s="24"/>
      <c r="F13" s="26"/>
      <c r="G13" s="26"/>
      <c r="H13" s="26"/>
      <c r="I13" s="26"/>
      <c r="J13" s="26"/>
      <c r="K13" s="27"/>
      <c r="L13" s="27"/>
      <c r="M13" s="24"/>
      <c r="N13" s="25"/>
      <c r="O13" s="25"/>
      <c r="P13" s="24"/>
      <c r="Q13" s="24"/>
      <c r="R13" s="24"/>
      <c r="S13" s="24"/>
      <c r="T13" s="24"/>
      <c r="U13" s="24"/>
    </row>
    <row r="14" spans="1:24" x14ac:dyDescent="0.25">
      <c r="A14" s="24"/>
      <c r="B14" s="24"/>
      <c r="C14" s="24"/>
      <c r="D14" s="28"/>
      <c r="E14" s="24"/>
      <c r="F14" s="26"/>
      <c r="G14" s="26"/>
      <c r="H14" s="26"/>
      <c r="I14" s="26"/>
      <c r="J14" s="26"/>
      <c r="K14" s="27"/>
      <c r="L14" s="27"/>
      <c r="M14" s="24"/>
      <c r="N14" s="25"/>
      <c r="O14" s="25"/>
      <c r="P14" s="24"/>
      <c r="Q14" s="24"/>
      <c r="R14" s="24"/>
      <c r="S14" s="24"/>
      <c r="T14" s="24"/>
      <c r="U14" s="24"/>
    </row>
    <row r="15" spans="1:24" x14ac:dyDescent="0.25">
      <c r="A15" s="24"/>
      <c r="B15" s="24"/>
      <c r="C15" s="24"/>
      <c r="D15" s="28"/>
      <c r="E15" s="24"/>
      <c r="F15" s="26"/>
      <c r="G15" s="26"/>
      <c r="H15" s="26"/>
      <c r="I15" s="26"/>
      <c r="J15" s="26"/>
      <c r="K15" s="27"/>
      <c r="L15" s="27"/>
      <c r="M15" s="24"/>
      <c r="N15" s="25"/>
      <c r="O15" s="25"/>
      <c r="P15" s="24"/>
      <c r="Q15" s="24"/>
      <c r="R15" s="24"/>
      <c r="S15" s="24"/>
      <c r="T15" s="24"/>
      <c r="U15" s="24"/>
    </row>
    <row r="16" spans="1:24" x14ac:dyDescent="0.25">
      <c r="A16" s="24"/>
      <c r="B16" s="24"/>
      <c r="C16" s="24"/>
      <c r="D16" s="28"/>
      <c r="E16" s="24"/>
      <c r="F16" s="26"/>
      <c r="G16" s="26"/>
      <c r="H16" s="26"/>
      <c r="I16" s="26"/>
      <c r="J16" s="26"/>
      <c r="K16" s="27"/>
      <c r="L16" s="27"/>
      <c r="M16" s="24"/>
      <c r="N16" s="25"/>
      <c r="O16" s="25"/>
      <c r="P16" s="24"/>
      <c r="Q16" s="24"/>
      <c r="R16" s="24"/>
      <c r="S16" s="24"/>
      <c r="T16" s="24"/>
      <c r="U16" s="24"/>
    </row>
    <row r="17" spans="1:21" x14ac:dyDescent="0.25">
      <c r="A17" s="24"/>
      <c r="B17" s="24"/>
      <c r="C17" s="24"/>
      <c r="D17" s="28"/>
      <c r="E17" s="24"/>
      <c r="F17" s="26"/>
      <c r="G17" s="26"/>
      <c r="H17" s="26"/>
      <c r="I17" s="26"/>
      <c r="J17" s="26"/>
      <c r="K17" s="27"/>
      <c r="L17" s="27"/>
      <c r="M17" s="24"/>
      <c r="N17" s="25"/>
      <c r="O17" s="25"/>
      <c r="P17" s="24"/>
      <c r="Q17" s="24"/>
      <c r="R17" s="24"/>
      <c r="S17" s="24"/>
      <c r="T17" s="24"/>
      <c r="U17" s="24"/>
    </row>
    <row r="18" spans="1:21" x14ac:dyDescent="0.25">
      <c r="A18" s="24"/>
      <c r="B18" s="24"/>
      <c r="C18" s="24"/>
      <c r="D18" s="28"/>
      <c r="E18" s="24"/>
      <c r="F18" s="26"/>
      <c r="G18" s="26"/>
      <c r="H18" s="26"/>
      <c r="I18" s="26"/>
      <c r="J18" s="26"/>
      <c r="K18" s="27"/>
      <c r="L18" s="27"/>
      <c r="M18" s="24"/>
      <c r="N18" s="25"/>
      <c r="O18" s="25"/>
      <c r="P18" s="24"/>
      <c r="Q18" s="24"/>
      <c r="R18" s="24"/>
      <c r="S18" s="24"/>
      <c r="T18" s="24"/>
      <c r="U18" s="24"/>
    </row>
    <row r="19" spans="1:21" x14ac:dyDescent="0.25">
      <c r="A19" s="24"/>
      <c r="B19" s="24"/>
      <c r="C19" s="24"/>
      <c r="D19" s="28"/>
      <c r="E19" s="24"/>
      <c r="F19" s="26"/>
      <c r="G19" s="26"/>
      <c r="H19" s="26"/>
      <c r="I19" s="26"/>
      <c r="J19" s="26"/>
      <c r="K19" s="27"/>
      <c r="L19" s="27"/>
      <c r="M19" s="24"/>
      <c r="N19" s="25"/>
      <c r="O19" s="25"/>
      <c r="P19" s="24"/>
      <c r="Q19" s="24"/>
      <c r="R19" s="24"/>
      <c r="S19" s="24"/>
      <c r="T19" s="24"/>
      <c r="U19" s="24"/>
    </row>
    <row r="20" spans="1:21" x14ac:dyDescent="0.25">
      <c r="A20" s="24"/>
      <c r="B20" s="24"/>
      <c r="C20" s="24"/>
      <c r="D20" s="28"/>
      <c r="E20" s="24"/>
      <c r="F20" s="26"/>
      <c r="G20" s="26"/>
      <c r="H20" s="26"/>
      <c r="I20" s="26"/>
      <c r="J20" s="26"/>
      <c r="K20" s="27"/>
      <c r="L20" s="27"/>
      <c r="M20" s="24"/>
      <c r="N20" s="25"/>
      <c r="O20" s="25"/>
      <c r="P20" s="24"/>
      <c r="Q20" s="24"/>
      <c r="R20" s="24"/>
      <c r="S20" s="24"/>
      <c r="T20" s="24"/>
      <c r="U20" s="24"/>
    </row>
    <row r="21" spans="1:21" x14ac:dyDescent="0.25">
      <c r="A21" s="24"/>
      <c r="B21" s="24"/>
      <c r="C21" s="24"/>
      <c r="D21" s="28"/>
      <c r="E21" s="24"/>
      <c r="F21" s="26"/>
      <c r="G21" s="26"/>
      <c r="H21" s="26"/>
      <c r="I21" s="26"/>
      <c r="J21" s="26"/>
      <c r="K21" s="27"/>
      <c r="L21" s="27"/>
      <c r="M21" s="24"/>
      <c r="N21" s="25"/>
      <c r="O21" s="25"/>
      <c r="P21" s="24"/>
      <c r="Q21" s="24"/>
      <c r="R21" s="24"/>
      <c r="S21" s="24"/>
      <c r="T21" s="24"/>
      <c r="U21" s="24"/>
    </row>
    <row r="22" spans="1:21" x14ac:dyDescent="0.25">
      <c r="A22" s="24"/>
      <c r="B22" s="24"/>
      <c r="C22" s="24"/>
      <c r="D22" s="28"/>
      <c r="E22" s="24"/>
      <c r="F22" s="26"/>
      <c r="G22" s="26"/>
      <c r="H22" s="26"/>
      <c r="I22" s="26"/>
      <c r="J22" s="26"/>
      <c r="K22" s="27"/>
      <c r="L22" s="27"/>
      <c r="M22" s="24"/>
      <c r="N22" s="25"/>
      <c r="O22" s="25"/>
      <c r="P22" s="24"/>
      <c r="Q22" s="24"/>
      <c r="R22" s="24"/>
      <c r="S22" s="24"/>
      <c r="T22" s="24"/>
      <c r="U22" s="24"/>
    </row>
    <row r="23" spans="1:21" x14ac:dyDescent="0.25">
      <c r="A23" s="24"/>
      <c r="B23" s="24"/>
      <c r="C23" s="24"/>
      <c r="D23" s="28"/>
      <c r="E23" s="24"/>
      <c r="F23" s="26"/>
      <c r="G23" s="26"/>
      <c r="H23" s="26"/>
      <c r="I23" s="26"/>
      <c r="J23" s="26"/>
      <c r="K23" s="27"/>
      <c r="L23" s="27"/>
      <c r="M23" s="24"/>
      <c r="N23" s="25"/>
      <c r="O23" s="25"/>
      <c r="P23" s="24"/>
      <c r="Q23" s="24"/>
      <c r="R23" s="24"/>
      <c r="S23" s="24"/>
      <c r="T23" s="24"/>
      <c r="U23" s="24"/>
    </row>
    <row r="24" spans="1:21" x14ac:dyDescent="0.25">
      <c r="A24" s="24"/>
      <c r="B24" s="24"/>
      <c r="C24" s="24"/>
      <c r="D24" s="28"/>
      <c r="E24" s="24"/>
      <c r="F24" s="26"/>
      <c r="G24" s="26"/>
      <c r="H24" s="26"/>
      <c r="I24" s="26"/>
      <c r="J24" s="26"/>
      <c r="K24" s="27"/>
      <c r="L24" s="27"/>
      <c r="M24" s="24"/>
      <c r="N24" s="25"/>
      <c r="O24" s="25"/>
      <c r="P24" s="24"/>
      <c r="Q24" s="24"/>
      <c r="R24" s="24"/>
      <c r="S24" s="24"/>
      <c r="T24" s="24"/>
      <c r="U24" s="24"/>
    </row>
    <row r="25" spans="1:21" x14ac:dyDescent="0.25">
      <c r="A25" s="24"/>
      <c r="B25" s="24"/>
      <c r="C25" s="24"/>
      <c r="D25" s="28"/>
      <c r="E25" s="24"/>
      <c r="F25" s="26"/>
      <c r="G25" s="26"/>
      <c r="H25" s="26"/>
      <c r="I25" s="26"/>
      <c r="J25" s="26"/>
      <c r="K25" s="27"/>
      <c r="L25" s="27"/>
      <c r="M25" s="24"/>
      <c r="N25" s="25"/>
      <c r="O25" s="25"/>
      <c r="P25" s="24"/>
      <c r="Q25" s="24"/>
      <c r="R25" s="24"/>
      <c r="S25" s="24"/>
      <c r="T25" s="24"/>
      <c r="U25" s="24"/>
    </row>
    <row r="26" spans="1:21" x14ac:dyDescent="0.25">
      <c r="A26" s="24"/>
      <c r="B26" s="24"/>
      <c r="C26" s="24"/>
      <c r="D26" s="28"/>
      <c r="E26" s="24"/>
      <c r="F26" s="26"/>
      <c r="G26" s="26"/>
      <c r="H26" s="26"/>
      <c r="I26" s="26"/>
      <c r="J26" s="26"/>
      <c r="K26" s="27"/>
      <c r="L26" s="27"/>
      <c r="M26" s="24"/>
      <c r="N26" s="25"/>
      <c r="O26" s="25"/>
      <c r="P26" s="24"/>
      <c r="Q26" s="24"/>
      <c r="R26" s="24"/>
      <c r="S26" s="24"/>
      <c r="T26" s="24"/>
      <c r="U26" s="24"/>
    </row>
    <row r="27" spans="1:21" x14ac:dyDescent="0.25">
      <c r="A27" s="24"/>
      <c r="B27" s="24"/>
      <c r="C27" s="24"/>
      <c r="D27" s="28"/>
      <c r="E27" s="24"/>
      <c r="F27" s="26"/>
      <c r="G27" s="26"/>
      <c r="H27" s="26"/>
      <c r="I27" s="26"/>
      <c r="J27" s="26"/>
      <c r="K27" s="27"/>
      <c r="L27" s="27"/>
      <c r="M27" s="24"/>
      <c r="N27" s="25"/>
      <c r="O27" s="25"/>
      <c r="P27" s="24"/>
      <c r="Q27" s="24"/>
      <c r="R27" s="24"/>
      <c r="S27" s="24"/>
      <c r="T27" s="24"/>
      <c r="U27" s="24"/>
    </row>
    <row r="28" spans="1:21" x14ac:dyDescent="0.25">
      <c r="A28" s="24"/>
      <c r="B28" s="24"/>
      <c r="C28" s="24"/>
      <c r="D28" s="28"/>
      <c r="E28" s="24"/>
      <c r="F28" s="26"/>
      <c r="G28" s="26"/>
      <c r="H28" s="26"/>
      <c r="I28" s="26"/>
      <c r="J28" s="26"/>
      <c r="K28" s="27"/>
      <c r="L28" s="27"/>
      <c r="M28" s="24"/>
      <c r="N28" s="25"/>
      <c r="O28" s="25"/>
      <c r="P28" s="24"/>
      <c r="Q28" s="24"/>
      <c r="R28" s="24"/>
      <c r="S28" s="24"/>
      <c r="T28" s="24"/>
      <c r="U28" s="24"/>
    </row>
    <row r="29" spans="1:21" x14ac:dyDescent="0.25">
      <c r="A29" s="24"/>
      <c r="B29" s="24"/>
      <c r="C29" s="24"/>
      <c r="D29" s="28"/>
      <c r="E29" s="24"/>
      <c r="F29" s="26"/>
      <c r="G29" s="26"/>
      <c r="H29" s="26"/>
      <c r="I29" s="26"/>
      <c r="J29" s="26"/>
      <c r="K29" s="27"/>
      <c r="L29" s="27"/>
      <c r="M29" s="24"/>
      <c r="N29" s="25"/>
      <c r="O29" s="25"/>
      <c r="P29" s="24"/>
      <c r="Q29" s="24"/>
      <c r="R29" s="24"/>
      <c r="S29" s="24"/>
      <c r="T29" s="24"/>
      <c r="U29" s="24"/>
    </row>
    <row r="30" spans="1:21" x14ac:dyDescent="0.25">
      <c r="A30" s="24"/>
      <c r="B30" s="24"/>
      <c r="C30" s="24"/>
      <c r="D30" s="28"/>
      <c r="E30" s="24"/>
      <c r="F30" s="26"/>
      <c r="G30" s="26"/>
      <c r="H30" s="26"/>
      <c r="I30" s="26"/>
      <c r="J30" s="26"/>
      <c r="K30" s="27"/>
      <c r="L30" s="27"/>
      <c r="M30" s="24"/>
      <c r="N30" s="25"/>
      <c r="O30" s="25"/>
      <c r="P30" s="24"/>
      <c r="Q30" s="24"/>
      <c r="R30" s="24"/>
      <c r="S30" s="24"/>
      <c r="T30" s="24"/>
      <c r="U30" s="24"/>
    </row>
    <row r="31" spans="1:21" x14ac:dyDescent="0.25">
      <c r="A31" s="24"/>
      <c r="B31" s="24"/>
      <c r="C31" s="24"/>
      <c r="D31" s="28"/>
      <c r="E31" s="24"/>
      <c r="F31" s="26"/>
      <c r="G31" s="26"/>
      <c r="H31" s="26"/>
      <c r="I31" s="26"/>
      <c r="J31" s="26"/>
      <c r="K31" s="27"/>
      <c r="L31" s="27"/>
      <c r="M31" s="24"/>
      <c r="N31" s="25"/>
      <c r="O31" s="25"/>
      <c r="P31" s="24"/>
      <c r="Q31" s="24"/>
      <c r="R31" s="24"/>
      <c r="S31" s="24"/>
      <c r="T31" s="24"/>
      <c r="U31" s="24"/>
    </row>
    <row r="32" spans="1:21" x14ac:dyDescent="0.25">
      <c r="A32" s="24"/>
      <c r="B32" s="24"/>
      <c r="C32" s="24"/>
      <c r="D32" s="28"/>
      <c r="E32" s="24"/>
      <c r="F32" s="26"/>
      <c r="G32" s="26"/>
      <c r="H32" s="26"/>
      <c r="I32" s="26"/>
      <c r="J32" s="26"/>
      <c r="K32" s="27"/>
      <c r="L32" s="27"/>
      <c r="M32" s="24"/>
      <c r="N32" s="25"/>
      <c r="O32" s="25"/>
      <c r="P32" s="24"/>
      <c r="Q32" s="24"/>
      <c r="R32" s="24"/>
      <c r="S32" s="24"/>
      <c r="T32" s="24"/>
      <c r="U32" s="24"/>
    </row>
    <row r="33" spans="1:21" x14ac:dyDescent="0.25">
      <c r="A33" s="24"/>
      <c r="B33" s="24"/>
      <c r="C33" s="24"/>
      <c r="D33" s="28"/>
      <c r="E33" s="24"/>
      <c r="F33" s="26"/>
      <c r="G33" s="26"/>
      <c r="H33" s="26"/>
      <c r="I33" s="26"/>
      <c r="J33" s="26"/>
      <c r="K33" s="27"/>
      <c r="L33" s="27"/>
      <c r="M33" s="24"/>
      <c r="N33" s="25"/>
      <c r="O33" s="25"/>
      <c r="P33" s="24"/>
      <c r="Q33" s="24"/>
      <c r="R33" s="24"/>
      <c r="S33" s="24"/>
      <c r="T33" s="24"/>
      <c r="U33" s="24"/>
    </row>
    <row r="34" spans="1:21" x14ac:dyDescent="0.25">
      <c r="A34" s="24"/>
      <c r="B34" s="24"/>
      <c r="C34" s="24"/>
      <c r="D34" s="28"/>
      <c r="E34" s="24"/>
      <c r="F34" s="26"/>
      <c r="G34" s="26"/>
      <c r="H34" s="26"/>
      <c r="I34" s="26"/>
      <c r="J34" s="26"/>
      <c r="K34" s="27"/>
      <c r="L34" s="27"/>
      <c r="M34" s="24"/>
      <c r="N34" s="25"/>
      <c r="O34" s="25"/>
      <c r="P34" s="24"/>
      <c r="Q34" s="24"/>
      <c r="R34" s="24"/>
      <c r="S34" s="24"/>
      <c r="T34" s="24"/>
      <c r="U34" s="24"/>
    </row>
    <row r="35" spans="1:21" x14ac:dyDescent="0.25">
      <c r="A35" s="24"/>
      <c r="B35" s="24"/>
      <c r="C35" s="24"/>
      <c r="D35" s="28"/>
      <c r="E35" s="24"/>
      <c r="F35" s="26"/>
      <c r="G35" s="26"/>
      <c r="H35" s="26"/>
      <c r="I35" s="26"/>
      <c r="J35" s="26"/>
      <c r="K35" s="27"/>
      <c r="L35" s="27"/>
      <c r="M35" s="24"/>
      <c r="N35" s="25"/>
      <c r="O35" s="25"/>
      <c r="P35" s="24"/>
      <c r="Q35" s="24"/>
      <c r="R35" s="24"/>
      <c r="S35" s="24"/>
      <c r="T35" s="24"/>
      <c r="U35" s="24"/>
    </row>
    <row r="36" spans="1:21" x14ac:dyDescent="0.25">
      <c r="A36" s="24"/>
      <c r="B36" s="24"/>
      <c r="C36" s="24"/>
      <c r="D36" s="28"/>
      <c r="E36" s="24"/>
      <c r="F36" s="26"/>
      <c r="G36" s="26"/>
      <c r="H36" s="26"/>
      <c r="I36" s="26"/>
      <c r="J36" s="26"/>
      <c r="K36" s="27"/>
      <c r="L36" s="27"/>
      <c r="M36" s="24"/>
      <c r="N36" s="25"/>
      <c r="O36" s="25"/>
      <c r="P36" s="24"/>
      <c r="Q36" s="24"/>
      <c r="R36" s="24"/>
      <c r="S36" s="24"/>
      <c r="T36" s="24"/>
      <c r="U36" s="24"/>
    </row>
    <row r="37" spans="1:21" x14ac:dyDescent="0.25">
      <c r="A37" s="24"/>
      <c r="B37" s="24"/>
      <c r="C37" s="24"/>
      <c r="D37" s="28"/>
      <c r="E37" s="24"/>
      <c r="F37" s="26"/>
      <c r="G37" s="26"/>
      <c r="H37" s="26"/>
      <c r="I37" s="26"/>
      <c r="J37" s="26"/>
      <c r="K37" s="27"/>
      <c r="L37" s="27"/>
      <c r="M37" s="24"/>
      <c r="N37" s="25"/>
      <c r="O37" s="25"/>
      <c r="P37" s="24"/>
      <c r="Q37" s="24"/>
      <c r="R37" s="24"/>
      <c r="S37" s="24"/>
      <c r="T37" s="24"/>
      <c r="U37" s="24"/>
    </row>
    <row r="38" spans="1:21" x14ac:dyDescent="0.25">
      <c r="A38" s="24"/>
      <c r="B38" s="24"/>
      <c r="C38" s="24"/>
      <c r="D38" s="28"/>
      <c r="E38" s="24"/>
      <c r="F38" s="26"/>
      <c r="G38" s="26"/>
      <c r="H38" s="26"/>
      <c r="I38" s="26"/>
      <c r="J38" s="26"/>
      <c r="K38" s="27"/>
      <c r="L38" s="27"/>
      <c r="M38" s="24"/>
      <c r="N38" s="25"/>
      <c r="O38" s="25"/>
      <c r="P38" s="24"/>
      <c r="Q38" s="24"/>
      <c r="R38" s="24"/>
      <c r="S38" s="24"/>
      <c r="T38" s="24"/>
      <c r="U38" s="24"/>
    </row>
    <row r="39" spans="1:21" x14ac:dyDescent="0.25">
      <c r="A39" s="24"/>
      <c r="B39" s="24"/>
      <c r="C39" s="24"/>
      <c r="D39" s="28"/>
      <c r="E39" s="24"/>
      <c r="F39" s="26"/>
      <c r="G39" s="26"/>
      <c r="H39" s="26"/>
      <c r="I39" s="26"/>
      <c r="J39" s="26"/>
      <c r="K39" s="27"/>
      <c r="L39" s="27"/>
      <c r="M39" s="24"/>
      <c r="N39" s="25"/>
      <c r="O39" s="25"/>
      <c r="P39" s="24"/>
      <c r="Q39" s="24"/>
      <c r="R39" s="24"/>
      <c r="S39" s="24"/>
      <c r="T39" s="24"/>
      <c r="U39" s="24"/>
    </row>
    <row r="40" spans="1:21" x14ac:dyDescent="0.25">
      <c r="A40" s="24"/>
      <c r="B40" s="24"/>
      <c r="C40" s="24"/>
      <c r="D40" s="28"/>
      <c r="E40" s="24"/>
      <c r="F40" s="26"/>
      <c r="G40" s="26"/>
      <c r="H40" s="26"/>
      <c r="I40" s="26"/>
      <c r="J40" s="26"/>
      <c r="K40" s="27"/>
      <c r="L40" s="27"/>
      <c r="M40" s="24"/>
      <c r="N40" s="25"/>
      <c r="O40" s="25"/>
      <c r="P40" s="24"/>
      <c r="Q40" s="24"/>
      <c r="R40" s="24"/>
      <c r="S40" s="24"/>
      <c r="T40" s="24"/>
      <c r="U40" s="24"/>
    </row>
    <row r="41" spans="1:21" x14ac:dyDescent="0.25">
      <c r="A41" s="24"/>
      <c r="B41" s="24"/>
      <c r="C41" s="24"/>
      <c r="D41" s="28"/>
      <c r="E41" s="24"/>
      <c r="F41" s="26"/>
      <c r="G41" s="26"/>
      <c r="H41" s="26"/>
      <c r="I41" s="26"/>
      <c r="J41" s="26"/>
      <c r="K41" s="27"/>
      <c r="L41" s="27"/>
      <c r="M41" s="24"/>
      <c r="N41" s="25"/>
      <c r="O41" s="25"/>
      <c r="P41" s="24"/>
      <c r="Q41" s="24"/>
      <c r="R41" s="24"/>
      <c r="S41" s="24"/>
      <c r="T41" s="24"/>
      <c r="U41" s="24"/>
    </row>
    <row r="42" spans="1:21" x14ac:dyDescent="0.25">
      <c r="A42" s="24"/>
      <c r="B42" s="24"/>
      <c r="C42" s="24"/>
      <c r="D42" s="28"/>
      <c r="E42" s="24"/>
      <c r="F42" s="26"/>
      <c r="G42" s="26"/>
      <c r="H42" s="26"/>
      <c r="I42" s="26"/>
      <c r="J42" s="26"/>
      <c r="K42" s="27"/>
      <c r="L42" s="27"/>
      <c r="M42" s="24"/>
      <c r="N42" s="25"/>
      <c r="O42" s="25"/>
      <c r="P42" s="24"/>
      <c r="Q42" s="24"/>
      <c r="R42" s="24"/>
      <c r="S42" s="24"/>
      <c r="T42" s="24"/>
      <c r="U42" s="24"/>
    </row>
    <row r="43" spans="1:21" x14ac:dyDescent="0.25">
      <c r="A43" s="24"/>
      <c r="B43" s="24"/>
      <c r="C43" s="24"/>
      <c r="D43" s="28"/>
      <c r="E43" s="24"/>
      <c r="F43" s="26"/>
      <c r="G43" s="26"/>
      <c r="H43" s="26"/>
      <c r="I43" s="26"/>
      <c r="J43" s="26"/>
      <c r="K43" s="27"/>
      <c r="L43" s="27"/>
      <c r="M43" s="24"/>
      <c r="N43" s="25"/>
      <c r="O43" s="25"/>
      <c r="P43" s="24"/>
      <c r="Q43" s="24"/>
      <c r="R43" s="24"/>
      <c r="S43" s="24"/>
      <c r="T43" s="24"/>
      <c r="U43" s="24"/>
    </row>
    <row r="44" spans="1:21" x14ac:dyDescent="0.25">
      <c r="A44" s="24"/>
      <c r="B44" s="24"/>
      <c r="C44" s="24"/>
      <c r="D44" s="28"/>
      <c r="E44" s="24"/>
      <c r="F44" s="26"/>
      <c r="G44" s="26"/>
      <c r="H44" s="26"/>
      <c r="I44" s="26"/>
      <c r="J44" s="26"/>
      <c r="K44" s="27"/>
      <c r="L44" s="27"/>
      <c r="M44" s="24"/>
      <c r="N44" s="25"/>
      <c r="O44" s="25"/>
      <c r="P44" s="24"/>
      <c r="Q44" s="24"/>
      <c r="R44" s="24"/>
      <c r="S44" s="24"/>
      <c r="T44" s="24"/>
      <c r="U44" s="24"/>
    </row>
    <row r="45" spans="1:21" x14ac:dyDescent="0.25">
      <c r="A45" s="24"/>
      <c r="B45" s="24"/>
      <c r="C45" s="24"/>
      <c r="D45" s="28"/>
      <c r="E45" s="24"/>
      <c r="F45" s="26"/>
      <c r="G45" s="26"/>
      <c r="H45" s="26"/>
      <c r="I45" s="26"/>
      <c r="J45" s="26"/>
      <c r="K45" s="27"/>
      <c r="L45" s="27"/>
      <c r="M45" s="24"/>
      <c r="N45" s="25"/>
      <c r="O45" s="25"/>
      <c r="P45" s="24"/>
      <c r="Q45" s="24"/>
      <c r="R45" s="24"/>
      <c r="S45" s="24"/>
      <c r="T45" s="24"/>
      <c r="U45" s="24"/>
    </row>
    <row r="46" spans="1:21" x14ac:dyDescent="0.25">
      <c r="A46" s="24"/>
      <c r="B46" s="24"/>
      <c r="C46" s="24"/>
      <c r="D46" s="28"/>
      <c r="E46" s="24"/>
      <c r="F46" s="26"/>
      <c r="G46" s="26"/>
      <c r="H46" s="26"/>
      <c r="I46" s="26"/>
      <c r="J46" s="26"/>
      <c r="K46" s="27"/>
      <c r="L46" s="27"/>
      <c r="M46" s="24"/>
      <c r="N46" s="25"/>
      <c r="O46" s="25"/>
      <c r="P46" s="24"/>
      <c r="Q46" s="24"/>
      <c r="R46" s="24"/>
      <c r="S46" s="24"/>
      <c r="T46" s="24"/>
      <c r="U46" s="24"/>
    </row>
    <row r="47" spans="1:21" x14ac:dyDescent="0.25">
      <c r="A47" s="24"/>
      <c r="B47" s="24"/>
      <c r="C47" s="24"/>
      <c r="D47" s="28"/>
      <c r="E47" s="24"/>
      <c r="F47" s="26"/>
      <c r="G47" s="26"/>
      <c r="H47" s="26"/>
      <c r="I47" s="26"/>
      <c r="J47" s="26"/>
      <c r="K47" s="27"/>
      <c r="L47" s="27"/>
      <c r="M47" s="24"/>
      <c r="N47" s="25"/>
      <c r="O47" s="25"/>
      <c r="P47" s="24"/>
      <c r="Q47" s="24"/>
      <c r="R47" s="24"/>
      <c r="S47" s="24"/>
      <c r="T47" s="24"/>
      <c r="U47" s="24"/>
    </row>
    <row r="48" spans="1:21" x14ac:dyDescent="0.25">
      <c r="A48" s="24"/>
      <c r="B48" s="24"/>
      <c r="C48" s="24"/>
      <c r="D48" s="28"/>
      <c r="E48" s="24"/>
      <c r="F48" s="26"/>
      <c r="G48" s="26"/>
      <c r="H48" s="26"/>
      <c r="I48" s="26"/>
      <c r="J48" s="26"/>
      <c r="K48" s="27"/>
      <c r="L48" s="27"/>
      <c r="M48" s="24"/>
      <c r="N48" s="25"/>
      <c r="O48" s="25"/>
      <c r="P48" s="24"/>
      <c r="Q48" s="24"/>
      <c r="R48" s="24"/>
      <c r="S48" s="24"/>
      <c r="T48" s="24"/>
      <c r="U48" s="24"/>
    </row>
    <row r="49" spans="1:21" x14ac:dyDescent="0.25">
      <c r="A49" s="24"/>
      <c r="B49" s="24"/>
      <c r="C49" s="24"/>
      <c r="D49" s="28"/>
      <c r="E49" s="24"/>
      <c r="F49" s="26"/>
      <c r="G49" s="26"/>
      <c r="H49" s="26"/>
      <c r="I49" s="26"/>
      <c r="J49" s="26"/>
      <c r="K49" s="27"/>
      <c r="L49" s="27"/>
      <c r="M49" s="24"/>
      <c r="N49" s="25"/>
      <c r="O49" s="25"/>
      <c r="P49" s="24"/>
      <c r="Q49" s="24"/>
      <c r="R49" s="24"/>
      <c r="S49" s="24"/>
      <c r="T49" s="24"/>
      <c r="U49" s="24"/>
    </row>
    <row r="50" spans="1:21" x14ac:dyDescent="0.25">
      <c r="A50" s="24"/>
      <c r="B50" s="24"/>
      <c r="C50" s="24"/>
      <c r="D50" s="28"/>
      <c r="E50" s="24"/>
      <c r="F50" s="26"/>
      <c r="G50" s="26"/>
      <c r="H50" s="26"/>
      <c r="I50" s="26"/>
      <c r="J50" s="26"/>
      <c r="K50" s="27"/>
      <c r="L50" s="27"/>
      <c r="M50" s="24"/>
      <c r="N50" s="25"/>
      <c r="O50" s="25"/>
      <c r="P50" s="24"/>
      <c r="Q50" s="24"/>
      <c r="R50" s="24"/>
      <c r="S50" s="24"/>
      <c r="T50" s="24"/>
      <c r="U50" s="24"/>
    </row>
    <row r="51" spans="1:21" x14ac:dyDescent="0.25">
      <c r="A51" s="24"/>
      <c r="B51" s="24"/>
      <c r="C51" s="24"/>
      <c r="D51" s="28"/>
      <c r="E51" s="24"/>
      <c r="F51" s="26"/>
      <c r="G51" s="26"/>
      <c r="H51" s="26"/>
      <c r="I51" s="26"/>
      <c r="J51" s="26"/>
      <c r="K51" s="27"/>
      <c r="L51" s="27"/>
      <c r="M51" s="24"/>
      <c r="N51" s="25"/>
      <c r="O51" s="25"/>
      <c r="P51" s="24"/>
      <c r="Q51" s="24"/>
      <c r="R51" s="24"/>
      <c r="S51" s="24"/>
      <c r="T51" s="24"/>
      <c r="U51" s="24"/>
    </row>
    <row r="52" spans="1:21" x14ac:dyDescent="0.25">
      <c r="A52" s="24"/>
      <c r="B52" s="24"/>
      <c r="C52" s="24"/>
      <c r="D52" s="28"/>
      <c r="E52" s="24"/>
      <c r="F52" s="26"/>
      <c r="G52" s="26"/>
      <c r="H52" s="26"/>
      <c r="I52" s="26"/>
      <c r="J52" s="26"/>
      <c r="K52" s="27"/>
      <c r="L52" s="27"/>
      <c r="M52" s="24"/>
      <c r="N52" s="25"/>
      <c r="O52" s="25"/>
      <c r="P52" s="24"/>
      <c r="Q52" s="24"/>
      <c r="R52" s="24"/>
      <c r="S52" s="24"/>
      <c r="T52" s="24"/>
      <c r="U52" s="24"/>
    </row>
    <row r="53" spans="1:21" x14ac:dyDescent="0.25">
      <c r="A53" s="24"/>
      <c r="B53" s="24"/>
      <c r="C53" s="24"/>
      <c r="D53" s="28"/>
      <c r="E53" s="24"/>
      <c r="F53" s="26"/>
      <c r="G53" s="26"/>
      <c r="H53" s="26"/>
      <c r="I53" s="26"/>
      <c r="J53" s="26"/>
      <c r="K53" s="27"/>
      <c r="L53" s="27"/>
      <c r="M53" s="24"/>
      <c r="N53" s="25"/>
      <c r="O53" s="25"/>
      <c r="P53" s="24"/>
      <c r="Q53" s="24"/>
      <c r="R53" s="24"/>
      <c r="S53" s="24"/>
      <c r="T53" s="24"/>
      <c r="U53" s="24"/>
    </row>
    <row r="54" spans="1:21" x14ac:dyDescent="0.25">
      <c r="A54" s="24"/>
      <c r="B54" s="24"/>
      <c r="C54" s="24"/>
      <c r="D54" s="28"/>
      <c r="E54" s="24"/>
      <c r="F54" s="26"/>
      <c r="G54" s="26"/>
      <c r="H54" s="26"/>
      <c r="I54" s="26"/>
      <c r="J54" s="26"/>
      <c r="K54" s="27"/>
      <c r="L54" s="27"/>
      <c r="M54" s="24"/>
      <c r="N54" s="25"/>
      <c r="O54" s="25"/>
      <c r="P54" s="24"/>
      <c r="Q54" s="24"/>
      <c r="R54" s="24"/>
      <c r="S54" s="24"/>
      <c r="T54" s="24"/>
      <c r="U54" s="24"/>
    </row>
    <row r="55" spans="1:21" x14ac:dyDescent="0.25">
      <c r="A55" s="24"/>
      <c r="B55" s="24"/>
      <c r="C55" s="24"/>
      <c r="D55" s="28"/>
      <c r="E55" s="24"/>
      <c r="F55" s="26"/>
      <c r="G55" s="26"/>
      <c r="H55" s="26"/>
      <c r="I55" s="26"/>
      <c r="J55" s="26"/>
      <c r="K55" s="27"/>
      <c r="L55" s="27"/>
      <c r="M55" s="24"/>
      <c r="N55" s="25"/>
      <c r="O55" s="25"/>
      <c r="P55" s="24"/>
      <c r="Q55" s="24"/>
      <c r="R55" s="24"/>
      <c r="S55" s="24"/>
      <c r="T55" s="24"/>
      <c r="U55" s="24"/>
    </row>
    <row r="56" spans="1:21" x14ac:dyDescent="0.25">
      <c r="A56" s="24"/>
      <c r="B56" s="24"/>
      <c r="C56" s="24"/>
      <c r="D56" s="28"/>
      <c r="E56" s="24"/>
      <c r="F56" s="26"/>
      <c r="G56" s="26"/>
      <c r="H56" s="26"/>
      <c r="I56" s="26"/>
      <c r="J56" s="26"/>
      <c r="K56" s="27"/>
      <c r="L56" s="27"/>
      <c r="M56" s="24"/>
      <c r="N56" s="25"/>
      <c r="O56" s="25"/>
      <c r="P56" s="24"/>
      <c r="Q56" s="24"/>
      <c r="R56" s="24"/>
      <c r="S56" s="24"/>
      <c r="T56" s="24"/>
      <c r="U56" s="24"/>
    </row>
    <row r="57" spans="1:21" x14ac:dyDescent="0.25">
      <c r="A57" s="24"/>
      <c r="B57" s="24"/>
      <c r="C57" s="24"/>
      <c r="D57" s="28"/>
      <c r="E57" s="24"/>
      <c r="F57" s="26"/>
      <c r="G57" s="26"/>
      <c r="H57" s="26"/>
      <c r="I57" s="26"/>
      <c r="J57" s="26"/>
      <c r="K57" s="27"/>
      <c r="L57" s="27"/>
      <c r="M57" s="24"/>
      <c r="N57" s="25"/>
      <c r="O57" s="25"/>
      <c r="P57" s="24"/>
      <c r="Q57" s="24"/>
      <c r="R57" s="24"/>
      <c r="S57" s="24"/>
      <c r="T57" s="24"/>
      <c r="U57" s="24"/>
    </row>
    <row r="58" spans="1:21" x14ac:dyDescent="0.25">
      <c r="A58" s="24"/>
      <c r="B58" s="24"/>
      <c r="C58" s="24"/>
      <c r="D58" s="28"/>
      <c r="E58" s="24"/>
      <c r="F58" s="26"/>
      <c r="G58" s="26"/>
      <c r="H58" s="26"/>
      <c r="I58" s="26"/>
      <c r="J58" s="26"/>
      <c r="K58" s="27"/>
      <c r="L58" s="27"/>
      <c r="M58" s="24"/>
      <c r="N58" s="25"/>
      <c r="O58" s="25"/>
      <c r="P58" s="24"/>
      <c r="Q58" s="24"/>
      <c r="R58" s="24"/>
      <c r="S58" s="24"/>
      <c r="T58" s="24"/>
      <c r="U58" s="24"/>
    </row>
    <row r="59" spans="1:21" x14ac:dyDescent="0.25">
      <c r="A59" s="24"/>
      <c r="B59" s="24"/>
      <c r="C59" s="24"/>
      <c r="D59" s="28"/>
      <c r="E59" s="24"/>
      <c r="F59" s="26"/>
      <c r="G59" s="26"/>
      <c r="H59" s="26"/>
      <c r="I59" s="26"/>
      <c r="J59" s="26"/>
      <c r="K59" s="27"/>
      <c r="L59" s="27"/>
      <c r="M59" s="24"/>
      <c r="N59" s="25"/>
      <c r="O59" s="25"/>
      <c r="P59" s="24"/>
      <c r="Q59" s="24"/>
      <c r="R59" s="24"/>
      <c r="S59" s="24"/>
      <c r="T59" s="24"/>
      <c r="U59" s="24"/>
    </row>
    <row r="60" spans="1:21" x14ac:dyDescent="0.25">
      <c r="A60" s="24"/>
      <c r="B60" s="24"/>
      <c r="C60" s="24"/>
      <c r="D60" s="28"/>
      <c r="E60" s="24"/>
      <c r="F60" s="26"/>
      <c r="G60" s="26"/>
      <c r="H60" s="26"/>
      <c r="I60" s="26"/>
      <c r="J60" s="26"/>
      <c r="K60" s="27"/>
      <c r="L60" s="27"/>
      <c r="M60" s="24"/>
      <c r="N60" s="25"/>
      <c r="O60" s="25"/>
      <c r="P60" s="24"/>
      <c r="Q60" s="24"/>
      <c r="R60" s="24"/>
      <c r="S60" s="24"/>
      <c r="T60" s="24"/>
      <c r="U60" s="24"/>
    </row>
    <row r="61" spans="1:21" x14ac:dyDescent="0.25">
      <c r="A61" s="24"/>
      <c r="B61" s="24"/>
      <c r="C61" s="24"/>
      <c r="D61" s="28"/>
      <c r="E61" s="24"/>
      <c r="F61" s="26"/>
      <c r="G61" s="26"/>
      <c r="H61" s="26"/>
      <c r="I61" s="26"/>
      <c r="J61" s="26"/>
      <c r="K61" s="27"/>
      <c r="L61" s="27"/>
      <c r="M61" s="24"/>
      <c r="N61" s="25"/>
      <c r="O61" s="25"/>
      <c r="P61" s="24"/>
      <c r="Q61" s="24"/>
      <c r="R61" s="24"/>
      <c r="S61" s="24"/>
      <c r="T61" s="24"/>
      <c r="U61" s="24"/>
    </row>
    <row r="62" spans="1:21" x14ac:dyDescent="0.25">
      <c r="A62" s="24"/>
      <c r="B62" s="24"/>
      <c r="C62" s="24"/>
      <c r="D62" s="28"/>
      <c r="E62" s="24"/>
      <c r="F62" s="26"/>
      <c r="G62" s="26"/>
      <c r="H62" s="26"/>
      <c r="I62" s="26"/>
      <c r="J62" s="26"/>
      <c r="K62" s="27"/>
      <c r="L62" s="27"/>
      <c r="M62" s="24"/>
      <c r="N62" s="25"/>
      <c r="O62" s="25"/>
      <c r="P62" s="24"/>
      <c r="Q62" s="24"/>
      <c r="R62" s="24"/>
      <c r="S62" s="24"/>
      <c r="T62" s="24"/>
      <c r="U62" s="24"/>
    </row>
    <row r="63" spans="1:21" x14ac:dyDescent="0.25">
      <c r="A63" s="24"/>
      <c r="B63" s="24"/>
      <c r="C63" s="24"/>
      <c r="D63" s="28"/>
      <c r="E63" s="24"/>
      <c r="F63" s="26"/>
      <c r="G63" s="26"/>
      <c r="H63" s="26"/>
      <c r="I63" s="26"/>
      <c r="J63" s="26"/>
      <c r="K63" s="27"/>
      <c r="L63" s="27"/>
      <c r="M63" s="24"/>
      <c r="N63" s="25"/>
      <c r="O63" s="25"/>
      <c r="P63" s="24"/>
      <c r="Q63" s="24"/>
      <c r="R63" s="24"/>
      <c r="S63" s="24"/>
      <c r="T63" s="24"/>
      <c r="U63" s="24"/>
    </row>
    <row r="64" spans="1:21" x14ac:dyDescent="0.25">
      <c r="A64" s="24"/>
      <c r="B64" s="24"/>
      <c r="C64" s="24"/>
      <c r="D64" s="28"/>
      <c r="E64" s="24"/>
      <c r="F64" s="26"/>
      <c r="G64" s="26"/>
      <c r="H64" s="26"/>
      <c r="I64" s="26"/>
      <c r="J64" s="26"/>
      <c r="K64" s="27"/>
      <c r="L64" s="27"/>
      <c r="M64" s="24"/>
      <c r="N64" s="25"/>
      <c r="O64" s="25"/>
      <c r="P64" s="24"/>
      <c r="Q64" s="24"/>
      <c r="R64" s="24"/>
      <c r="S64" s="24"/>
      <c r="T64" s="24"/>
      <c r="U64" s="24"/>
    </row>
    <row r="65" spans="1:21" x14ac:dyDescent="0.25">
      <c r="A65" s="24"/>
      <c r="B65" s="24"/>
      <c r="C65" s="24"/>
      <c r="D65" s="28"/>
      <c r="E65" s="24"/>
      <c r="F65" s="26"/>
      <c r="G65" s="26"/>
      <c r="H65" s="26"/>
      <c r="I65" s="26"/>
      <c r="J65" s="26"/>
      <c r="K65" s="27"/>
      <c r="L65" s="27"/>
      <c r="M65" s="24"/>
      <c r="N65" s="25"/>
      <c r="O65" s="25"/>
      <c r="P65" s="24"/>
      <c r="Q65" s="24"/>
      <c r="R65" s="24"/>
      <c r="S65" s="24"/>
      <c r="T65" s="24"/>
      <c r="U65" s="24"/>
    </row>
    <row r="66" spans="1:21" x14ac:dyDescent="0.25">
      <c r="A66" s="24"/>
      <c r="B66" s="24"/>
      <c r="C66" s="24"/>
      <c r="D66" s="28"/>
      <c r="E66" s="24"/>
      <c r="F66" s="26"/>
      <c r="G66" s="26"/>
      <c r="H66" s="26"/>
      <c r="I66" s="26"/>
      <c r="J66" s="26"/>
      <c r="K66" s="27"/>
      <c r="L66" s="27"/>
      <c r="M66" s="24"/>
      <c r="N66" s="25"/>
      <c r="O66" s="25"/>
      <c r="P66" s="24"/>
      <c r="Q66" s="24"/>
      <c r="R66" s="24"/>
      <c r="S66" s="24"/>
      <c r="T66" s="24"/>
      <c r="U66" s="24"/>
    </row>
    <row r="67" spans="1:21" x14ac:dyDescent="0.25">
      <c r="A67" s="24"/>
      <c r="B67" s="24"/>
      <c r="C67" s="24"/>
      <c r="D67" s="28"/>
      <c r="E67" s="24"/>
      <c r="F67" s="26"/>
      <c r="G67" s="26"/>
      <c r="H67" s="26"/>
      <c r="I67" s="26"/>
      <c r="J67" s="26"/>
      <c r="K67" s="27"/>
      <c r="L67" s="27"/>
      <c r="M67" s="24"/>
      <c r="N67" s="25"/>
      <c r="O67" s="25"/>
      <c r="P67" s="24"/>
      <c r="Q67" s="24"/>
      <c r="R67" s="24"/>
      <c r="S67" s="24"/>
      <c r="T67" s="24"/>
      <c r="U67" s="24"/>
    </row>
    <row r="68" spans="1:21" x14ac:dyDescent="0.25">
      <c r="A68" s="24"/>
      <c r="B68" s="24"/>
      <c r="C68" s="24"/>
      <c r="D68" s="28"/>
      <c r="E68" s="24"/>
      <c r="F68" s="26"/>
      <c r="G68" s="26"/>
      <c r="H68" s="26"/>
      <c r="I68" s="26"/>
      <c r="J68" s="26"/>
      <c r="K68" s="27"/>
      <c r="L68" s="27"/>
      <c r="M68" s="24"/>
      <c r="N68" s="25"/>
      <c r="O68" s="25"/>
      <c r="P68" s="24"/>
      <c r="Q68" s="24"/>
      <c r="R68" s="24"/>
      <c r="S68" s="24"/>
      <c r="T68" s="24"/>
      <c r="U68" s="24"/>
    </row>
    <row r="69" spans="1:21" x14ac:dyDescent="0.25">
      <c r="A69" s="24"/>
      <c r="B69" s="24"/>
      <c r="C69" s="24"/>
      <c r="D69" s="28"/>
      <c r="E69" s="24"/>
      <c r="F69" s="26"/>
      <c r="G69" s="26"/>
      <c r="H69" s="26"/>
      <c r="I69" s="26"/>
      <c r="J69" s="26"/>
      <c r="K69" s="27"/>
      <c r="L69" s="27"/>
      <c r="M69" s="24"/>
      <c r="N69" s="25"/>
      <c r="O69" s="25"/>
      <c r="P69" s="24"/>
      <c r="Q69" s="24"/>
      <c r="R69" s="24"/>
      <c r="S69" s="24"/>
      <c r="T69" s="24"/>
      <c r="U69" s="24"/>
    </row>
    <row r="70" spans="1:21" x14ac:dyDescent="0.25">
      <c r="A70" s="24"/>
      <c r="B70" s="24"/>
      <c r="C70" s="24"/>
      <c r="D70" s="28"/>
      <c r="E70" s="24"/>
      <c r="F70" s="26"/>
      <c r="G70" s="26"/>
      <c r="H70" s="26"/>
      <c r="I70" s="26"/>
      <c r="J70" s="26"/>
      <c r="K70" s="27"/>
      <c r="L70" s="27"/>
      <c r="M70" s="24"/>
      <c r="N70" s="25"/>
      <c r="O70" s="25"/>
      <c r="P70" s="24"/>
      <c r="Q70" s="24"/>
      <c r="R70" s="24"/>
      <c r="S70" s="24"/>
      <c r="T70" s="24"/>
      <c r="U70" s="24"/>
    </row>
    <row r="71" spans="1:21" x14ac:dyDescent="0.25">
      <c r="A71" s="24"/>
      <c r="B71" s="24"/>
      <c r="C71" s="24"/>
      <c r="D71" s="28"/>
      <c r="E71" s="24"/>
      <c r="F71" s="26"/>
      <c r="G71" s="26"/>
      <c r="H71" s="26"/>
      <c r="I71" s="26"/>
      <c r="J71" s="26"/>
      <c r="K71" s="27"/>
      <c r="L71" s="27"/>
      <c r="M71" s="24"/>
      <c r="N71" s="25"/>
      <c r="O71" s="25"/>
      <c r="P71" s="24"/>
      <c r="Q71" s="24"/>
      <c r="R71" s="24"/>
      <c r="S71" s="24"/>
      <c r="T71" s="24"/>
      <c r="U71" s="24"/>
    </row>
    <row r="72" spans="1:21" x14ac:dyDescent="0.25">
      <c r="A72" s="24"/>
      <c r="B72" s="24"/>
      <c r="C72" s="24"/>
      <c r="D72" s="28"/>
      <c r="E72" s="24"/>
      <c r="F72" s="26"/>
      <c r="G72" s="26"/>
      <c r="H72" s="26"/>
      <c r="I72" s="26"/>
      <c r="J72" s="26"/>
      <c r="K72" s="27"/>
      <c r="L72" s="27"/>
      <c r="M72" s="24"/>
      <c r="N72" s="25"/>
      <c r="O72" s="25"/>
      <c r="P72" s="24"/>
      <c r="Q72" s="24"/>
      <c r="R72" s="24"/>
      <c r="S72" s="24"/>
      <c r="T72" s="24"/>
      <c r="U72" s="24"/>
    </row>
    <row r="73" spans="1:21" x14ac:dyDescent="0.25">
      <c r="A73" s="24"/>
      <c r="B73" s="24"/>
      <c r="C73" s="24"/>
      <c r="D73" s="28"/>
      <c r="E73" s="24"/>
      <c r="F73" s="26"/>
      <c r="G73" s="26"/>
      <c r="H73" s="26"/>
      <c r="I73" s="26"/>
      <c r="J73" s="26"/>
      <c r="K73" s="27"/>
      <c r="L73" s="27"/>
      <c r="M73" s="24"/>
      <c r="N73" s="25"/>
      <c r="O73" s="25"/>
      <c r="P73" s="24"/>
      <c r="Q73" s="24"/>
      <c r="R73" s="24"/>
      <c r="S73" s="24"/>
      <c r="T73" s="24"/>
      <c r="U73" s="24"/>
    </row>
    <row r="74" spans="1:21" x14ac:dyDescent="0.25">
      <c r="A74" s="24"/>
      <c r="B74" s="24"/>
      <c r="C74" s="24"/>
      <c r="D74" s="28"/>
      <c r="E74" s="24"/>
      <c r="F74" s="26"/>
      <c r="G74" s="26"/>
      <c r="H74" s="26"/>
      <c r="I74" s="26"/>
      <c r="J74" s="26"/>
      <c r="K74" s="27"/>
      <c r="L74" s="27"/>
      <c r="M74" s="24"/>
      <c r="N74" s="25"/>
      <c r="O74" s="25"/>
      <c r="P74" s="24"/>
      <c r="Q74" s="24"/>
      <c r="R74" s="24"/>
      <c r="S74" s="24"/>
      <c r="T74" s="24"/>
      <c r="U74" s="24"/>
    </row>
    <row r="75" spans="1:21" x14ac:dyDescent="0.25">
      <c r="A75" s="24"/>
      <c r="B75" s="24"/>
      <c r="C75" s="24"/>
      <c r="D75" s="28"/>
      <c r="E75" s="24"/>
      <c r="F75" s="26"/>
      <c r="G75" s="26"/>
      <c r="H75" s="26"/>
      <c r="I75" s="26"/>
      <c r="J75" s="26"/>
      <c r="K75" s="27"/>
      <c r="L75" s="27"/>
      <c r="M75" s="24"/>
      <c r="N75" s="25"/>
      <c r="O75" s="25"/>
      <c r="P75" s="24"/>
      <c r="Q75" s="24"/>
      <c r="R75" s="24"/>
      <c r="S75" s="24"/>
      <c r="T75" s="24"/>
      <c r="U75" s="24"/>
    </row>
    <row r="76" spans="1:21" x14ac:dyDescent="0.25">
      <c r="A76" s="24"/>
      <c r="B76" s="24"/>
      <c r="C76" s="24"/>
      <c r="D76" s="28"/>
      <c r="E76" s="24"/>
      <c r="F76" s="26"/>
      <c r="G76" s="26"/>
      <c r="H76" s="26"/>
      <c r="I76" s="26"/>
      <c r="J76" s="26"/>
      <c r="K76" s="27"/>
      <c r="L76" s="27"/>
      <c r="M76" s="24"/>
      <c r="N76" s="25"/>
      <c r="O76" s="25"/>
      <c r="P76" s="24"/>
      <c r="Q76" s="24"/>
      <c r="R76" s="24"/>
      <c r="S76" s="24"/>
      <c r="T76" s="24"/>
      <c r="U76" s="24"/>
    </row>
    <row r="77" spans="1:21" x14ac:dyDescent="0.25">
      <c r="A77" s="24"/>
      <c r="B77" s="24"/>
      <c r="C77" s="24"/>
      <c r="D77" s="28"/>
      <c r="E77" s="24"/>
      <c r="F77" s="26"/>
      <c r="G77" s="26"/>
      <c r="H77" s="26"/>
      <c r="I77" s="26"/>
      <c r="J77" s="26"/>
      <c r="K77" s="27"/>
      <c r="L77" s="27"/>
      <c r="M77" s="24"/>
      <c r="N77" s="25"/>
      <c r="O77" s="25"/>
      <c r="P77" s="24"/>
      <c r="Q77" s="24"/>
      <c r="R77" s="24"/>
      <c r="S77" s="24"/>
      <c r="T77" s="24"/>
      <c r="U77" s="24"/>
    </row>
    <row r="78" spans="1:21" x14ac:dyDescent="0.25">
      <c r="A78" s="24"/>
      <c r="B78" s="24"/>
      <c r="C78" s="24"/>
      <c r="D78" s="28"/>
      <c r="E78" s="24"/>
      <c r="F78" s="26"/>
      <c r="G78" s="26"/>
      <c r="H78" s="26"/>
      <c r="I78" s="26"/>
      <c r="J78" s="26"/>
      <c r="K78" s="27"/>
      <c r="L78" s="27"/>
      <c r="M78" s="24"/>
      <c r="N78" s="25"/>
      <c r="O78" s="25"/>
      <c r="P78" s="24"/>
      <c r="Q78" s="24"/>
      <c r="R78" s="24"/>
      <c r="S78" s="24"/>
      <c r="T78" s="24"/>
      <c r="U78" s="24"/>
    </row>
    <row r="79" spans="1:21" x14ac:dyDescent="0.25">
      <c r="A79" s="24"/>
      <c r="B79" s="24"/>
      <c r="C79" s="24"/>
      <c r="D79" s="28"/>
      <c r="E79" s="24"/>
      <c r="F79" s="26"/>
      <c r="G79" s="26"/>
      <c r="H79" s="26"/>
      <c r="I79" s="26"/>
      <c r="J79" s="26"/>
      <c r="K79" s="27"/>
      <c r="L79" s="27"/>
      <c r="M79" s="24"/>
      <c r="N79" s="25"/>
      <c r="O79" s="25"/>
      <c r="P79" s="24"/>
      <c r="Q79" s="24"/>
      <c r="R79" s="24"/>
      <c r="S79" s="24"/>
      <c r="T79" s="24"/>
      <c r="U79" s="24"/>
    </row>
    <row r="80" spans="1:21" x14ac:dyDescent="0.25">
      <c r="A80" s="24"/>
      <c r="B80" s="24"/>
      <c r="C80" s="24"/>
      <c r="D80" s="28"/>
      <c r="E80" s="24"/>
      <c r="F80" s="26"/>
      <c r="G80" s="26"/>
      <c r="H80" s="26"/>
      <c r="I80" s="26"/>
      <c r="J80" s="26"/>
      <c r="K80" s="27"/>
      <c r="L80" s="27"/>
      <c r="M80" s="24"/>
      <c r="N80" s="25"/>
      <c r="O80" s="25"/>
      <c r="P80" s="24"/>
      <c r="Q80" s="24"/>
      <c r="R80" s="24"/>
      <c r="S80" s="24"/>
      <c r="T80" s="24"/>
      <c r="U80" s="24"/>
    </row>
    <row r="81" spans="1:21" x14ac:dyDescent="0.25">
      <c r="A81" s="24"/>
      <c r="B81" s="24"/>
      <c r="C81" s="24"/>
      <c r="D81" s="25"/>
      <c r="E81" s="24"/>
      <c r="F81" s="26"/>
      <c r="G81" s="26"/>
      <c r="H81" s="26"/>
      <c r="I81" s="26"/>
      <c r="J81" s="26"/>
      <c r="K81" s="27"/>
      <c r="L81" s="27"/>
      <c r="M81" s="24"/>
      <c r="N81" s="25"/>
      <c r="O81" s="25"/>
      <c r="P81" s="24"/>
      <c r="Q81" s="24"/>
      <c r="R81" s="24"/>
      <c r="S81" s="24"/>
      <c r="T81" s="24"/>
      <c r="U81" s="24"/>
    </row>
    <row r="82" spans="1:21" x14ac:dyDescent="0.25">
      <c r="A82" s="24"/>
      <c r="B82" s="24"/>
      <c r="C82" s="24"/>
      <c r="D82" s="28"/>
      <c r="E82" s="24"/>
      <c r="F82" s="26"/>
      <c r="G82" s="26"/>
      <c r="H82" s="26"/>
      <c r="I82" s="26"/>
      <c r="J82" s="26"/>
      <c r="K82" s="27"/>
      <c r="L82" s="27"/>
      <c r="M82" s="24"/>
      <c r="N82" s="25"/>
      <c r="O82" s="25"/>
      <c r="P82" s="24"/>
      <c r="Q82" s="24"/>
      <c r="R82" s="24"/>
      <c r="S82" s="24"/>
      <c r="T82" s="24"/>
      <c r="U82" s="24"/>
    </row>
    <row r="83" spans="1:21" x14ac:dyDescent="0.25">
      <c r="A83" s="24"/>
      <c r="B83" s="24"/>
      <c r="C83" s="24"/>
      <c r="D83" s="28"/>
      <c r="E83" s="24"/>
      <c r="F83" s="26"/>
      <c r="G83" s="26"/>
      <c r="H83" s="26"/>
      <c r="I83" s="26"/>
      <c r="J83" s="26"/>
      <c r="K83" s="27"/>
      <c r="L83" s="27"/>
      <c r="M83" s="24"/>
      <c r="N83" s="25"/>
      <c r="O83" s="25"/>
      <c r="P83" s="24"/>
      <c r="Q83" s="24"/>
      <c r="R83" s="24"/>
      <c r="S83" s="24"/>
      <c r="T83" s="24"/>
      <c r="U83" s="24"/>
    </row>
    <row r="84" spans="1:21" x14ac:dyDescent="0.25">
      <c r="A84" s="24"/>
      <c r="B84" s="24"/>
      <c r="C84" s="24"/>
      <c r="D84" s="28"/>
      <c r="E84" s="24"/>
      <c r="F84" s="26"/>
      <c r="G84" s="26"/>
      <c r="H84" s="26"/>
      <c r="I84" s="26"/>
      <c r="J84" s="26"/>
      <c r="K84" s="27"/>
      <c r="L84" s="27"/>
      <c r="M84" s="24"/>
      <c r="N84" s="25"/>
      <c r="O84" s="25"/>
      <c r="P84" s="24"/>
      <c r="Q84" s="24"/>
      <c r="R84" s="24"/>
      <c r="S84" s="24"/>
      <c r="T84" s="24"/>
      <c r="U84" s="24"/>
    </row>
    <row r="85" spans="1:21" x14ac:dyDescent="0.25">
      <c r="A85" s="24"/>
      <c r="B85" s="24"/>
      <c r="C85" s="24"/>
      <c r="D85" s="25"/>
      <c r="E85" s="24"/>
      <c r="F85" s="26"/>
      <c r="G85" s="26"/>
      <c r="H85" s="26"/>
      <c r="I85" s="26"/>
      <c r="J85" s="26"/>
      <c r="K85" s="27"/>
      <c r="L85" s="27"/>
      <c r="M85" s="24"/>
      <c r="N85" s="25"/>
      <c r="O85" s="25"/>
      <c r="P85" s="24"/>
      <c r="Q85" s="24"/>
      <c r="R85" s="24"/>
      <c r="S85" s="24"/>
      <c r="T85" s="24"/>
      <c r="U85" s="24"/>
    </row>
    <row r="86" spans="1:21" x14ac:dyDescent="0.25">
      <c r="A86" s="24"/>
      <c r="B86" s="24"/>
      <c r="C86" s="24"/>
      <c r="D86" s="28"/>
      <c r="E86" s="24"/>
      <c r="F86" s="26"/>
      <c r="G86" s="26"/>
      <c r="H86" s="26"/>
      <c r="I86" s="26"/>
      <c r="J86" s="26"/>
      <c r="K86" s="27"/>
      <c r="L86" s="27"/>
      <c r="M86" s="24"/>
      <c r="N86" s="25"/>
      <c r="O86" s="25"/>
      <c r="P86" s="24"/>
      <c r="Q86" s="24"/>
      <c r="R86" s="24"/>
      <c r="S86" s="24"/>
      <c r="T86" s="24"/>
      <c r="U86" s="24"/>
    </row>
    <row r="87" spans="1:21" x14ac:dyDescent="0.25">
      <c r="A87" s="24"/>
      <c r="B87" s="24"/>
      <c r="C87" s="24"/>
      <c r="D87" s="28"/>
      <c r="E87" s="24"/>
      <c r="F87" s="26"/>
      <c r="G87" s="26"/>
      <c r="H87" s="26"/>
      <c r="I87" s="26"/>
      <c r="J87" s="26"/>
      <c r="K87" s="27"/>
      <c r="L87" s="27"/>
      <c r="M87" s="24"/>
      <c r="N87" s="25"/>
      <c r="O87" s="25"/>
      <c r="P87" s="24"/>
      <c r="Q87" s="24"/>
      <c r="R87" s="24"/>
      <c r="S87" s="24"/>
      <c r="T87" s="24"/>
      <c r="U87" s="24"/>
    </row>
    <row r="88" spans="1:21" x14ac:dyDescent="0.25">
      <c r="A88" s="24"/>
      <c r="B88" s="24"/>
      <c r="C88" s="24"/>
      <c r="D88" s="28"/>
      <c r="E88" s="24"/>
      <c r="F88" s="26"/>
      <c r="G88" s="26"/>
      <c r="H88" s="26"/>
      <c r="I88" s="26"/>
      <c r="J88" s="26"/>
      <c r="K88" s="27"/>
      <c r="L88" s="27"/>
      <c r="M88" s="24"/>
      <c r="N88" s="25"/>
      <c r="O88" s="25"/>
      <c r="P88" s="24"/>
      <c r="Q88" s="24"/>
      <c r="R88" s="24"/>
      <c r="S88" s="24"/>
      <c r="T88" s="24"/>
      <c r="U88" s="24"/>
    </row>
    <row r="89" spans="1:21" x14ac:dyDescent="0.25">
      <c r="A89" s="24"/>
      <c r="B89" s="24"/>
      <c r="C89" s="24"/>
      <c r="D89" s="25"/>
      <c r="E89" s="24"/>
      <c r="F89" s="26"/>
      <c r="G89" s="26"/>
      <c r="H89" s="26"/>
      <c r="I89" s="26"/>
      <c r="J89" s="26"/>
      <c r="K89" s="27"/>
      <c r="L89" s="27"/>
      <c r="M89" s="24"/>
      <c r="N89" s="25"/>
      <c r="O89" s="25"/>
      <c r="P89" s="24"/>
      <c r="Q89" s="24"/>
      <c r="R89" s="24"/>
      <c r="S89" s="24"/>
      <c r="T89" s="24"/>
      <c r="U89" s="24"/>
    </row>
    <row r="90" spans="1:21" x14ac:dyDescent="0.25">
      <c r="A90" s="24"/>
      <c r="B90" s="24"/>
      <c r="C90" s="24"/>
      <c r="D90" s="28"/>
      <c r="E90" s="24"/>
      <c r="F90" s="26"/>
      <c r="G90" s="26"/>
      <c r="H90" s="26"/>
      <c r="I90" s="26"/>
      <c r="J90" s="26"/>
      <c r="K90" s="27"/>
      <c r="L90" s="27"/>
      <c r="M90" s="24"/>
      <c r="N90" s="25"/>
      <c r="O90" s="25"/>
      <c r="P90" s="24"/>
      <c r="Q90" s="24"/>
      <c r="R90" s="24"/>
      <c r="S90" s="24"/>
      <c r="T90" s="24"/>
      <c r="U90" s="24"/>
    </row>
    <row r="91" spans="1:21" x14ac:dyDescent="0.25">
      <c r="A91" s="24"/>
      <c r="B91" s="24"/>
      <c r="C91" s="24"/>
      <c r="D91" s="28"/>
      <c r="E91" s="24"/>
      <c r="F91" s="26"/>
      <c r="G91" s="26"/>
      <c r="H91" s="26"/>
      <c r="I91" s="26"/>
      <c r="J91" s="26"/>
      <c r="K91" s="27"/>
      <c r="L91" s="27"/>
      <c r="M91" s="24"/>
      <c r="N91" s="25"/>
      <c r="O91" s="25"/>
      <c r="P91" s="24"/>
      <c r="Q91" s="24"/>
      <c r="R91" s="24"/>
      <c r="S91" s="24"/>
      <c r="T91" s="24"/>
      <c r="U91" s="24"/>
    </row>
    <row r="92" spans="1:21" x14ac:dyDescent="0.25">
      <c r="A92" s="24"/>
      <c r="B92" s="24"/>
      <c r="C92" s="24"/>
      <c r="D92" s="28"/>
      <c r="E92" s="24"/>
      <c r="F92" s="26"/>
      <c r="G92" s="26"/>
      <c r="H92" s="26"/>
      <c r="I92" s="26"/>
      <c r="J92" s="26"/>
      <c r="K92" s="27"/>
      <c r="L92" s="27"/>
      <c r="M92" s="24"/>
      <c r="N92" s="25"/>
      <c r="O92" s="25"/>
      <c r="P92" s="24"/>
      <c r="Q92" s="24"/>
      <c r="R92" s="24"/>
      <c r="S92" s="24"/>
      <c r="T92" s="24"/>
      <c r="U92" s="24"/>
    </row>
    <row r="93" spans="1:21" x14ac:dyDescent="0.25">
      <c r="A93" s="24"/>
      <c r="B93" s="24"/>
      <c r="C93" s="24"/>
      <c r="D93" s="25"/>
      <c r="E93" s="24"/>
      <c r="F93" s="26"/>
      <c r="G93" s="26"/>
      <c r="H93" s="26"/>
      <c r="I93" s="26"/>
      <c r="J93" s="26"/>
      <c r="K93" s="27"/>
      <c r="L93" s="27"/>
      <c r="M93" s="24"/>
      <c r="N93" s="25"/>
      <c r="O93" s="25"/>
      <c r="P93" s="24"/>
      <c r="Q93" s="24"/>
      <c r="R93" s="24"/>
      <c r="S93" s="24"/>
      <c r="T93" s="24"/>
      <c r="U93" s="24"/>
    </row>
    <row r="94" spans="1:21" x14ac:dyDescent="0.25">
      <c r="A94" s="24"/>
      <c r="B94" s="24"/>
      <c r="C94" s="24"/>
      <c r="D94" s="28"/>
      <c r="E94" s="24"/>
      <c r="F94" s="26"/>
      <c r="G94" s="26"/>
      <c r="H94" s="26"/>
      <c r="I94" s="26"/>
      <c r="J94" s="26"/>
      <c r="K94" s="27"/>
      <c r="L94" s="27"/>
      <c r="M94" s="24"/>
      <c r="N94" s="25"/>
      <c r="O94" s="25"/>
      <c r="P94" s="24"/>
      <c r="Q94" s="24"/>
      <c r="R94" s="24"/>
      <c r="S94" s="24"/>
      <c r="T94" s="24"/>
      <c r="U94" s="24"/>
    </row>
    <row r="95" spans="1:21" x14ac:dyDescent="0.25">
      <c r="A95" s="24"/>
      <c r="B95" s="24"/>
      <c r="C95" s="24"/>
      <c r="D95" s="28"/>
      <c r="E95" s="24"/>
      <c r="F95" s="26"/>
      <c r="G95" s="26"/>
      <c r="H95" s="26"/>
      <c r="I95" s="26"/>
      <c r="J95" s="26"/>
      <c r="K95" s="27"/>
      <c r="L95" s="27"/>
      <c r="M95" s="24"/>
      <c r="N95" s="25"/>
      <c r="O95" s="25"/>
      <c r="P95" s="24"/>
      <c r="Q95" s="24"/>
      <c r="R95" s="24"/>
      <c r="S95" s="24"/>
      <c r="T95" s="24"/>
      <c r="U95" s="24"/>
    </row>
    <row r="96" spans="1:21" x14ac:dyDescent="0.25">
      <c r="A96" s="24"/>
      <c r="B96" s="24"/>
      <c r="C96" s="24"/>
      <c r="D96" s="28"/>
      <c r="E96" s="24"/>
      <c r="F96" s="26"/>
      <c r="G96" s="26"/>
      <c r="H96" s="26"/>
      <c r="I96" s="26"/>
      <c r="J96" s="26"/>
      <c r="K96" s="27"/>
      <c r="L96" s="27"/>
      <c r="M96" s="24"/>
      <c r="N96" s="25"/>
      <c r="O96" s="25"/>
      <c r="P96" s="24"/>
      <c r="Q96" s="24"/>
      <c r="R96" s="24"/>
      <c r="S96" s="24"/>
      <c r="T96" s="24"/>
      <c r="U96" s="24"/>
    </row>
    <row r="97" spans="1:21" x14ac:dyDescent="0.25">
      <c r="A97" s="24"/>
      <c r="B97" s="24"/>
      <c r="C97" s="24"/>
      <c r="D97" s="25"/>
      <c r="E97" s="24"/>
      <c r="F97" s="26"/>
      <c r="G97" s="26"/>
      <c r="H97" s="26"/>
      <c r="I97" s="26"/>
      <c r="J97" s="26"/>
      <c r="K97" s="27"/>
      <c r="L97" s="27"/>
      <c r="M97" s="24"/>
      <c r="N97" s="25"/>
      <c r="O97" s="25"/>
      <c r="P97" s="24"/>
      <c r="Q97" s="24"/>
      <c r="R97" s="24"/>
      <c r="S97" s="24"/>
      <c r="T97" s="24"/>
      <c r="U97" s="24"/>
    </row>
    <row r="98" spans="1:21" x14ac:dyDescent="0.25">
      <c r="A98" s="24"/>
      <c r="B98" s="24"/>
      <c r="C98" s="24"/>
      <c r="D98" s="28"/>
      <c r="E98" s="24"/>
      <c r="F98" s="26"/>
      <c r="G98" s="26"/>
      <c r="H98" s="26"/>
      <c r="I98" s="26"/>
      <c r="J98" s="26"/>
      <c r="K98" s="27"/>
      <c r="L98" s="27"/>
      <c r="M98" s="24"/>
      <c r="N98" s="25"/>
      <c r="O98" s="25"/>
      <c r="P98" s="24"/>
      <c r="Q98" s="24"/>
      <c r="R98" s="24"/>
      <c r="S98" s="24"/>
      <c r="T98" s="24"/>
      <c r="U98" s="24"/>
    </row>
    <row r="99" spans="1:21" x14ac:dyDescent="0.25">
      <c r="A99" s="24"/>
      <c r="B99" s="24"/>
      <c r="C99" s="24"/>
      <c r="D99" s="28"/>
      <c r="E99" s="24"/>
      <c r="F99" s="26"/>
      <c r="G99" s="26"/>
      <c r="H99" s="26"/>
      <c r="I99" s="26"/>
      <c r="J99" s="26"/>
      <c r="K99" s="27"/>
      <c r="L99" s="27"/>
      <c r="M99" s="24"/>
      <c r="N99" s="25"/>
      <c r="O99" s="25"/>
      <c r="P99" s="24"/>
      <c r="Q99" s="24"/>
      <c r="R99" s="24"/>
      <c r="S99" s="24"/>
      <c r="T99" s="24"/>
      <c r="U99" s="24"/>
    </row>
    <row r="100" spans="1:21" x14ac:dyDescent="0.25">
      <c r="A100" s="24"/>
      <c r="B100" s="24"/>
      <c r="C100" s="24"/>
      <c r="D100" s="28"/>
      <c r="E100" s="24"/>
      <c r="F100" s="26"/>
      <c r="G100" s="26"/>
      <c r="H100" s="26"/>
      <c r="I100" s="26"/>
      <c r="J100" s="26"/>
      <c r="K100" s="27"/>
      <c r="L100" s="27"/>
      <c r="M100" s="24"/>
      <c r="N100" s="25"/>
      <c r="O100" s="25"/>
      <c r="P100" s="24"/>
      <c r="Q100" s="24"/>
      <c r="R100" s="24"/>
      <c r="S100" s="24"/>
      <c r="T100" s="24"/>
      <c r="U100" s="24"/>
    </row>
    <row r="101" spans="1:21" x14ac:dyDescent="0.25">
      <c r="A101" s="24"/>
      <c r="B101" s="24"/>
      <c r="C101" s="24"/>
      <c r="D101" s="25"/>
      <c r="E101" s="24"/>
      <c r="F101" s="26"/>
      <c r="G101" s="26"/>
      <c r="H101" s="26"/>
      <c r="I101" s="26"/>
      <c r="J101" s="26"/>
      <c r="K101" s="27"/>
      <c r="L101" s="27"/>
      <c r="M101" s="24"/>
      <c r="N101" s="25"/>
      <c r="O101" s="25"/>
      <c r="P101" s="24"/>
      <c r="Q101" s="24"/>
      <c r="R101" s="24"/>
      <c r="S101" s="24"/>
      <c r="T101" s="24"/>
      <c r="U101" s="24"/>
    </row>
    <row r="102" spans="1:21" x14ac:dyDescent="0.25">
      <c r="A102" s="24"/>
      <c r="B102" s="24"/>
      <c r="C102" s="24"/>
      <c r="D102" s="28"/>
      <c r="E102" s="24"/>
      <c r="F102" s="26"/>
      <c r="G102" s="26"/>
      <c r="H102" s="26"/>
      <c r="I102" s="26"/>
      <c r="J102" s="26"/>
      <c r="K102" s="27"/>
      <c r="L102" s="27"/>
      <c r="M102" s="24"/>
      <c r="N102" s="25"/>
      <c r="O102" s="25"/>
      <c r="P102" s="24"/>
      <c r="Q102" s="24"/>
      <c r="R102" s="24"/>
      <c r="S102" s="24"/>
      <c r="T102" s="24"/>
      <c r="U102" s="24"/>
    </row>
    <row r="103" spans="1:21" x14ac:dyDescent="0.25">
      <c r="A103" s="24"/>
      <c r="B103" s="24"/>
      <c r="C103" s="24"/>
      <c r="D103" s="28"/>
      <c r="E103" s="24"/>
      <c r="F103" s="26"/>
      <c r="G103" s="26"/>
      <c r="H103" s="26"/>
      <c r="I103" s="26"/>
      <c r="J103" s="26"/>
      <c r="K103" s="27"/>
      <c r="L103" s="27"/>
      <c r="M103" s="24"/>
      <c r="N103" s="25"/>
      <c r="O103" s="25"/>
      <c r="P103" s="24"/>
      <c r="Q103" s="24"/>
      <c r="R103" s="24"/>
      <c r="S103" s="24"/>
      <c r="T103" s="24"/>
      <c r="U103" s="24"/>
    </row>
    <row r="104" spans="1:21" x14ac:dyDescent="0.25">
      <c r="A104" s="24"/>
      <c r="B104" s="24"/>
      <c r="C104" s="24"/>
      <c r="D104" s="28"/>
      <c r="E104" s="24"/>
      <c r="F104" s="26"/>
      <c r="G104" s="26"/>
      <c r="H104" s="26"/>
      <c r="I104" s="26"/>
      <c r="J104" s="26"/>
      <c r="K104" s="27"/>
      <c r="L104" s="27"/>
      <c r="M104" s="24"/>
      <c r="N104" s="25"/>
      <c r="O104" s="25"/>
      <c r="P104" s="24"/>
      <c r="Q104" s="24"/>
      <c r="R104" s="24"/>
      <c r="S104" s="24"/>
      <c r="T104" s="24"/>
      <c r="U104" s="24"/>
    </row>
    <row r="105" spans="1:21" x14ac:dyDescent="0.25">
      <c r="A105" s="24"/>
      <c r="B105" s="24"/>
      <c r="C105" s="24"/>
      <c r="D105" s="28"/>
      <c r="E105" s="24"/>
      <c r="F105" s="26"/>
      <c r="G105" s="26"/>
      <c r="H105" s="26"/>
      <c r="I105" s="26"/>
      <c r="J105" s="26"/>
      <c r="K105" s="27"/>
      <c r="L105" s="27"/>
      <c r="M105" s="24"/>
      <c r="N105" s="25"/>
      <c r="O105" s="25"/>
      <c r="P105" s="24"/>
      <c r="Q105" s="24"/>
      <c r="R105" s="24"/>
      <c r="S105" s="24"/>
      <c r="T105" s="24"/>
      <c r="U105" s="24"/>
    </row>
    <row r="106" spans="1:21" x14ac:dyDescent="0.25">
      <c r="A106" s="24"/>
      <c r="B106" s="24"/>
      <c r="C106" s="24"/>
      <c r="D106" s="28"/>
      <c r="E106" s="24"/>
      <c r="F106" s="26"/>
      <c r="G106" s="26"/>
      <c r="H106" s="26"/>
      <c r="I106" s="26"/>
      <c r="J106" s="26"/>
      <c r="K106" s="27"/>
      <c r="L106" s="27"/>
      <c r="M106" s="24"/>
      <c r="N106" s="25"/>
      <c r="O106" s="25"/>
      <c r="P106" s="24"/>
      <c r="Q106" s="24"/>
      <c r="R106" s="24"/>
      <c r="S106" s="24"/>
      <c r="T106" s="24"/>
      <c r="U106" s="24"/>
    </row>
    <row r="107" spans="1:21" x14ac:dyDescent="0.25">
      <c r="A107" s="24"/>
      <c r="B107" s="24"/>
      <c r="C107" s="24"/>
      <c r="D107" s="28"/>
      <c r="E107" s="24"/>
      <c r="F107" s="26"/>
      <c r="G107" s="26"/>
      <c r="H107" s="26"/>
      <c r="I107" s="26"/>
      <c r="J107" s="26"/>
      <c r="K107" s="27"/>
      <c r="L107" s="27"/>
      <c r="M107" s="24"/>
      <c r="N107" s="25"/>
      <c r="O107" s="25"/>
      <c r="P107" s="24"/>
      <c r="Q107" s="24"/>
      <c r="R107" s="24"/>
      <c r="S107" s="24"/>
      <c r="T107" s="24"/>
      <c r="U107" s="24"/>
    </row>
    <row r="108" spans="1:21" x14ac:dyDescent="0.25">
      <c r="A108" s="24"/>
      <c r="B108" s="24"/>
      <c r="C108" s="24"/>
      <c r="D108" s="28"/>
      <c r="E108" s="24"/>
      <c r="F108" s="26"/>
      <c r="G108" s="26"/>
      <c r="H108" s="26"/>
      <c r="I108" s="26"/>
      <c r="J108" s="26"/>
      <c r="K108" s="27"/>
      <c r="L108" s="27"/>
      <c r="M108" s="24"/>
      <c r="N108" s="25"/>
      <c r="O108" s="25"/>
      <c r="P108" s="24"/>
      <c r="Q108" s="24"/>
      <c r="R108" s="24"/>
      <c r="S108" s="24"/>
      <c r="T108" s="24"/>
      <c r="U108" s="24"/>
    </row>
    <row r="109" spans="1:21" x14ac:dyDescent="0.25">
      <c r="A109" s="24"/>
      <c r="B109" s="24"/>
      <c r="C109" s="24"/>
      <c r="D109" s="28"/>
      <c r="E109" s="24"/>
      <c r="F109" s="26"/>
      <c r="G109" s="26"/>
      <c r="H109" s="26"/>
      <c r="I109" s="26"/>
      <c r="J109" s="26"/>
      <c r="K109" s="27"/>
      <c r="L109" s="27"/>
      <c r="M109" s="24"/>
      <c r="N109" s="25"/>
      <c r="O109" s="25"/>
      <c r="P109" s="24"/>
      <c r="Q109" s="24"/>
      <c r="R109" s="24"/>
      <c r="S109" s="24"/>
      <c r="T109" s="24"/>
      <c r="U109" s="24"/>
    </row>
    <row r="110" spans="1:21" x14ac:dyDescent="0.25">
      <c r="A110" s="24"/>
      <c r="B110" s="24"/>
      <c r="C110" s="24"/>
      <c r="D110" s="28"/>
      <c r="E110" s="24"/>
      <c r="F110" s="26"/>
      <c r="G110" s="26"/>
      <c r="H110" s="26"/>
      <c r="I110" s="26"/>
      <c r="J110" s="26"/>
      <c r="K110" s="27"/>
      <c r="L110" s="27"/>
      <c r="M110" s="24"/>
      <c r="N110" s="25"/>
      <c r="O110" s="25"/>
      <c r="P110" s="24"/>
      <c r="Q110" s="24"/>
      <c r="R110" s="24"/>
      <c r="S110" s="24"/>
      <c r="T110" s="24"/>
      <c r="U110" s="24"/>
    </row>
    <row r="111" spans="1:21" x14ac:dyDescent="0.25">
      <c r="A111" s="24"/>
      <c r="B111" s="24"/>
      <c r="C111" s="24"/>
      <c r="D111" s="28"/>
      <c r="E111" s="24"/>
      <c r="F111" s="26"/>
      <c r="G111" s="26"/>
      <c r="H111" s="26"/>
      <c r="I111" s="26"/>
      <c r="J111" s="26"/>
      <c r="K111" s="27"/>
      <c r="L111" s="27"/>
      <c r="M111" s="24"/>
      <c r="N111" s="25"/>
      <c r="O111" s="25"/>
      <c r="P111" s="24"/>
      <c r="Q111" s="24"/>
      <c r="R111" s="24"/>
      <c r="S111" s="24"/>
      <c r="T111" s="24"/>
      <c r="U111" s="24"/>
    </row>
    <row r="112" spans="1:21" x14ac:dyDescent="0.25">
      <c r="A112" s="24"/>
      <c r="B112" s="24"/>
      <c r="C112" s="24"/>
      <c r="D112" s="28"/>
      <c r="E112" s="24"/>
      <c r="F112" s="26"/>
      <c r="G112" s="26"/>
      <c r="H112" s="26"/>
      <c r="I112" s="26"/>
      <c r="J112" s="26"/>
      <c r="K112" s="27"/>
      <c r="L112" s="27"/>
      <c r="M112" s="24"/>
      <c r="N112" s="25"/>
      <c r="O112" s="25"/>
      <c r="P112" s="24"/>
      <c r="Q112" s="24"/>
      <c r="R112" s="24"/>
      <c r="S112" s="24"/>
      <c r="T112" s="24"/>
      <c r="U112" s="24"/>
    </row>
    <row r="113" spans="1:21" x14ac:dyDescent="0.25">
      <c r="A113" s="24"/>
      <c r="B113" s="24"/>
      <c r="C113" s="24"/>
      <c r="D113" s="28"/>
      <c r="E113" s="24"/>
      <c r="F113" s="26"/>
      <c r="G113" s="26"/>
      <c r="H113" s="26"/>
      <c r="I113" s="26"/>
      <c r="J113" s="26"/>
      <c r="K113" s="27"/>
      <c r="L113" s="27"/>
      <c r="M113" s="24"/>
      <c r="N113" s="25"/>
      <c r="O113" s="25"/>
      <c r="P113" s="24"/>
      <c r="Q113" s="24"/>
      <c r="R113" s="24"/>
      <c r="S113" s="24"/>
      <c r="T113" s="24"/>
      <c r="U113" s="24"/>
    </row>
    <row r="114" spans="1:21" x14ac:dyDescent="0.25">
      <c r="A114" s="24"/>
      <c r="B114" s="24"/>
      <c r="C114" s="24"/>
      <c r="D114" s="28"/>
      <c r="E114" s="24"/>
      <c r="F114" s="26"/>
      <c r="G114" s="26"/>
      <c r="H114" s="26"/>
      <c r="I114" s="26"/>
      <c r="J114" s="26"/>
      <c r="K114" s="27"/>
      <c r="L114" s="27"/>
      <c r="M114" s="24"/>
      <c r="N114" s="25"/>
      <c r="O114" s="25"/>
      <c r="P114" s="24"/>
      <c r="Q114" s="24"/>
      <c r="R114" s="24"/>
      <c r="S114" s="24"/>
      <c r="T114" s="24"/>
      <c r="U114" s="24"/>
    </row>
    <row r="115" spans="1:21" x14ac:dyDescent="0.25">
      <c r="A115" s="24"/>
      <c r="B115" s="24"/>
      <c r="C115" s="24"/>
      <c r="D115" s="28"/>
      <c r="E115" s="24"/>
      <c r="F115" s="26"/>
      <c r="G115" s="26"/>
      <c r="H115" s="26"/>
      <c r="I115" s="26"/>
      <c r="J115" s="26"/>
      <c r="K115" s="27"/>
      <c r="L115" s="27"/>
      <c r="M115" s="24"/>
      <c r="N115" s="25"/>
      <c r="O115" s="25"/>
      <c r="P115" s="24"/>
      <c r="Q115" s="24"/>
      <c r="R115" s="24"/>
      <c r="S115" s="24"/>
      <c r="T115" s="24"/>
      <c r="U115" s="24"/>
    </row>
    <row r="116" spans="1:21" x14ac:dyDescent="0.25">
      <c r="A116" s="24"/>
      <c r="B116" s="24"/>
      <c r="C116" s="24"/>
      <c r="D116" s="28"/>
      <c r="E116" s="24"/>
      <c r="F116" s="26"/>
      <c r="G116" s="26"/>
      <c r="H116" s="26"/>
      <c r="I116" s="26"/>
      <c r="J116" s="26"/>
      <c r="K116" s="27"/>
      <c r="L116" s="27"/>
      <c r="M116" s="24"/>
      <c r="N116" s="25"/>
      <c r="O116" s="25"/>
      <c r="P116" s="24"/>
      <c r="Q116" s="24"/>
      <c r="R116" s="24"/>
      <c r="S116" s="24"/>
      <c r="T116" s="24"/>
      <c r="U116" s="24"/>
    </row>
    <row r="117" spans="1:21" x14ac:dyDescent="0.25">
      <c r="A117" s="24"/>
      <c r="B117" s="24"/>
      <c r="C117" s="24"/>
      <c r="D117" s="28"/>
      <c r="E117" s="24"/>
      <c r="F117" s="26"/>
      <c r="G117" s="26"/>
      <c r="H117" s="26"/>
      <c r="I117" s="26"/>
      <c r="J117" s="26"/>
      <c r="K117" s="27"/>
      <c r="L117" s="27"/>
      <c r="M117" s="24"/>
      <c r="N117" s="25"/>
      <c r="O117" s="25"/>
      <c r="P117" s="24"/>
      <c r="Q117" s="24"/>
      <c r="R117" s="24"/>
      <c r="S117" s="24"/>
      <c r="T117" s="24"/>
      <c r="U117" s="24"/>
    </row>
    <row r="118" spans="1:21" x14ac:dyDescent="0.25">
      <c r="A118" s="24"/>
      <c r="B118" s="24"/>
      <c r="C118" s="24"/>
      <c r="D118" s="28"/>
      <c r="E118" s="24"/>
      <c r="F118" s="26"/>
      <c r="G118" s="26"/>
      <c r="H118" s="26"/>
      <c r="I118" s="26"/>
      <c r="J118" s="26"/>
      <c r="K118" s="27"/>
      <c r="L118" s="27"/>
      <c r="M118" s="24"/>
      <c r="N118" s="25"/>
      <c r="O118" s="25"/>
      <c r="P118" s="24"/>
      <c r="Q118" s="24"/>
      <c r="R118" s="24"/>
      <c r="S118" s="24"/>
      <c r="T118" s="24"/>
      <c r="U118" s="24"/>
    </row>
    <row r="119" spans="1:21" x14ac:dyDescent="0.25">
      <c r="A119" s="24"/>
      <c r="B119" s="24"/>
      <c r="C119" s="24"/>
      <c r="D119" s="28"/>
      <c r="E119" s="24"/>
      <c r="F119" s="26"/>
      <c r="G119" s="26"/>
      <c r="H119" s="26"/>
      <c r="I119" s="26"/>
      <c r="J119" s="26"/>
      <c r="K119" s="27"/>
      <c r="L119" s="27"/>
      <c r="M119" s="24"/>
      <c r="N119" s="25"/>
      <c r="O119" s="25"/>
      <c r="P119" s="24"/>
      <c r="Q119" s="24"/>
      <c r="R119" s="24"/>
      <c r="S119" s="24"/>
      <c r="T119" s="24"/>
      <c r="U119" s="24"/>
    </row>
    <row r="120" spans="1:21" x14ac:dyDescent="0.25">
      <c r="A120" s="24"/>
      <c r="B120" s="24"/>
      <c r="C120" s="24"/>
      <c r="D120" s="28"/>
      <c r="E120" s="24"/>
      <c r="F120" s="26"/>
      <c r="G120" s="26"/>
      <c r="H120" s="26"/>
      <c r="I120" s="26"/>
      <c r="J120" s="26"/>
      <c r="K120" s="27"/>
      <c r="L120" s="27"/>
      <c r="M120" s="24"/>
      <c r="N120" s="25"/>
      <c r="O120" s="25"/>
      <c r="P120" s="24"/>
      <c r="Q120" s="24"/>
      <c r="R120" s="24"/>
      <c r="S120" s="24"/>
      <c r="T120" s="24"/>
      <c r="U120" s="24"/>
    </row>
    <row r="121" spans="1:21" x14ac:dyDescent="0.25">
      <c r="A121" s="24"/>
      <c r="B121" s="24"/>
      <c r="C121" s="24"/>
      <c r="D121" s="28"/>
      <c r="E121" s="24"/>
      <c r="F121" s="26"/>
      <c r="G121" s="26"/>
      <c r="H121" s="26"/>
      <c r="I121" s="26"/>
      <c r="J121" s="26"/>
      <c r="K121" s="27"/>
      <c r="L121" s="27"/>
      <c r="M121" s="24"/>
      <c r="N121" s="25"/>
      <c r="O121" s="25"/>
      <c r="P121" s="24"/>
      <c r="Q121" s="24"/>
      <c r="R121" s="24"/>
      <c r="S121" s="24"/>
      <c r="T121" s="24"/>
      <c r="U121" s="24"/>
    </row>
    <row r="122" spans="1:21" x14ac:dyDescent="0.25">
      <c r="A122" s="24"/>
      <c r="B122" s="24"/>
      <c r="C122" s="24"/>
      <c r="D122" s="28"/>
      <c r="E122" s="24"/>
      <c r="F122" s="26"/>
      <c r="G122" s="26"/>
      <c r="H122" s="26"/>
      <c r="I122" s="26"/>
      <c r="J122" s="26"/>
      <c r="K122" s="27"/>
      <c r="L122" s="27"/>
      <c r="M122" s="24"/>
      <c r="N122" s="25"/>
      <c r="O122" s="25"/>
      <c r="P122" s="24"/>
      <c r="Q122" s="24"/>
      <c r="R122" s="24"/>
      <c r="S122" s="24"/>
      <c r="T122" s="24"/>
      <c r="U122" s="24"/>
    </row>
    <row r="123" spans="1:21" x14ac:dyDescent="0.25">
      <c r="A123" s="24"/>
      <c r="B123" s="24"/>
      <c r="C123" s="24"/>
      <c r="D123" s="28"/>
      <c r="E123" s="24"/>
      <c r="F123" s="26"/>
      <c r="G123" s="26"/>
      <c r="H123" s="26"/>
      <c r="I123" s="26"/>
      <c r="J123" s="26"/>
      <c r="K123" s="27"/>
      <c r="L123" s="27"/>
      <c r="M123" s="24"/>
      <c r="N123" s="25"/>
      <c r="O123" s="25"/>
      <c r="P123" s="24"/>
      <c r="Q123" s="24"/>
      <c r="R123" s="24"/>
      <c r="S123" s="24"/>
      <c r="T123" s="24"/>
      <c r="U123" s="24"/>
    </row>
    <row r="124" spans="1:21" x14ac:dyDescent="0.25">
      <c r="A124" s="24"/>
      <c r="B124" s="24"/>
      <c r="C124" s="24"/>
      <c r="D124" s="28"/>
      <c r="E124" s="24"/>
      <c r="F124" s="26"/>
      <c r="G124" s="26"/>
      <c r="H124" s="26"/>
      <c r="I124" s="26"/>
      <c r="J124" s="26"/>
      <c r="K124" s="27"/>
      <c r="L124" s="27"/>
      <c r="M124" s="24"/>
      <c r="N124" s="25"/>
      <c r="O124" s="25"/>
      <c r="P124" s="24"/>
      <c r="Q124" s="24"/>
      <c r="R124" s="24"/>
      <c r="S124" s="24"/>
      <c r="T124" s="24"/>
      <c r="U124" s="24"/>
    </row>
    <row r="125" spans="1:21" x14ac:dyDescent="0.25">
      <c r="A125" s="24"/>
      <c r="B125" s="24"/>
      <c r="C125" s="24"/>
      <c r="D125" s="28"/>
      <c r="E125" s="24"/>
      <c r="F125" s="26"/>
      <c r="G125" s="26"/>
      <c r="H125" s="26"/>
      <c r="I125" s="26"/>
      <c r="J125" s="26"/>
      <c r="K125" s="27"/>
      <c r="L125" s="27"/>
      <c r="M125" s="24"/>
      <c r="N125" s="25"/>
      <c r="O125" s="25"/>
      <c r="P125" s="24"/>
      <c r="Q125" s="24"/>
      <c r="R125" s="24"/>
      <c r="S125" s="24"/>
      <c r="T125" s="24"/>
      <c r="U125" s="24"/>
    </row>
    <row r="126" spans="1:21" x14ac:dyDescent="0.25">
      <c r="A126" s="24"/>
      <c r="B126" s="24"/>
      <c r="C126" s="24"/>
      <c r="D126" s="28"/>
      <c r="E126" s="24"/>
      <c r="F126" s="26"/>
      <c r="G126" s="26"/>
      <c r="H126" s="26"/>
      <c r="I126" s="26"/>
      <c r="J126" s="26"/>
      <c r="K126" s="27"/>
      <c r="L126" s="27"/>
      <c r="M126" s="24"/>
      <c r="N126" s="25"/>
      <c r="O126" s="25"/>
      <c r="P126" s="24"/>
      <c r="Q126" s="24"/>
      <c r="R126" s="24"/>
      <c r="S126" s="24"/>
      <c r="T126" s="24"/>
      <c r="U126" s="24"/>
    </row>
    <row r="127" spans="1:21" x14ac:dyDescent="0.25">
      <c r="A127" s="24"/>
      <c r="B127" s="24"/>
      <c r="C127" s="24"/>
      <c r="D127" s="28"/>
      <c r="E127" s="24"/>
      <c r="F127" s="26"/>
      <c r="G127" s="26"/>
      <c r="H127" s="26"/>
      <c r="I127" s="26"/>
      <c r="J127" s="26"/>
      <c r="K127" s="27"/>
      <c r="L127" s="27"/>
      <c r="M127" s="24"/>
      <c r="N127" s="25"/>
      <c r="O127" s="25"/>
      <c r="P127" s="24"/>
      <c r="Q127" s="24"/>
      <c r="R127" s="24"/>
      <c r="S127" s="24"/>
      <c r="T127" s="24"/>
      <c r="U127" s="24"/>
    </row>
    <row r="128" spans="1:21" x14ac:dyDescent="0.25">
      <c r="A128" s="24"/>
      <c r="B128" s="24"/>
      <c r="C128" s="24"/>
      <c r="D128" s="28"/>
      <c r="E128" s="24"/>
      <c r="F128" s="26"/>
      <c r="G128" s="26"/>
      <c r="H128" s="26"/>
      <c r="I128" s="26"/>
      <c r="J128" s="26"/>
      <c r="K128" s="27"/>
      <c r="L128" s="27"/>
      <c r="M128" s="24"/>
      <c r="N128" s="25"/>
      <c r="O128" s="25"/>
      <c r="P128" s="24"/>
      <c r="Q128" s="24"/>
      <c r="R128" s="24"/>
      <c r="S128" s="24"/>
      <c r="T128" s="24"/>
      <c r="U128" s="24"/>
    </row>
    <row r="129" spans="1:21" x14ac:dyDescent="0.25">
      <c r="A129" s="24"/>
      <c r="B129" s="24"/>
      <c r="C129" s="24"/>
      <c r="D129" s="28"/>
      <c r="E129" s="24"/>
      <c r="F129" s="26"/>
      <c r="G129" s="26"/>
      <c r="H129" s="26"/>
      <c r="I129" s="26"/>
      <c r="J129" s="26"/>
      <c r="K129" s="27"/>
      <c r="L129" s="27"/>
      <c r="M129" s="24"/>
      <c r="N129" s="25"/>
      <c r="O129" s="25"/>
      <c r="P129" s="24"/>
      <c r="Q129" s="24"/>
      <c r="R129" s="24"/>
      <c r="S129" s="24"/>
      <c r="T129" s="24"/>
      <c r="U129" s="24"/>
    </row>
    <row r="130" spans="1:21" x14ac:dyDescent="0.25">
      <c r="A130" s="24"/>
      <c r="B130" s="24"/>
      <c r="C130" s="24"/>
      <c r="D130" s="28"/>
      <c r="E130" s="24"/>
      <c r="F130" s="26"/>
      <c r="G130" s="26"/>
      <c r="H130" s="26"/>
      <c r="I130" s="26"/>
      <c r="J130" s="26"/>
      <c r="K130" s="27"/>
      <c r="L130" s="27"/>
      <c r="M130" s="24"/>
      <c r="N130" s="25"/>
      <c r="O130" s="25"/>
      <c r="P130" s="24"/>
      <c r="Q130" s="24"/>
      <c r="R130" s="24"/>
      <c r="S130" s="24"/>
      <c r="T130" s="24"/>
      <c r="U130" s="24"/>
    </row>
    <row r="131" spans="1:21" x14ac:dyDescent="0.25">
      <c r="A131" s="24"/>
      <c r="B131" s="24"/>
      <c r="C131" s="24"/>
      <c r="D131" s="28"/>
      <c r="E131" s="24"/>
      <c r="F131" s="26"/>
      <c r="G131" s="26"/>
      <c r="H131" s="26"/>
      <c r="I131" s="26"/>
      <c r="J131" s="26"/>
      <c r="K131" s="27"/>
      <c r="L131" s="27"/>
      <c r="M131" s="24"/>
      <c r="N131" s="25"/>
      <c r="O131" s="25"/>
      <c r="P131" s="24"/>
      <c r="Q131" s="24"/>
      <c r="R131" s="24"/>
      <c r="S131" s="24"/>
      <c r="T131" s="24"/>
      <c r="U131" s="24"/>
    </row>
    <row r="132" spans="1:21" x14ac:dyDescent="0.25">
      <c r="A132" s="24"/>
      <c r="B132" s="24"/>
      <c r="C132" s="24"/>
      <c r="D132" s="28"/>
      <c r="E132" s="24"/>
      <c r="F132" s="26"/>
      <c r="G132" s="26"/>
      <c r="H132" s="26"/>
      <c r="I132" s="26"/>
      <c r="J132" s="26"/>
      <c r="K132" s="27"/>
      <c r="L132" s="27"/>
      <c r="M132" s="24"/>
      <c r="N132" s="25"/>
      <c r="O132" s="25"/>
      <c r="P132" s="24"/>
      <c r="Q132" s="24"/>
      <c r="R132" s="24"/>
      <c r="S132" s="24"/>
      <c r="T132" s="24"/>
      <c r="U132" s="24"/>
    </row>
    <row r="133" spans="1:21" x14ac:dyDescent="0.25">
      <c r="A133" s="24"/>
      <c r="B133" s="24"/>
      <c r="C133" s="24"/>
      <c r="D133" s="28"/>
      <c r="E133" s="24"/>
      <c r="F133" s="26"/>
      <c r="G133" s="26"/>
      <c r="H133" s="26"/>
      <c r="I133" s="26"/>
      <c r="J133" s="26"/>
      <c r="K133" s="27"/>
      <c r="L133" s="27"/>
      <c r="M133" s="24"/>
      <c r="N133" s="25"/>
      <c r="O133" s="25"/>
      <c r="P133" s="24"/>
      <c r="Q133" s="24"/>
      <c r="R133" s="24"/>
      <c r="S133" s="24"/>
      <c r="T133" s="24"/>
      <c r="U133" s="24"/>
    </row>
    <row r="134" spans="1:21" x14ac:dyDescent="0.25">
      <c r="A134" s="24"/>
      <c r="B134" s="24"/>
      <c r="C134" s="24"/>
      <c r="D134" s="28"/>
      <c r="E134" s="24"/>
      <c r="F134" s="26"/>
      <c r="G134" s="26"/>
      <c r="H134" s="26"/>
      <c r="I134" s="26"/>
      <c r="J134" s="26"/>
      <c r="K134" s="27"/>
      <c r="L134" s="27"/>
      <c r="M134" s="24"/>
      <c r="N134" s="25"/>
      <c r="O134" s="25"/>
      <c r="P134" s="24"/>
      <c r="Q134" s="24"/>
      <c r="R134" s="24"/>
      <c r="S134" s="24"/>
      <c r="T134" s="24"/>
      <c r="U134" s="24"/>
    </row>
    <row r="135" spans="1:21" x14ac:dyDescent="0.25">
      <c r="A135" s="24"/>
      <c r="B135" s="24"/>
      <c r="C135" s="24"/>
      <c r="D135" s="28"/>
      <c r="E135" s="24"/>
      <c r="F135" s="26"/>
      <c r="G135" s="26"/>
      <c r="H135" s="26"/>
      <c r="I135" s="26"/>
      <c r="J135" s="26"/>
      <c r="K135" s="27"/>
      <c r="L135" s="27"/>
      <c r="M135" s="24"/>
      <c r="N135" s="25"/>
      <c r="O135" s="25"/>
      <c r="P135" s="24"/>
      <c r="Q135" s="24"/>
      <c r="R135" s="24"/>
      <c r="S135" s="24"/>
      <c r="T135" s="24"/>
      <c r="U135" s="24"/>
    </row>
    <row r="136" spans="1:21" x14ac:dyDescent="0.25">
      <c r="A136" s="24"/>
      <c r="B136" s="24"/>
      <c r="C136" s="24"/>
      <c r="D136" s="28"/>
      <c r="E136" s="24"/>
      <c r="F136" s="26"/>
      <c r="G136" s="26"/>
      <c r="H136" s="26"/>
      <c r="I136" s="26"/>
      <c r="J136" s="26"/>
      <c r="K136" s="27"/>
      <c r="L136" s="27"/>
      <c r="M136" s="24"/>
      <c r="N136" s="25"/>
      <c r="O136" s="25"/>
      <c r="P136" s="24"/>
      <c r="Q136" s="24"/>
      <c r="R136" s="24"/>
      <c r="S136" s="24"/>
      <c r="T136" s="24"/>
      <c r="U136" s="24"/>
    </row>
    <row r="137" spans="1:21" x14ac:dyDescent="0.25">
      <c r="A137" s="24"/>
      <c r="B137" s="24"/>
      <c r="C137" s="24"/>
      <c r="D137" s="28"/>
      <c r="E137" s="24"/>
      <c r="F137" s="26"/>
      <c r="G137" s="26"/>
      <c r="H137" s="26"/>
      <c r="I137" s="26"/>
      <c r="J137" s="26"/>
      <c r="K137" s="27"/>
      <c r="L137" s="27"/>
      <c r="M137" s="24"/>
      <c r="N137" s="25"/>
      <c r="O137" s="25"/>
      <c r="P137" s="24"/>
      <c r="Q137" s="24"/>
      <c r="R137" s="24"/>
      <c r="S137" s="24"/>
      <c r="T137" s="24"/>
      <c r="U137" s="24"/>
    </row>
    <row r="138" spans="1:21" x14ac:dyDescent="0.25">
      <c r="A138" s="24"/>
      <c r="B138" s="24"/>
      <c r="C138" s="24"/>
      <c r="D138" s="28"/>
      <c r="E138" s="24"/>
      <c r="F138" s="26"/>
      <c r="G138" s="26"/>
      <c r="H138" s="26"/>
      <c r="I138" s="26"/>
      <c r="J138" s="26"/>
      <c r="K138" s="27"/>
      <c r="L138" s="27"/>
      <c r="M138" s="24"/>
      <c r="N138" s="25"/>
      <c r="O138" s="25"/>
      <c r="P138" s="24"/>
      <c r="Q138" s="24"/>
      <c r="R138" s="24"/>
      <c r="S138" s="24"/>
      <c r="T138" s="24"/>
      <c r="U138" s="24"/>
    </row>
    <row r="139" spans="1:21" x14ac:dyDescent="0.25">
      <c r="A139" s="24"/>
      <c r="B139" s="24"/>
      <c r="C139" s="24"/>
      <c r="D139" s="28"/>
      <c r="E139" s="24"/>
      <c r="F139" s="26"/>
      <c r="G139" s="26"/>
      <c r="H139" s="26"/>
      <c r="I139" s="26"/>
      <c r="J139" s="26"/>
      <c r="K139" s="27"/>
      <c r="L139" s="27"/>
      <c r="M139" s="24"/>
      <c r="N139" s="25"/>
      <c r="O139" s="25"/>
      <c r="P139" s="24"/>
      <c r="Q139" s="24"/>
      <c r="R139" s="24"/>
      <c r="S139" s="24"/>
      <c r="T139" s="24"/>
      <c r="U139" s="24"/>
    </row>
    <row r="140" spans="1:21" x14ac:dyDescent="0.25">
      <c r="A140" s="24"/>
      <c r="B140" s="24"/>
      <c r="C140" s="24"/>
      <c r="D140" s="28"/>
      <c r="E140" s="24"/>
      <c r="F140" s="26"/>
      <c r="G140" s="26"/>
      <c r="H140" s="26"/>
      <c r="I140" s="26"/>
      <c r="J140" s="26"/>
      <c r="K140" s="27"/>
      <c r="L140" s="27"/>
      <c r="M140" s="24"/>
      <c r="N140" s="25"/>
      <c r="O140" s="25"/>
      <c r="P140" s="24"/>
      <c r="Q140" s="24"/>
      <c r="R140" s="24"/>
      <c r="S140" s="24"/>
      <c r="T140" s="24"/>
      <c r="U140" s="24"/>
    </row>
    <row r="141" spans="1:21" x14ac:dyDescent="0.25">
      <c r="A141" s="24"/>
      <c r="B141" s="24"/>
      <c r="C141" s="24"/>
      <c r="D141" s="28"/>
      <c r="E141" s="24"/>
      <c r="F141" s="26"/>
      <c r="G141" s="26"/>
      <c r="H141" s="26"/>
      <c r="I141" s="26"/>
      <c r="J141" s="26"/>
      <c r="K141" s="27"/>
      <c r="L141" s="27"/>
      <c r="M141" s="24"/>
      <c r="N141" s="25"/>
      <c r="O141" s="25"/>
      <c r="P141" s="24"/>
      <c r="Q141" s="24"/>
      <c r="R141" s="24"/>
      <c r="S141" s="24"/>
      <c r="T141" s="24"/>
      <c r="U141" s="24"/>
    </row>
    <row r="142" spans="1:21" x14ac:dyDescent="0.25">
      <c r="A142" s="24"/>
      <c r="B142" s="24"/>
      <c r="C142" s="24"/>
      <c r="D142" s="28"/>
      <c r="E142" s="24"/>
      <c r="F142" s="26"/>
      <c r="G142" s="26"/>
      <c r="H142" s="26"/>
      <c r="I142" s="26"/>
      <c r="J142" s="26"/>
      <c r="K142" s="27"/>
      <c r="L142" s="27"/>
      <c r="M142" s="24"/>
      <c r="N142" s="25"/>
      <c r="O142" s="25"/>
      <c r="P142" s="24"/>
      <c r="Q142" s="24"/>
      <c r="R142" s="24"/>
      <c r="S142" s="24"/>
      <c r="T142" s="24"/>
      <c r="U142" s="24"/>
    </row>
    <row r="143" spans="1:21" x14ac:dyDescent="0.25">
      <c r="A143" s="24"/>
      <c r="B143" s="24"/>
      <c r="C143" s="24"/>
      <c r="D143" s="28"/>
      <c r="E143" s="24"/>
      <c r="F143" s="26"/>
      <c r="G143" s="26"/>
      <c r="H143" s="26"/>
      <c r="I143" s="26"/>
      <c r="J143" s="26"/>
      <c r="K143" s="27"/>
      <c r="L143" s="27"/>
      <c r="M143" s="24"/>
      <c r="N143" s="25"/>
      <c r="O143" s="25"/>
      <c r="P143" s="24"/>
      <c r="Q143" s="24"/>
      <c r="R143" s="24"/>
      <c r="S143" s="24"/>
      <c r="T143" s="24"/>
      <c r="U143" s="24"/>
    </row>
    <row r="144" spans="1:21" x14ac:dyDescent="0.25">
      <c r="A144" s="24"/>
      <c r="B144" s="24"/>
      <c r="C144" s="24"/>
      <c r="D144" s="28"/>
      <c r="E144" s="24"/>
      <c r="F144" s="26"/>
      <c r="G144" s="26"/>
      <c r="H144" s="26"/>
      <c r="I144" s="26"/>
      <c r="J144" s="26"/>
      <c r="K144" s="27"/>
      <c r="L144" s="27"/>
      <c r="M144" s="24"/>
      <c r="N144" s="25"/>
      <c r="O144" s="25"/>
      <c r="P144" s="24"/>
      <c r="Q144" s="24"/>
      <c r="R144" s="24"/>
      <c r="S144" s="24"/>
      <c r="T144" s="24"/>
      <c r="U144" s="24"/>
    </row>
    <row r="145" spans="1:21" x14ac:dyDescent="0.25">
      <c r="A145" s="24"/>
      <c r="B145" s="24"/>
      <c r="C145" s="24"/>
      <c r="D145" s="28"/>
      <c r="E145" s="24"/>
      <c r="F145" s="26"/>
      <c r="G145" s="26"/>
      <c r="H145" s="26"/>
      <c r="I145" s="26"/>
      <c r="J145" s="26"/>
      <c r="K145" s="27"/>
      <c r="L145" s="27"/>
      <c r="M145" s="24"/>
      <c r="N145" s="25"/>
      <c r="O145" s="25"/>
      <c r="P145" s="24"/>
      <c r="Q145" s="24"/>
      <c r="R145" s="24"/>
      <c r="S145" s="24"/>
      <c r="T145" s="24"/>
      <c r="U145" s="24"/>
    </row>
    <row r="146" spans="1:21" x14ac:dyDescent="0.25">
      <c r="A146" s="24"/>
      <c r="B146" s="24"/>
      <c r="C146" s="24"/>
      <c r="D146" s="28"/>
      <c r="E146" s="24"/>
      <c r="F146" s="26"/>
      <c r="G146" s="26"/>
      <c r="H146" s="26"/>
      <c r="I146" s="26"/>
      <c r="J146" s="26"/>
      <c r="K146" s="27"/>
      <c r="L146" s="27"/>
      <c r="M146" s="24"/>
      <c r="N146" s="25"/>
      <c r="O146" s="25"/>
      <c r="P146" s="24"/>
      <c r="Q146" s="24"/>
      <c r="R146" s="24"/>
      <c r="S146" s="24"/>
      <c r="T146" s="24"/>
      <c r="U146" s="24"/>
    </row>
    <row r="147" spans="1:21" x14ac:dyDescent="0.25">
      <c r="A147" s="24"/>
      <c r="B147" s="24"/>
      <c r="C147" s="24"/>
      <c r="D147" s="28"/>
      <c r="E147" s="24"/>
      <c r="F147" s="26"/>
      <c r="G147" s="26"/>
      <c r="H147" s="26"/>
      <c r="I147" s="26"/>
      <c r="J147" s="26"/>
      <c r="K147" s="27"/>
      <c r="L147" s="27"/>
      <c r="M147" s="24"/>
      <c r="N147" s="25"/>
      <c r="O147" s="25"/>
      <c r="P147" s="24"/>
      <c r="Q147" s="24"/>
      <c r="R147" s="24"/>
      <c r="S147" s="24"/>
      <c r="T147" s="24"/>
      <c r="U147" s="24"/>
    </row>
    <row r="148" spans="1:21" x14ac:dyDescent="0.25">
      <c r="A148" s="24"/>
      <c r="B148" s="24"/>
      <c r="C148" s="24"/>
      <c r="D148" s="28"/>
      <c r="E148" s="24"/>
      <c r="F148" s="26"/>
      <c r="G148" s="26"/>
      <c r="H148" s="26"/>
      <c r="I148" s="26"/>
      <c r="J148" s="26"/>
      <c r="K148" s="27"/>
      <c r="L148" s="27"/>
      <c r="M148" s="24"/>
      <c r="N148" s="25"/>
      <c r="O148" s="25"/>
      <c r="P148" s="24"/>
      <c r="Q148" s="24"/>
      <c r="R148" s="24"/>
      <c r="S148" s="24"/>
      <c r="T148" s="24"/>
      <c r="U148" s="24"/>
    </row>
    <row r="149" spans="1:21" x14ac:dyDescent="0.25">
      <c r="A149" s="24"/>
      <c r="B149" s="24"/>
      <c r="C149" s="24"/>
      <c r="D149" s="28"/>
      <c r="E149" s="24"/>
      <c r="F149" s="26"/>
      <c r="G149" s="26"/>
      <c r="H149" s="26"/>
      <c r="I149" s="26"/>
      <c r="J149" s="26"/>
      <c r="K149" s="27"/>
      <c r="L149" s="27"/>
      <c r="M149" s="24"/>
      <c r="N149" s="25"/>
      <c r="O149" s="25"/>
      <c r="P149" s="24"/>
      <c r="Q149" s="24"/>
      <c r="R149" s="24"/>
      <c r="S149" s="24"/>
      <c r="T149" s="24"/>
      <c r="U149" s="24"/>
    </row>
    <row r="150" spans="1:21" x14ac:dyDescent="0.25">
      <c r="A150" s="24"/>
      <c r="B150" s="24"/>
      <c r="C150" s="24"/>
      <c r="D150" s="28"/>
      <c r="E150" s="24"/>
      <c r="F150" s="26"/>
      <c r="G150" s="26"/>
      <c r="H150" s="26"/>
      <c r="I150" s="26"/>
      <c r="J150" s="26"/>
      <c r="K150" s="27"/>
      <c r="L150" s="27"/>
      <c r="M150" s="24"/>
      <c r="N150" s="25"/>
      <c r="O150" s="25"/>
      <c r="P150" s="24"/>
      <c r="Q150" s="24"/>
      <c r="R150" s="24"/>
      <c r="S150" s="24"/>
      <c r="T150" s="24"/>
      <c r="U150" s="24"/>
    </row>
    <row r="151" spans="1:21" x14ac:dyDescent="0.25">
      <c r="A151" s="24"/>
      <c r="B151" s="24"/>
      <c r="C151" s="24"/>
      <c r="D151" s="28"/>
      <c r="E151" s="24"/>
      <c r="F151" s="26"/>
      <c r="G151" s="26"/>
      <c r="H151" s="26"/>
      <c r="I151" s="26"/>
      <c r="J151" s="26"/>
      <c r="K151" s="27"/>
      <c r="L151" s="27"/>
      <c r="M151" s="24"/>
      <c r="N151" s="25"/>
      <c r="O151" s="25"/>
      <c r="P151" s="24"/>
      <c r="Q151" s="24"/>
      <c r="R151" s="24"/>
      <c r="S151" s="24"/>
      <c r="T151" s="24"/>
      <c r="U151" s="24"/>
    </row>
    <row r="152" spans="1:21" x14ac:dyDescent="0.25">
      <c r="A152" s="24"/>
      <c r="B152" s="24"/>
      <c r="C152" s="24"/>
      <c r="D152" s="28"/>
      <c r="E152" s="24"/>
      <c r="F152" s="26"/>
      <c r="G152" s="26"/>
      <c r="H152" s="26"/>
      <c r="I152" s="26"/>
      <c r="J152" s="26"/>
      <c r="K152" s="27"/>
      <c r="L152" s="27"/>
      <c r="M152" s="24"/>
      <c r="N152" s="25"/>
      <c r="O152" s="25"/>
      <c r="P152" s="24"/>
      <c r="Q152" s="24"/>
      <c r="R152" s="24"/>
      <c r="S152" s="24"/>
      <c r="T152" s="24"/>
      <c r="U152" s="24"/>
    </row>
    <row r="153" spans="1:21" x14ac:dyDescent="0.25">
      <c r="A153" s="24"/>
      <c r="B153" s="24"/>
      <c r="C153" s="24"/>
      <c r="D153" s="28"/>
      <c r="E153" s="24"/>
      <c r="F153" s="26"/>
      <c r="G153" s="26"/>
      <c r="H153" s="26"/>
      <c r="I153" s="26"/>
      <c r="J153" s="26"/>
      <c r="K153" s="27"/>
      <c r="L153" s="27"/>
      <c r="M153" s="24"/>
      <c r="N153" s="25"/>
      <c r="O153" s="25"/>
      <c r="P153" s="24"/>
      <c r="Q153" s="24"/>
      <c r="R153" s="24"/>
      <c r="S153" s="24"/>
      <c r="T153" s="24"/>
      <c r="U153" s="24"/>
    </row>
    <row r="154" spans="1:21" x14ac:dyDescent="0.25">
      <c r="A154" s="24"/>
      <c r="B154" s="24"/>
      <c r="C154" s="24"/>
      <c r="D154" s="28"/>
      <c r="E154" s="24"/>
      <c r="F154" s="26"/>
      <c r="G154" s="26"/>
      <c r="H154" s="26"/>
      <c r="I154" s="26"/>
      <c r="J154" s="26"/>
      <c r="K154" s="27"/>
      <c r="L154" s="27"/>
      <c r="M154" s="24"/>
      <c r="N154" s="25"/>
      <c r="O154" s="25"/>
      <c r="P154" s="24"/>
      <c r="Q154" s="24"/>
      <c r="R154" s="24"/>
      <c r="S154" s="24"/>
      <c r="T154" s="24"/>
      <c r="U154" s="24"/>
    </row>
    <row r="155" spans="1:21" x14ac:dyDescent="0.25">
      <c r="A155" s="24"/>
      <c r="B155" s="24"/>
      <c r="C155" s="24"/>
      <c r="D155" s="28"/>
      <c r="E155" s="24"/>
      <c r="F155" s="26"/>
      <c r="G155" s="26"/>
      <c r="H155" s="26"/>
      <c r="I155" s="26"/>
      <c r="J155" s="26"/>
      <c r="K155" s="27"/>
      <c r="L155" s="27"/>
      <c r="M155" s="24"/>
      <c r="N155" s="25"/>
      <c r="O155" s="25"/>
      <c r="P155" s="24"/>
      <c r="Q155" s="24"/>
      <c r="R155" s="24"/>
      <c r="S155" s="24"/>
      <c r="T155" s="24"/>
      <c r="U155" s="24"/>
    </row>
    <row r="156" spans="1:21" x14ac:dyDescent="0.25">
      <c r="A156" s="24"/>
      <c r="B156" s="24"/>
      <c r="C156" s="24"/>
      <c r="D156" s="28"/>
      <c r="E156" s="24"/>
      <c r="F156" s="26"/>
      <c r="G156" s="26"/>
      <c r="H156" s="26"/>
      <c r="I156" s="26"/>
      <c r="J156" s="26"/>
      <c r="K156" s="27"/>
      <c r="L156" s="27"/>
      <c r="M156" s="24"/>
      <c r="N156" s="25"/>
      <c r="O156" s="25"/>
      <c r="P156" s="24"/>
      <c r="Q156" s="24"/>
      <c r="R156" s="24"/>
      <c r="S156" s="24"/>
      <c r="T156" s="24"/>
      <c r="U156" s="24"/>
    </row>
    <row r="157" spans="1:21" x14ac:dyDescent="0.25">
      <c r="A157" s="24"/>
      <c r="B157" s="24"/>
      <c r="C157" s="24"/>
      <c r="D157" s="28"/>
      <c r="E157" s="24"/>
      <c r="F157" s="26"/>
      <c r="G157" s="26"/>
      <c r="H157" s="26"/>
      <c r="I157" s="26"/>
      <c r="J157" s="26"/>
      <c r="K157" s="27"/>
      <c r="L157" s="27"/>
      <c r="M157" s="24"/>
      <c r="N157" s="25"/>
      <c r="O157" s="25"/>
      <c r="P157" s="24"/>
      <c r="Q157" s="24"/>
      <c r="R157" s="24"/>
      <c r="S157" s="24"/>
      <c r="T157" s="24"/>
      <c r="U157" s="24"/>
    </row>
    <row r="158" spans="1:21" x14ac:dyDescent="0.25">
      <c r="A158" s="24"/>
      <c r="B158" s="24"/>
      <c r="C158" s="24"/>
      <c r="D158" s="28"/>
      <c r="E158" s="24"/>
      <c r="F158" s="26"/>
      <c r="G158" s="26"/>
      <c r="H158" s="26"/>
      <c r="I158" s="26"/>
      <c r="J158" s="26"/>
      <c r="K158" s="27"/>
      <c r="L158" s="27"/>
      <c r="M158" s="24"/>
      <c r="N158" s="25"/>
      <c r="O158" s="25"/>
      <c r="P158" s="24"/>
      <c r="Q158" s="24"/>
      <c r="R158" s="24"/>
      <c r="S158" s="24"/>
      <c r="T158" s="24"/>
      <c r="U158" s="24"/>
    </row>
    <row r="159" spans="1:21" x14ac:dyDescent="0.25">
      <c r="A159" s="24"/>
      <c r="B159" s="24"/>
      <c r="C159" s="24"/>
      <c r="D159" s="28"/>
      <c r="E159" s="24"/>
      <c r="F159" s="26"/>
      <c r="G159" s="26"/>
      <c r="H159" s="26"/>
      <c r="I159" s="26"/>
      <c r="J159" s="26"/>
      <c r="K159" s="27"/>
      <c r="L159" s="27"/>
      <c r="M159" s="24"/>
      <c r="N159" s="25"/>
      <c r="O159" s="25"/>
      <c r="P159" s="24"/>
      <c r="Q159" s="24"/>
      <c r="R159" s="24"/>
      <c r="S159" s="24"/>
      <c r="T159" s="24"/>
      <c r="U159" s="24"/>
    </row>
    <row r="160" spans="1:21" x14ac:dyDescent="0.25">
      <c r="A160" s="24"/>
      <c r="B160" s="24"/>
      <c r="C160" s="24"/>
      <c r="D160" s="28"/>
      <c r="E160" s="24"/>
      <c r="F160" s="26"/>
      <c r="G160" s="26"/>
      <c r="H160" s="26"/>
      <c r="I160" s="26"/>
      <c r="J160" s="26"/>
      <c r="K160" s="27"/>
      <c r="L160" s="27"/>
      <c r="M160" s="24"/>
      <c r="N160" s="25"/>
      <c r="O160" s="25"/>
      <c r="P160" s="24"/>
      <c r="Q160" s="24"/>
      <c r="R160" s="24"/>
      <c r="S160" s="24"/>
      <c r="T160" s="24"/>
      <c r="U160" s="24"/>
    </row>
    <row r="161" spans="1:21" x14ac:dyDescent="0.25">
      <c r="A161" s="24"/>
      <c r="B161" s="24"/>
      <c r="C161" s="24"/>
      <c r="D161" s="28"/>
      <c r="E161" s="24"/>
      <c r="F161" s="26"/>
      <c r="G161" s="26"/>
      <c r="H161" s="26"/>
      <c r="I161" s="26"/>
      <c r="J161" s="26"/>
      <c r="K161" s="27"/>
      <c r="L161" s="27"/>
      <c r="M161" s="24"/>
      <c r="N161" s="25"/>
      <c r="O161" s="25"/>
      <c r="P161" s="24"/>
      <c r="Q161" s="24"/>
      <c r="R161" s="24"/>
      <c r="S161" s="24"/>
      <c r="T161" s="24"/>
      <c r="U161" s="24"/>
    </row>
    <row r="162" spans="1:21" x14ac:dyDescent="0.25">
      <c r="A162" s="24"/>
      <c r="B162" s="24"/>
      <c r="C162" s="24"/>
      <c r="D162" s="28"/>
      <c r="E162" s="24"/>
      <c r="F162" s="26"/>
      <c r="G162" s="26"/>
      <c r="H162" s="26"/>
      <c r="I162" s="26"/>
      <c r="J162" s="26"/>
      <c r="K162" s="27"/>
      <c r="L162" s="27"/>
      <c r="M162" s="24"/>
      <c r="N162" s="25"/>
      <c r="O162" s="25"/>
      <c r="P162" s="24"/>
      <c r="Q162" s="24"/>
      <c r="R162" s="24"/>
      <c r="S162" s="24"/>
      <c r="T162" s="24"/>
      <c r="U162" s="24"/>
    </row>
    <row r="163" spans="1:21" x14ac:dyDescent="0.25">
      <c r="A163" s="24"/>
      <c r="B163" s="24"/>
      <c r="C163" s="24"/>
      <c r="D163" s="28"/>
      <c r="E163" s="24"/>
      <c r="F163" s="26"/>
      <c r="G163" s="26"/>
      <c r="H163" s="26"/>
      <c r="I163" s="26"/>
      <c r="J163" s="26"/>
      <c r="K163" s="27"/>
      <c r="L163" s="27"/>
      <c r="M163" s="24"/>
      <c r="N163" s="25"/>
      <c r="O163" s="25"/>
      <c r="P163" s="24"/>
      <c r="Q163" s="24"/>
      <c r="R163" s="24"/>
      <c r="S163" s="24"/>
      <c r="T163" s="24"/>
      <c r="U163" s="24"/>
    </row>
    <row r="164" spans="1:21" x14ac:dyDescent="0.25">
      <c r="A164" s="24"/>
      <c r="B164" s="24"/>
      <c r="C164" s="24"/>
      <c r="D164" s="28"/>
      <c r="E164" s="24"/>
      <c r="F164" s="26"/>
      <c r="G164" s="26"/>
      <c r="H164" s="26"/>
      <c r="I164" s="26"/>
      <c r="J164" s="26"/>
      <c r="K164" s="27"/>
      <c r="L164" s="27"/>
      <c r="M164" s="24"/>
      <c r="N164" s="25"/>
      <c r="O164" s="25"/>
      <c r="P164" s="24"/>
      <c r="Q164" s="24"/>
      <c r="R164" s="24"/>
      <c r="S164" s="24"/>
      <c r="T164" s="24"/>
      <c r="U164" s="24"/>
    </row>
    <row r="165" spans="1:21" x14ac:dyDescent="0.25">
      <c r="A165" s="24"/>
      <c r="B165" s="24"/>
      <c r="C165" s="24"/>
      <c r="D165" s="28"/>
      <c r="E165" s="24"/>
      <c r="F165" s="26"/>
      <c r="G165" s="26"/>
      <c r="H165" s="26"/>
      <c r="I165" s="26"/>
      <c r="J165" s="26"/>
      <c r="K165" s="27"/>
      <c r="L165" s="27"/>
      <c r="M165" s="24"/>
      <c r="N165" s="25"/>
      <c r="O165" s="25"/>
      <c r="P165" s="24"/>
      <c r="Q165" s="24"/>
      <c r="R165" s="24"/>
      <c r="S165" s="24"/>
      <c r="T165" s="24"/>
      <c r="U165" s="24"/>
    </row>
    <row r="166" spans="1:21" x14ac:dyDescent="0.25">
      <c r="A166" s="24"/>
      <c r="B166" s="24"/>
      <c r="C166" s="24"/>
      <c r="D166" s="28"/>
      <c r="E166" s="24"/>
      <c r="F166" s="26"/>
      <c r="G166" s="26"/>
      <c r="H166" s="26"/>
      <c r="I166" s="26"/>
      <c r="J166" s="26"/>
      <c r="K166" s="27"/>
      <c r="L166" s="27"/>
      <c r="M166" s="24"/>
      <c r="N166" s="25"/>
      <c r="O166" s="25"/>
      <c r="P166" s="24"/>
      <c r="Q166" s="24"/>
      <c r="R166" s="24"/>
      <c r="S166" s="24"/>
      <c r="T166" s="24"/>
      <c r="U166" s="24"/>
    </row>
    <row r="167" spans="1:21" x14ac:dyDescent="0.25">
      <c r="A167" s="24"/>
      <c r="B167" s="24"/>
      <c r="C167" s="24"/>
      <c r="D167" s="28"/>
      <c r="E167" s="24"/>
      <c r="F167" s="26"/>
      <c r="G167" s="26"/>
      <c r="H167" s="26"/>
      <c r="I167" s="26"/>
      <c r="J167" s="26"/>
      <c r="K167" s="27"/>
      <c r="L167" s="27"/>
      <c r="M167" s="24"/>
      <c r="N167" s="25"/>
      <c r="O167" s="25"/>
      <c r="P167" s="24"/>
      <c r="Q167" s="24"/>
      <c r="R167" s="24"/>
      <c r="S167" s="24"/>
      <c r="T167" s="24"/>
      <c r="U167" s="24"/>
    </row>
    <row r="168" spans="1:21" x14ac:dyDescent="0.25">
      <c r="A168" s="24"/>
      <c r="B168" s="24"/>
      <c r="C168" s="24"/>
      <c r="D168" s="28"/>
      <c r="E168" s="24"/>
      <c r="F168" s="26"/>
      <c r="G168" s="26"/>
      <c r="H168" s="26"/>
      <c r="I168" s="26"/>
      <c r="J168" s="26"/>
      <c r="K168" s="27"/>
      <c r="L168" s="27"/>
      <c r="M168" s="24"/>
      <c r="N168" s="25"/>
      <c r="O168" s="25"/>
      <c r="P168" s="24"/>
      <c r="Q168" s="24"/>
      <c r="R168" s="24"/>
      <c r="S168" s="24"/>
      <c r="T168" s="24"/>
      <c r="U168" s="24"/>
    </row>
    <row r="169" spans="1:21" x14ac:dyDescent="0.25">
      <c r="A169" s="24"/>
      <c r="B169" s="24"/>
      <c r="C169" s="24"/>
      <c r="D169" s="28"/>
      <c r="E169" s="24"/>
      <c r="F169" s="26"/>
      <c r="G169" s="26"/>
      <c r="H169" s="26"/>
      <c r="I169" s="26"/>
      <c r="J169" s="26"/>
      <c r="K169" s="27"/>
      <c r="L169" s="27"/>
      <c r="M169" s="24"/>
      <c r="N169" s="25"/>
      <c r="O169" s="25"/>
      <c r="P169" s="24"/>
      <c r="Q169" s="24"/>
      <c r="R169" s="24"/>
      <c r="S169" s="24"/>
      <c r="T169" s="24"/>
      <c r="U169" s="24"/>
    </row>
    <row r="170" spans="1:21" x14ac:dyDescent="0.25">
      <c r="A170" s="24"/>
      <c r="B170" s="24"/>
      <c r="C170" s="24"/>
      <c r="D170" s="28"/>
      <c r="E170" s="24"/>
      <c r="F170" s="26"/>
      <c r="G170" s="26"/>
      <c r="H170" s="26"/>
      <c r="I170" s="26"/>
      <c r="J170" s="26"/>
      <c r="K170" s="27"/>
      <c r="L170" s="27"/>
      <c r="M170" s="24"/>
      <c r="N170" s="25"/>
      <c r="O170" s="25"/>
      <c r="P170" s="24"/>
      <c r="Q170" s="24"/>
      <c r="R170" s="24"/>
      <c r="S170" s="24"/>
      <c r="T170" s="24"/>
      <c r="U170" s="24"/>
    </row>
    <row r="171" spans="1:21" x14ac:dyDescent="0.25">
      <c r="A171" s="24"/>
      <c r="B171" s="24"/>
      <c r="C171" s="24"/>
      <c r="D171" s="28"/>
      <c r="E171" s="24"/>
      <c r="F171" s="26"/>
      <c r="G171" s="26"/>
      <c r="H171" s="26"/>
      <c r="I171" s="26"/>
      <c r="J171" s="26"/>
      <c r="K171" s="27"/>
      <c r="L171" s="27"/>
      <c r="M171" s="24"/>
      <c r="N171" s="25"/>
      <c r="O171" s="25"/>
      <c r="P171" s="24"/>
      <c r="Q171" s="24"/>
      <c r="R171" s="24"/>
      <c r="S171" s="24"/>
      <c r="T171" s="24"/>
      <c r="U171" s="24"/>
    </row>
    <row r="172" spans="1:21" x14ac:dyDescent="0.25">
      <c r="A172" s="24"/>
      <c r="B172" s="24"/>
      <c r="C172" s="24"/>
      <c r="D172" s="28"/>
      <c r="E172" s="24"/>
      <c r="F172" s="26"/>
      <c r="G172" s="26"/>
      <c r="H172" s="26"/>
      <c r="I172" s="26"/>
      <c r="J172" s="26"/>
      <c r="K172" s="27"/>
      <c r="L172" s="27"/>
      <c r="M172" s="24"/>
      <c r="N172" s="25"/>
      <c r="O172" s="25"/>
      <c r="P172" s="24"/>
      <c r="Q172" s="24"/>
      <c r="R172" s="24"/>
      <c r="S172" s="24"/>
      <c r="T172" s="24"/>
      <c r="U172" s="24"/>
    </row>
  </sheetData>
  <dataValidations count="2">
    <dataValidation type="list" allowBlank="1" showInputMessage="1" sqref="C2:C7">
      <formula1>PopCache_MMC_WEBADI_JRN_CURRENCY_CODE</formula1>
    </dataValidation>
    <dataValidation type="list" allowBlank="1" showInputMessage="1" sqref="R2:R7">
      <formula1>PopCache_MMC_WEBADI_JRN_PROJECT_DFF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0"/>
  <sheetViews>
    <sheetView workbookViewId="0">
      <selection activeCell="G2" sqref="G2"/>
    </sheetView>
  </sheetViews>
  <sheetFormatPr defaultRowHeight="12.75" x14ac:dyDescent="0.2"/>
  <cols>
    <col min="1" max="1" width="20.7109375" style="58" bestFit="1" customWidth="1"/>
    <col min="2" max="2" width="13.42578125" style="85" customWidth="1"/>
    <col min="3" max="5" width="13.42578125" style="58" customWidth="1"/>
    <col min="6" max="16384" width="9.140625" style="58"/>
  </cols>
  <sheetData>
    <row r="1" spans="1:13" ht="16.5" x14ac:dyDescent="0.2">
      <c r="A1" s="201" t="s">
        <v>87</v>
      </c>
      <c r="B1" s="202"/>
      <c r="C1" s="202"/>
      <c r="D1" s="202"/>
      <c r="E1" s="202"/>
      <c r="I1" s="62"/>
      <c r="K1" s="62"/>
    </row>
    <row r="2" spans="1:13" x14ac:dyDescent="0.2">
      <c r="A2" s="30" t="s">
        <v>67</v>
      </c>
      <c r="B2" s="77"/>
      <c r="C2" s="63" t="s">
        <v>68</v>
      </c>
      <c r="D2" s="31"/>
      <c r="E2" s="63" t="s">
        <v>69</v>
      </c>
      <c r="I2" s="59"/>
    </row>
    <row r="3" spans="1:13" x14ac:dyDescent="0.2">
      <c r="A3" s="32"/>
      <c r="B3" s="78"/>
      <c r="C3" s="73"/>
      <c r="D3" s="34"/>
      <c r="E3" s="33"/>
      <c r="I3" s="74"/>
    </row>
    <row r="4" spans="1:13" x14ac:dyDescent="0.2">
      <c r="A4" s="35" t="s">
        <v>70</v>
      </c>
      <c r="B4" s="79"/>
      <c r="D4" s="36"/>
      <c r="E4" s="36"/>
      <c r="J4" s="60"/>
    </row>
    <row r="5" spans="1:13" x14ac:dyDescent="0.2">
      <c r="A5" s="32" t="s">
        <v>71</v>
      </c>
      <c r="B5" s="78"/>
      <c r="D5" s="37"/>
      <c r="E5" s="38"/>
    </row>
    <row r="6" spans="1:13" x14ac:dyDescent="0.2">
      <c r="A6" s="32" t="s">
        <v>72</v>
      </c>
      <c r="B6" s="78"/>
      <c r="C6" s="33"/>
      <c r="D6" s="33"/>
      <c r="E6" s="38"/>
    </row>
    <row r="7" spans="1:13" x14ac:dyDescent="0.2">
      <c r="A7" s="32" t="s">
        <v>73</v>
      </c>
      <c r="B7" s="78"/>
      <c r="C7" s="33">
        <f>C3</f>
        <v>0</v>
      </c>
      <c r="D7" s="33"/>
      <c r="E7" s="38"/>
    </row>
    <row r="8" spans="1:13" x14ac:dyDescent="0.2">
      <c r="A8" s="32" t="s">
        <v>67</v>
      </c>
      <c r="B8" s="78"/>
      <c r="C8" s="39"/>
      <c r="D8" s="39"/>
      <c r="E8" s="64" t="s">
        <v>74</v>
      </c>
    </row>
    <row r="9" spans="1:13" x14ac:dyDescent="0.2">
      <c r="A9" s="40" t="s">
        <v>75</v>
      </c>
      <c r="B9" s="80"/>
      <c r="C9" s="41"/>
      <c r="D9" s="41"/>
      <c r="E9" s="65" t="s">
        <v>74</v>
      </c>
      <c r="G9" s="72"/>
    </row>
    <row r="10" spans="1:13" ht="25.5" x14ac:dyDescent="0.2">
      <c r="A10" s="42" t="s">
        <v>76</v>
      </c>
      <c r="B10" s="81" t="s">
        <v>77</v>
      </c>
      <c r="C10" s="43" t="s">
        <v>78</v>
      </c>
      <c r="D10" s="43" t="s">
        <v>79</v>
      </c>
      <c r="E10" s="42" t="s">
        <v>80</v>
      </c>
    </row>
    <row r="11" spans="1:13" ht="15" x14ac:dyDescent="0.25">
      <c r="A11" s="44"/>
      <c r="B11" s="82"/>
      <c r="C11" s="45"/>
      <c r="D11" s="46"/>
      <c r="E11" s="46"/>
      <c r="M11" s="61"/>
    </row>
    <row r="12" spans="1:13" ht="13.5" thickBot="1" x14ac:dyDescent="0.25">
      <c r="A12" s="47" t="s">
        <v>81</v>
      </c>
      <c r="B12" s="76"/>
      <c r="C12" s="33">
        <f>C3</f>
        <v>0</v>
      </c>
      <c r="D12" s="48"/>
      <c r="E12" s="49">
        <f>C5</f>
        <v>0</v>
      </c>
    </row>
    <row r="13" spans="1:13" ht="13.5" thickTop="1" x14ac:dyDescent="0.2">
      <c r="A13" s="50"/>
      <c r="B13" s="83"/>
      <c r="C13" s="51"/>
      <c r="D13" s="52"/>
      <c r="E13" s="52"/>
    </row>
    <row r="14" spans="1:13" x14ac:dyDescent="0.2">
      <c r="A14" s="47" t="s">
        <v>67</v>
      </c>
      <c r="B14" s="76"/>
      <c r="C14" s="51"/>
      <c r="D14" s="52"/>
      <c r="E14" s="71"/>
      <c r="G14" s="72"/>
    </row>
    <row r="15" spans="1:13" x14ac:dyDescent="0.2">
      <c r="A15" s="75"/>
      <c r="B15" s="76"/>
      <c r="C15" s="51"/>
      <c r="D15" s="52"/>
      <c r="E15" s="71"/>
      <c r="G15" s="72"/>
    </row>
    <row r="16" spans="1:13" x14ac:dyDescent="0.2">
      <c r="A16" s="53"/>
      <c r="B16" s="83"/>
      <c r="C16" s="51"/>
      <c r="D16" s="52"/>
      <c r="E16" s="52"/>
    </row>
    <row r="17" spans="1:5" ht="13.5" thickBot="1" x14ac:dyDescent="0.25">
      <c r="A17" s="54" t="s">
        <v>82</v>
      </c>
      <c r="B17" s="76"/>
      <c r="C17" s="51"/>
      <c r="D17" s="51"/>
      <c r="E17" s="49"/>
    </row>
    <row r="18" spans="1:5" ht="13.5" thickTop="1" x14ac:dyDescent="0.2">
      <c r="A18" s="54" t="s">
        <v>83</v>
      </c>
      <c r="B18" s="76"/>
      <c r="C18" s="51"/>
      <c r="D18" s="52"/>
      <c r="E18" s="52"/>
    </row>
    <row r="19" spans="1:5" ht="13.5" thickBot="1" x14ac:dyDescent="0.25">
      <c r="A19" s="54" t="s">
        <v>84</v>
      </c>
      <c r="B19" s="76"/>
      <c r="C19" s="51"/>
      <c r="D19" s="51"/>
      <c r="E19" s="49"/>
    </row>
    <row r="20" spans="1:5" ht="13.5" thickTop="1" x14ac:dyDescent="0.2">
      <c r="A20" s="55"/>
      <c r="B20" s="84"/>
      <c r="C20" s="56"/>
      <c r="D20" s="57"/>
      <c r="E20" s="57"/>
    </row>
  </sheetData>
  <mergeCells count="1">
    <mergeCell ref="A1:E1"/>
  </mergeCells>
  <conditionalFormatting sqref="D6">
    <cfRule type="expression" dxfId="1" priority="1" stopIfTrue="1">
      <formula>ISERROR(D6)</formula>
    </cfRule>
    <cfRule type="expression" dxfId="0" priority="2" stopIfTrue="1">
      <formula>IF($T6="X",TRUE,FALSE)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1"/>
  <sheetViews>
    <sheetView workbookViewId="0">
      <selection activeCell="B2" sqref="B2"/>
    </sheetView>
  </sheetViews>
  <sheetFormatPr defaultRowHeight="15" x14ac:dyDescent="0.25"/>
  <cols>
    <col min="2" max="2" width="153" customWidth="1"/>
  </cols>
  <sheetData>
    <row r="1" spans="1:22" x14ac:dyDescent="0.25">
      <c r="A1" s="115" t="s">
        <v>45</v>
      </c>
      <c r="B1" s="115" t="s">
        <v>46</v>
      </c>
      <c r="D1" s="24"/>
      <c r="E1" s="24"/>
      <c r="F1" s="24"/>
      <c r="G1" s="28"/>
      <c r="H1" s="24"/>
      <c r="I1" s="26"/>
      <c r="J1" s="26"/>
      <c r="K1" s="26"/>
      <c r="L1" s="26"/>
      <c r="M1" s="26"/>
      <c r="N1" s="27"/>
      <c r="O1" s="27"/>
      <c r="P1" s="24"/>
      <c r="Q1" s="25"/>
      <c r="R1" s="25"/>
      <c r="S1" s="24"/>
      <c r="T1" s="24"/>
      <c r="U1" s="24"/>
      <c r="V1" s="24" t="s">
        <v>1</v>
      </c>
    </row>
    <row r="2" spans="1:22" x14ac:dyDescent="0.25">
      <c r="A2" s="23"/>
      <c r="B2" s="23"/>
      <c r="D2" s="24"/>
      <c r="E2" s="24"/>
      <c r="F2" s="24"/>
      <c r="G2" s="28"/>
      <c r="H2" s="24"/>
      <c r="I2" s="26"/>
      <c r="J2" s="26"/>
      <c r="K2" s="26"/>
      <c r="L2" s="26"/>
      <c r="M2" s="26"/>
      <c r="N2" s="27"/>
      <c r="O2" s="27"/>
      <c r="P2" s="24"/>
      <c r="Q2" s="25"/>
      <c r="R2" s="25"/>
      <c r="S2" s="24"/>
      <c r="T2" s="24"/>
      <c r="U2" s="24"/>
      <c r="V2" s="24"/>
    </row>
    <row r="3" spans="1:22" x14ac:dyDescent="0.25">
      <c r="A3" s="23"/>
      <c r="B3" s="23"/>
      <c r="D3" s="24"/>
      <c r="E3" s="24"/>
      <c r="F3" s="24"/>
      <c r="G3" s="28"/>
      <c r="H3" s="24"/>
      <c r="I3" s="26"/>
      <c r="J3" s="26"/>
      <c r="K3" s="26"/>
      <c r="L3" s="26"/>
      <c r="M3" s="26"/>
      <c r="N3" s="27"/>
      <c r="O3" s="27"/>
      <c r="P3" s="24"/>
      <c r="Q3" s="25"/>
      <c r="R3" s="25"/>
      <c r="S3" s="24"/>
      <c r="T3" s="24"/>
      <c r="U3" s="24"/>
      <c r="V3" s="24"/>
    </row>
    <row r="4" spans="1:22" x14ac:dyDescent="0.25">
      <c r="A4" s="23"/>
      <c r="B4" s="23"/>
      <c r="D4" s="24"/>
      <c r="E4" s="24"/>
      <c r="F4" s="24"/>
      <c r="G4" s="28"/>
      <c r="H4" s="24"/>
      <c r="I4" s="26"/>
      <c r="J4" s="26"/>
      <c r="K4" s="26"/>
      <c r="L4" s="26"/>
      <c r="M4" s="26"/>
      <c r="N4" s="27"/>
      <c r="O4" s="27"/>
      <c r="P4" s="24"/>
      <c r="Q4" s="25"/>
      <c r="R4" s="25"/>
      <c r="S4" s="24"/>
      <c r="T4" s="24"/>
      <c r="U4" s="24"/>
      <c r="V4" s="24"/>
    </row>
    <row r="5" spans="1:22" x14ac:dyDescent="0.25">
      <c r="A5" s="23"/>
      <c r="B5" s="23"/>
      <c r="D5" s="24"/>
      <c r="E5" s="24"/>
      <c r="F5" s="24"/>
      <c r="G5" s="28"/>
      <c r="H5" s="24"/>
      <c r="I5" s="26"/>
      <c r="J5" s="26"/>
      <c r="K5" s="26"/>
      <c r="L5" s="26"/>
      <c r="M5" s="26"/>
      <c r="N5" s="27"/>
      <c r="O5" s="27"/>
      <c r="P5" s="24"/>
      <c r="Q5" s="25"/>
      <c r="R5" s="25"/>
      <c r="S5" s="24"/>
      <c r="T5" s="24"/>
      <c r="U5" s="24"/>
      <c r="V5" s="24"/>
    </row>
    <row r="6" spans="1:22" x14ac:dyDescent="0.25">
      <c r="A6" s="23"/>
      <c r="B6" s="23"/>
      <c r="D6" s="29"/>
    </row>
    <row r="7" spans="1:22" x14ac:dyDescent="0.25">
      <c r="A7" s="23"/>
      <c r="B7" s="23"/>
      <c r="D7" s="29"/>
    </row>
    <row r="8" spans="1:22" x14ac:dyDescent="0.25">
      <c r="A8" s="23"/>
      <c r="B8" s="23"/>
      <c r="D8" s="29"/>
    </row>
    <row r="9" spans="1:22" x14ac:dyDescent="0.25">
      <c r="A9" s="23"/>
      <c r="B9" s="23"/>
      <c r="D9" s="29"/>
    </row>
    <row r="10" spans="1:22" x14ac:dyDescent="0.25">
      <c r="A10" s="23"/>
      <c r="B10" s="23"/>
      <c r="D10" s="29"/>
    </row>
    <row r="11" spans="1:22" x14ac:dyDescent="0.25">
      <c r="A11" s="23"/>
      <c r="B11" s="23"/>
      <c r="D11" s="29"/>
    </row>
    <row r="12" spans="1:22" x14ac:dyDescent="0.25">
      <c r="A12" s="23"/>
      <c r="B12" s="23"/>
    </row>
    <row r="13" spans="1:22" x14ac:dyDescent="0.25">
      <c r="A13" s="23"/>
      <c r="B13" s="23"/>
      <c r="D13" s="29"/>
    </row>
    <row r="14" spans="1:22" x14ac:dyDescent="0.25">
      <c r="A14" s="23"/>
      <c r="B14" s="23"/>
      <c r="D14" s="29"/>
    </row>
    <row r="15" spans="1:22" x14ac:dyDescent="0.25">
      <c r="A15" s="23"/>
      <c r="B15" s="23"/>
      <c r="D15" s="29"/>
      <c r="E15" s="29"/>
    </row>
    <row r="16" spans="1:22" x14ac:dyDescent="0.25">
      <c r="A16" s="23"/>
      <c r="B16" s="23"/>
      <c r="D16" s="29"/>
    </row>
    <row r="17" spans="1:5" x14ac:dyDescent="0.25">
      <c r="A17" s="23"/>
      <c r="B17" s="23"/>
      <c r="D17" s="29"/>
    </row>
    <row r="18" spans="1:5" x14ac:dyDescent="0.25">
      <c r="A18" s="23"/>
      <c r="B18" s="23"/>
      <c r="D18" s="29"/>
    </row>
    <row r="19" spans="1:5" x14ac:dyDescent="0.25">
      <c r="A19" s="23"/>
      <c r="B19" s="23"/>
      <c r="D19" s="29"/>
    </row>
    <row r="20" spans="1:5" x14ac:dyDescent="0.25">
      <c r="A20" s="23"/>
      <c r="B20" s="23"/>
      <c r="D20" s="29"/>
    </row>
    <row r="21" spans="1:5" x14ac:dyDescent="0.25">
      <c r="A21" s="23"/>
      <c r="B21" s="23"/>
      <c r="D21" s="29"/>
    </row>
    <row r="22" spans="1:5" x14ac:dyDescent="0.25">
      <c r="A22" s="23"/>
      <c r="B22" s="23"/>
      <c r="D22" s="29"/>
    </row>
    <row r="23" spans="1:5" x14ac:dyDescent="0.25">
      <c r="A23" s="23"/>
      <c r="B23" s="23"/>
      <c r="D23" s="29"/>
    </row>
    <row r="24" spans="1:5" x14ac:dyDescent="0.25">
      <c r="A24" s="23"/>
      <c r="B24" s="23"/>
      <c r="D24" s="29"/>
    </row>
    <row r="25" spans="1:5" x14ac:dyDescent="0.25">
      <c r="A25" s="23"/>
      <c r="B25" s="23"/>
      <c r="D25" s="29"/>
    </row>
    <row r="26" spans="1:5" x14ac:dyDescent="0.25">
      <c r="A26" s="23"/>
      <c r="B26" s="23"/>
      <c r="D26" s="29"/>
      <c r="E26" s="29"/>
    </row>
    <row r="27" spans="1:5" x14ac:dyDescent="0.25">
      <c r="A27" s="23"/>
      <c r="B27" s="23"/>
      <c r="D27" s="29"/>
    </row>
    <row r="28" spans="1:5" x14ac:dyDescent="0.25">
      <c r="A28" s="23"/>
      <c r="B28" s="23"/>
      <c r="D28" s="29"/>
    </row>
    <row r="29" spans="1:5" x14ac:dyDescent="0.25">
      <c r="A29" s="23"/>
      <c r="B29" s="23"/>
      <c r="D29" s="29"/>
    </row>
    <row r="30" spans="1:5" x14ac:dyDescent="0.25">
      <c r="A30" s="23"/>
      <c r="B30" s="23"/>
      <c r="D30" s="29"/>
    </row>
    <row r="31" spans="1:5" x14ac:dyDescent="0.25">
      <c r="A31" s="23"/>
      <c r="B31" s="23"/>
      <c r="D31" s="29"/>
    </row>
    <row r="32" spans="1:5" x14ac:dyDescent="0.25">
      <c r="A32" s="23"/>
      <c r="B32" s="23"/>
      <c r="D32" s="29"/>
    </row>
    <row r="33" spans="1:4" x14ac:dyDescent="0.25">
      <c r="A33" s="23"/>
      <c r="B33" s="23"/>
      <c r="D33" s="29"/>
    </row>
    <row r="34" spans="1:4" x14ac:dyDescent="0.25">
      <c r="A34" s="23"/>
      <c r="B34" s="23"/>
      <c r="D34" s="29"/>
    </row>
    <row r="35" spans="1:4" x14ac:dyDescent="0.25">
      <c r="A35" s="23"/>
      <c r="B35" s="23"/>
      <c r="D35" s="29"/>
    </row>
    <row r="36" spans="1:4" x14ac:dyDescent="0.25">
      <c r="A36" s="23"/>
      <c r="B36" s="23"/>
      <c r="D36" s="29"/>
    </row>
    <row r="37" spans="1:4" x14ac:dyDescent="0.25">
      <c r="A37" s="23"/>
      <c r="B37" s="23"/>
      <c r="D37" s="29"/>
    </row>
    <row r="38" spans="1:4" x14ac:dyDescent="0.25">
      <c r="A38" s="23"/>
      <c r="B38" s="23"/>
      <c r="D38" s="29"/>
    </row>
    <row r="39" spans="1:4" x14ac:dyDescent="0.25">
      <c r="A39" s="23"/>
      <c r="B39" s="23"/>
      <c r="D39" s="29"/>
    </row>
    <row r="40" spans="1:4" x14ac:dyDescent="0.25">
      <c r="A40" s="23"/>
      <c r="B40" s="23"/>
      <c r="D40" s="29"/>
    </row>
    <row r="41" spans="1:4" x14ac:dyDescent="0.25">
      <c r="A41" s="23"/>
      <c r="B41" s="23"/>
      <c r="D41" s="29"/>
    </row>
    <row r="42" spans="1:4" x14ac:dyDescent="0.25">
      <c r="A42" s="23"/>
      <c r="B42" s="23"/>
      <c r="D42" s="29"/>
    </row>
    <row r="43" spans="1:4" x14ac:dyDescent="0.25">
      <c r="A43" s="23"/>
      <c r="B43" s="23"/>
      <c r="D43" s="29"/>
    </row>
    <row r="44" spans="1:4" x14ac:dyDescent="0.25">
      <c r="A44" s="23"/>
      <c r="B44" s="23"/>
      <c r="D44" s="29"/>
    </row>
    <row r="45" spans="1:4" x14ac:dyDescent="0.25">
      <c r="A45" s="23"/>
      <c r="B45" s="23"/>
      <c r="D45" s="29"/>
    </row>
    <row r="46" spans="1:4" x14ac:dyDescent="0.25">
      <c r="A46" s="23"/>
      <c r="B46" s="23"/>
      <c r="D46" s="29"/>
    </row>
    <row r="47" spans="1:4" x14ac:dyDescent="0.25">
      <c r="A47" s="23"/>
      <c r="B47" s="23"/>
      <c r="D47" s="29"/>
    </row>
    <row r="48" spans="1:4" x14ac:dyDescent="0.25">
      <c r="A48" s="23"/>
      <c r="B48" s="23"/>
      <c r="D48" s="29"/>
    </row>
    <row r="49" spans="1:4" x14ac:dyDescent="0.25">
      <c r="A49" s="23"/>
      <c r="B49" s="23"/>
      <c r="D49" s="29"/>
    </row>
    <row r="50" spans="1:4" x14ac:dyDescent="0.25">
      <c r="A50" s="23"/>
      <c r="B50" s="23"/>
      <c r="D50" s="29"/>
    </row>
    <row r="51" spans="1:4" x14ac:dyDescent="0.25">
      <c r="A51" s="23"/>
      <c r="B51" s="23"/>
      <c r="D51" s="29"/>
    </row>
    <row r="52" spans="1:4" x14ac:dyDescent="0.25">
      <c r="A52" s="23"/>
      <c r="B52" s="23"/>
      <c r="D52" s="29"/>
    </row>
    <row r="53" spans="1:4" x14ac:dyDescent="0.25">
      <c r="A53" s="23"/>
      <c r="B53" s="23"/>
      <c r="D53" s="29"/>
    </row>
    <row r="54" spans="1:4" x14ac:dyDescent="0.25">
      <c r="A54" s="23"/>
      <c r="B54" s="23"/>
    </row>
    <row r="55" spans="1:4" x14ac:dyDescent="0.25">
      <c r="A55" s="23"/>
      <c r="B55" s="23"/>
      <c r="D55" s="29"/>
    </row>
    <row r="56" spans="1:4" x14ac:dyDescent="0.25">
      <c r="A56" s="23"/>
      <c r="B56" s="23"/>
      <c r="D56" s="29"/>
    </row>
    <row r="57" spans="1:4" x14ac:dyDescent="0.25">
      <c r="A57" s="23"/>
      <c r="B57" s="23"/>
      <c r="D57" s="29"/>
    </row>
    <row r="58" spans="1:4" x14ac:dyDescent="0.25">
      <c r="A58" s="23"/>
      <c r="B58" s="23"/>
    </row>
    <row r="59" spans="1:4" x14ac:dyDescent="0.25">
      <c r="D59" s="29"/>
    </row>
    <row r="60" spans="1:4" x14ac:dyDescent="0.25">
      <c r="D60" s="29"/>
    </row>
    <row r="61" spans="1:4" x14ac:dyDescent="0.25">
      <c r="D61" s="29"/>
    </row>
  </sheetData>
  <sheetProtection password="DAA7" sheet="1" objects="1" scenarios="1"/>
  <dataValidations count="2">
    <dataValidation type="list" allowBlank="1" showInputMessage="1" sqref="U1:U5">
      <formula1>PopCache_MMC_WEBADI_JRN_PROJECT_DFF</formula1>
    </dataValidation>
    <dataValidation type="list" allowBlank="1" showInputMessage="1" sqref="F1:F5">
      <formula1>PopCache_MMC_WEBADI_JRN_CURRENCY_CODE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OPERATING EXPENSES</vt:lpstr>
      <vt:lpstr>JOURNAL1</vt:lpstr>
      <vt:lpstr>JOURNAL2</vt:lpstr>
      <vt:lpstr>SCHEDULE</vt:lpstr>
      <vt:lpstr>ERROR LOG</vt:lpstr>
      <vt:lpstr>'OPERATING EXPENSES'!Print_Area</vt:lpstr>
    </vt:vector>
  </TitlesOfParts>
  <Company>Marsh &amp; McLennan Companies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McCuish</dc:creator>
  <cp:lastModifiedBy>madhukar</cp:lastModifiedBy>
  <dcterms:created xsi:type="dcterms:W3CDTF">2013-10-17T12:39:33Z</dcterms:created>
  <dcterms:modified xsi:type="dcterms:W3CDTF">2015-03-01T20:38:24Z</dcterms:modified>
</cp:coreProperties>
</file>