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135" windowWidth="11475" windowHeight="4170"/>
  </bookViews>
  <sheets>
    <sheet name="Macro" sheetId="1" r:id="rId1"/>
    <sheet name="Mapping" sheetId="2" r:id="rId2"/>
    <sheet name="Temp" sheetId="5" r:id="rId3"/>
    <sheet name="Dump" sheetId="6" r:id="rId4"/>
    <sheet name="Comments_Mail" sheetId="7" r:id="rId5"/>
    <sheet name="Contacts" sheetId="8" r:id="rId6"/>
    <sheet name="EOD_Recap" sheetId="9" r:id="rId7"/>
    <sheet name="Disclaimer" sheetId="10" r:id="rId8"/>
    <sheet name="Sheet1" sheetId="11" r:id="rId9"/>
    <sheet name="Sheet3" sheetId="13" r:id="rId10"/>
  </sheets>
  <functionGroups builtInGroupCount="17"/>
  <definedNames>
    <definedName name="_xlnm._FilterDatabase" localSheetId="5" hidden="1">Contacts!$A$1:$C$125</definedName>
    <definedName name="_xlnm._FilterDatabase" localSheetId="1" hidden="1">Mapping!#REF!</definedName>
    <definedName name="_xlnm._FilterDatabase" localSheetId="2" hidden="1">Temp!$A$1:$AD$4</definedName>
  </definedNames>
  <calcPr calcId="144525"/>
</workbook>
</file>

<file path=xl/calcChain.xml><?xml version="1.0" encoding="utf-8"?>
<calcChain xmlns="http://schemas.openxmlformats.org/spreadsheetml/2006/main">
  <c r="A20" i="1" l="1"/>
  <c r="W10" i="2" l="1"/>
  <c r="W9" i="2"/>
  <c r="V7" i="2"/>
  <c r="V4" i="2"/>
  <c r="W11" i="2"/>
  <c r="C12" i="7"/>
  <c r="C13" i="7"/>
  <c r="C14" i="7"/>
  <c r="C6" i="7"/>
  <c r="C7" i="7"/>
  <c r="I12" i="8"/>
  <c r="I9" i="8"/>
  <c r="C10" i="7"/>
  <c r="H3" i="9"/>
  <c r="G8" i="9"/>
  <c r="G7" i="9"/>
  <c r="G6" i="9"/>
  <c r="G5" i="9"/>
  <c r="G4" i="9"/>
  <c r="W17" i="2"/>
  <c r="C5" i="7"/>
  <c r="C11" i="7"/>
  <c r="C4" i="7"/>
  <c r="C3" i="7"/>
  <c r="G3" i="9" l="1"/>
  <c r="G9" i="9" s="1"/>
</calcChain>
</file>

<file path=xl/sharedStrings.xml><?xml version="1.0" encoding="utf-8"?>
<sst xmlns="http://schemas.openxmlformats.org/spreadsheetml/2006/main" count="2848" uniqueCount="406">
  <si>
    <t>Raw Dump 1:</t>
  </si>
  <si>
    <t>Raw Dump 2:</t>
  </si>
  <si>
    <t>SP Region</t>
  </si>
  <si>
    <t>EMEA</t>
  </si>
  <si>
    <t>Developed EMEA</t>
  </si>
  <si>
    <t>=</t>
  </si>
  <si>
    <t>Notes</t>
  </si>
  <si>
    <t>Cross</t>
  </si>
  <si>
    <t>RUB</t>
  </si>
  <si>
    <t>ZAR</t>
  </si>
  <si>
    <t>AED</t>
  </si>
  <si>
    <t>QAT</t>
  </si>
  <si>
    <t>QAR</t>
  </si>
  <si>
    <t>Swap Provider</t>
  </si>
  <si>
    <t>Hedge Provider</t>
  </si>
  <si>
    <t>Exec. CCY</t>
  </si>
  <si>
    <t>UBS</t>
  </si>
  <si>
    <t>.QA</t>
  </si>
  <si>
    <t>.MM</t>
  </si>
  <si>
    <t>.DU</t>
  </si>
  <si>
    <t>.KQ</t>
  </si>
  <si>
    <t>.SH</t>
  </si>
  <si>
    <t>Underlying Type</t>
  </si>
  <si>
    <t>Equity Index</t>
  </si>
  <si>
    <t>RIC</t>
  </si>
  <si>
    <t>Comments</t>
  </si>
  <si>
    <t>Blomberg trade</t>
  </si>
  <si>
    <t>F</t>
  </si>
  <si>
    <t>S</t>
  </si>
  <si>
    <t>Trade Type</t>
  </si>
  <si>
    <t>Quantity</t>
  </si>
  <si>
    <t>Side</t>
  </si>
  <si>
    <t>ISIN</t>
  </si>
  <si>
    <t>Settled Amount</t>
  </si>
  <si>
    <t>Settlement Date</t>
  </si>
  <si>
    <t>Columns Name</t>
  </si>
  <si>
    <t>eClerx Comments</t>
  </si>
  <si>
    <t>PB Mismatch</t>
  </si>
  <si>
    <t>MLP Missing</t>
  </si>
  <si>
    <t>Quantity Mismatch</t>
  </si>
  <si>
    <t>Price and SD Mismatched</t>
  </si>
  <si>
    <t>SD Mismatch</t>
  </si>
  <si>
    <t>Manual match</t>
  </si>
  <si>
    <t>Bloomberg Tradebook EB</t>
  </si>
  <si>
    <t xml:space="preserve">Daily Summary of Traiana CFD trades </t>
  </si>
  <si>
    <t xml:space="preserve">Total Trades </t>
  </si>
  <si>
    <t>Total Matched in Traiana</t>
  </si>
  <si>
    <t>Total Manually Matched</t>
  </si>
  <si>
    <t xml:space="preserve">Total Unmatched Trades </t>
  </si>
  <si>
    <t xml:space="preserve">Total Unmatched - Electronic </t>
  </si>
  <si>
    <t xml:space="preserve">Total Unmatched - Voice </t>
  </si>
  <si>
    <t>% Unmatched of Total Trades</t>
  </si>
  <si>
    <t>Merrill Lynch EB</t>
  </si>
  <si>
    <t>JPMC EB</t>
  </si>
  <si>
    <t>Deutsche Bank EB</t>
  </si>
  <si>
    <t>Goodbody EB</t>
  </si>
  <si>
    <t>Numis EB</t>
  </si>
  <si>
    <t>HP</t>
  </si>
  <si>
    <t>Ops</t>
  </si>
  <si>
    <t>PB Name</t>
  </si>
  <si>
    <t>General Contacts To…</t>
  </si>
  <si>
    <t>General Contacts CC…</t>
  </si>
  <si>
    <t>ABG Sundal EB</t>
  </si>
  <si>
    <t>hans.lovaasen@abgsc.no; Riulf.Rustad@abgsc.no; abgsctrades@abgsc.com</t>
  </si>
  <si>
    <t>ABN EB</t>
  </si>
  <si>
    <t>yuksel.karakilic@nl.abnamro.com; equity.settlements@nl.abnamro.com; janis.dool@nl.abnamro.com</t>
  </si>
  <si>
    <t>Autonomous EB</t>
  </si>
  <si>
    <t>ops-eu@autonomous.com</t>
  </si>
  <si>
    <t>Fidentiis EB</t>
  </si>
  <si>
    <t>Stephen.Humbles@aviateglobal.com</t>
  </si>
  <si>
    <t>ABLE- Natixis EB</t>
  </si>
  <si>
    <t>christopher.silfverling@uk.natixis.com; LD-M-EQUITY Middle Office - Cash &lt;middle.cash@natixis.com&gt;</t>
  </si>
  <si>
    <t>settlement@arcticsec.no</t>
  </si>
  <si>
    <t>Barclays Capital EB</t>
  </si>
  <si>
    <t>xraTCUEquitiesEMEACa@barclayscapital.com;xraLondonSalesSuppor@barclayscapital.com</t>
  </si>
  <si>
    <t>Baycrest EB</t>
  </si>
  <si>
    <t>dflanagan@baycrestpartners.com</t>
  </si>
  <si>
    <t>Benchmark EB</t>
  </si>
  <si>
    <t>mcoppola@benchmarkcap.com</t>
  </si>
  <si>
    <t>middleoffice@berenberg.de</t>
  </si>
  <si>
    <t>Blue Oak EB</t>
  </si>
  <si>
    <t>ops@blueoakcapital.com; ops@nsbo.com</t>
  </si>
  <si>
    <t>BRNB EB</t>
  </si>
  <si>
    <t>middleoffice@berenberg.com</t>
  </si>
  <si>
    <t>BNY Convergex EB</t>
  </si>
  <si>
    <t>GPless@convergex.com; allocations@convergex.com; settlements@convergex.com</t>
  </si>
  <si>
    <t>BNYE EB</t>
  </si>
  <si>
    <t>BTIG Ltd EB</t>
  </si>
  <si>
    <t>ukops@btig.com ;bkoliver@btig.com</t>
  </si>
  <si>
    <t>BTIG EB</t>
  </si>
  <si>
    <t>Canaccord Adams EB</t>
  </si>
  <si>
    <t>London-uk-tradesupport@canaccord.com</t>
  </si>
  <si>
    <t>Cantor Fitzgerald EB</t>
  </si>
  <si>
    <t>EquityTradeSupport@cantor.co.uk;CFENYTradeQueries@cantor.co.uk</t>
  </si>
  <si>
    <t>Cenkos EB</t>
  </si>
  <si>
    <t>operations@cenkos.com;pgraham@cenkos.com</t>
  </si>
  <si>
    <t>CHARLES STANLEY EB</t>
  </si>
  <si>
    <t>Colin.row@charles-stanley.co.uk</t>
  </si>
  <si>
    <t>Cheuvreux EB</t>
  </si>
  <si>
    <t>dguthmann@cheuvreux.com;rtozer@cheuvreux.com ; 
clientservices@cheuvreux.com; 
molondon@cheuvreux.com; 
middleofficeparis@cheuvreux.com</t>
  </si>
  <si>
    <t>Churchill Capital EB</t>
  </si>
  <si>
    <t>lawrence@churchillcap.com;settlements@churchillcap.com</t>
  </si>
  <si>
    <t>CITI EB</t>
  </si>
  <si>
    <t>EQMILLENNIUM@CITI.COM</t>
  </si>
  <si>
    <t>Citigroup EB</t>
  </si>
  <si>
    <t xml:space="preserve">EQMILLENNIUM@CITI.COM </t>
  </si>
  <si>
    <t>CITI NY EB</t>
  </si>
  <si>
    <t>OpUSNYPro@citi.com</t>
  </si>
  <si>
    <t>Collins Stewart EB</t>
  </si>
  <si>
    <t>nhumphrey@collinsstewart.com;
international.settlements@collinsstewart.com;backofficetradesupport@collinsstewart.com;csusoperations@collinsstewart.com</t>
  </si>
  <si>
    <t>Commerzbank EB</t>
  </si>
  <si>
    <t>TradeSupportEquities@commerzbank.com</t>
  </si>
  <si>
    <t>Credit Suisse EB</t>
  </si>
  <si>
    <t xml:space="preserve">confirmation.equity@credit-suisse.com ; list.ops-llc-age-ban-set@credit-suisse.com;equitysales.support@credit-suisse.com </t>
  </si>
  <si>
    <t>CSFB EB</t>
  </si>
  <si>
    <t>equitysales.support@credit-suisse.com ;list.ops-llc-age-ban-set@credit-suisse.com;</t>
  </si>
  <si>
    <t>Carneigie EB</t>
  </si>
  <si>
    <t>CIC Securities EB</t>
  </si>
  <si>
    <t>cm-cicsecuritiesmiddle@cmcics.com</t>
  </si>
  <si>
    <t>DAVY EB</t>
  </si>
  <si>
    <t>euisettlements@davy.ie;colm.osullivan@davy.ie;eamon.drea@davy.ie;Eoin.Brady@davy.ie</t>
  </si>
  <si>
    <t>Danske Bank EB</t>
  </si>
  <si>
    <t>tradeconfirmation@danskebank.dk;backoffice.pkl@danskebank.com;Client.Services@danskebank.dk</t>
  </si>
  <si>
    <t xml:space="preserve">millenium.ldneq@list.db.com; intl.alloc@db.com;ldneqt.confirmations@db.com  </t>
  </si>
  <si>
    <t>Deutsche Bank DESK TRADES EB</t>
  </si>
  <si>
    <t xml:space="preserve">millenium.ldneq@list.db.com;intl.alloc@db.com;ldneqt.confirmations@db.com  </t>
  </si>
  <si>
    <t>Deutsche Bank EB DMA</t>
  </si>
  <si>
    <t>DNB EB</t>
  </si>
  <si>
    <t>middleoffice-equities@dnbnor.no;kristine.biering@dnb.no</t>
  </si>
  <si>
    <t>Evolution EB</t>
  </si>
  <si>
    <t>thomas.cox@evosecurities.com;settements@evosecurities.com</t>
  </si>
  <si>
    <t>Exane EB</t>
  </si>
  <si>
    <t>Middle_NY@exane.com;mo.trades@exane.com</t>
  </si>
  <si>
    <t>Execution EB</t>
  </si>
  <si>
    <t>Operations@executionlimited.com;natalie.brown@espiritosantoib.co.uk;</t>
  </si>
  <si>
    <t>lmg@fidentiis.com</t>
  </si>
  <si>
    <t>Goldman Sachs EB</t>
  </si>
  <si>
    <t>gs-eq-pes-giveups@ny.email.gs.com;gs-pes-bookings@ny.email.gs.com</t>
  </si>
  <si>
    <t>Goldman Sachs International EB</t>
  </si>
  <si>
    <t>gs-eq-pes-giveups@ny.email.gs.com;gs-pes-bookings@ny.email.gs.com;eq-ldn-cst@gs.com;eq-ldn-cst@ny.email.gs.com</t>
  </si>
  <si>
    <t>GFI Securities EB</t>
  </si>
  <si>
    <t xml:space="preserve">equityops@gfigroup.co.uk; ;EquitySettleNY@gfigroup.com; terry.chang@gfigroup.com;james.purser@gfigroup.co.uk;  domestic_settlements@gfigroup.co.uk; </t>
  </si>
  <si>
    <t>GFIG EB</t>
  </si>
  <si>
    <t>Trade.support@goodbody.ie;graham.a.breen@goodbody.ie;</t>
  </si>
  <si>
    <t>Goodbody Stockbrokers EB</t>
  </si>
  <si>
    <t>Trade.support@goodbody.ie;graham.a.breen@goodbody.ie</t>
  </si>
  <si>
    <t>HSBC EB</t>
  </si>
  <si>
    <t>ICAP EB</t>
  </si>
  <si>
    <t xml:space="preserve">eqconfirms@icap.com;  conor.cooling@icap.com </t>
  </si>
  <si>
    <t>ING EB</t>
  </si>
  <si>
    <t>Western.EuropeSetts@uk.ing.com; Equity.Trade.Queries@uk.ing.com</t>
  </si>
  <si>
    <t>NATIXIS EB</t>
  </si>
  <si>
    <t>Middle.cash@natixis.com</t>
  </si>
  <si>
    <t>Natixis Securities EB</t>
  </si>
  <si>
    <t>IBI LTD EB</t>
  </si>
  <si>
    <t>Shiran_S@IBI.co.il</t>
  </si>
  <si>
    <t>INSTINET EB</t>
  </si>
  <si>
    <t>ics.international.settlements@instinet.com;ETS.Client.Support@Instinet.co.uk; intl.mid.office@instinet.com</t>
  </si>
  <si>
    <t>Investec EB</t>
  </si>
  <si>
    <t>iibuksettlements@investec.co.uk</t>
  </si>
  <si>
    <t>ITG EB</t>
  </si>
  <si>
    <t xml:space="preserve">ITGE-Giveups@itg.com </t>
  </si>
  <si>
    <t>Jefferies EB</t>
  </si>
  <si>
    <t>Intl_market_support@jefferies.com;JIL_INTL_MO@Jefferies.com
intl_market_support@JEFFERIES.COM</t>
  </si>
  <si>
    <t>JP Morgan EB</t>
  </si>
  <si>
    <t xml:space="preserve">eqcs.uk.team3@jpmorgan.com; us.eq@jpmchase.com </t>
  </si>
  <si>
    <t>eqcs.uk.team3@jpmorgan.com; us.eq@jpmchase.com</t>
  </si>
  <si>
    <t>Jones Trading EB</t>
  </si>
  <si>
    <t>Ops at JonesTrading &lt;OPS@jonestrading.com&gt;; JeremiahD@jonestrading.com</t>
  </si>
  <si>
    <t>KBC Peel Hunt Eb</t>
  </si>
  <si>
    <t xml:space="preserve">settlements_ph@kbcpeelhunt.com ;  tradesupport@kbcpeelhunt.com; </t>
  </si>
  <si>
    <t>KBC SECURITIES INC. EB</t>
  </si>
  <si>
    <t>Settlement@kbcsecurities.be</t>
  </si>
  <si>
    <t>KBW (Keefe Bruyette Wood) EB</t>
  </si>
  <si>
    <t>lonops@kbw.com;  dwoollard@kbw.com</t>
  </si>
  <si>
    <t>Kempen EB</t>
  </si>
  <si>
    <t>ConfirmationServices@kempen.nl</t>
  </si>
  <si>
    <t>Kepler Capital Markets EB</t>
  </si>
  <si>
    <t>middle.uk@keplercheuvreux.com</t>
  </si>
  <si>
    <t>King and Shaxon EB</t>
  </si>
  <si>
    <t>operations@kasl.co.uk</t>
  </si>
  <si>
    <t>KNIGHT SECURITIES EB</t>
  </si>
  <si>
    <t>LTS@knight.com; usequities@knight.com; 'kemoperations@knight.com</t>
  </si>
  <si>
    <t>Ladenburg EB</t>
  </si>
  <si>
    <t>CMartin@ladenburg.com; Nanda@ladenburg.com</t>
  </si>
  <si>
    <t>Lek Securities EB</t>
  </si>
  <si>
    <t>fdavis@leksecurities.com; 'settlement@leksecurities.com'</t>
  </si>
  <si>
    <t>Liberum Capital EB</t>
  </si>
  <si>
    <t>broking.operations@liberumcapital.com ; Peter.Norris@liberumcapital.com</t>
  </si>
  <si>
    <t>Liquidnet EB</t>
  </si>
  <si>
    <t>SettlementsLondon@liquidnet.com; TradeSupportLondon@liquidnet.com; TradeSupport-Global@liquidnet.com</t>
  </si>
  <si>
    <t>Louis Capital EB</t>
  </si>
  <si>
    <t>Nybackoffice@louiscapital.com; jlawlor@louiscapital.com</t>
  </si>
  <si>
    <t>Macquarie EB</t>
  </si>
  <si>
    <t>sean.parry@macquarie.com; Adam.Stoller@macquarie.com; 
msgusopsintl@macquarie.com;Adam.Stoller@macquarie.com; 
msgusopsintl@macquarie.com;COGMODManilaTradeManagementMiddleOfficeTeam@macquarie.com</t>
  </si>
  <si>
    <t>Mainfirst EB</t>
  </si>
  <si>
    <t>ops@mainfirst.com</t>
  </si>
  <si>
    <t>Merrion EB</t>
  </si>
  <si>
    <t>settlements@merrion-capital.com</t>
  </si>
  <si>
    <t>MF Global EB</t>
  </si>
  <si>
    <t>iebts@mfglobal.com</t>
  </si>
  <si>
    <t>MINT PARTNERS  EB</t>
  </si>
  <si>
    <t>queries@mintpartners.com</t>
  </si>
  <si>
    <t>MKM Partners EB</t>
  </si>
  <si>
    <t>tdemmel@MKMPARTNERS.com; ops &lt;ops@MKMPARTNERS.com&gt;</t>
  </si>
  <si>
    <t>Shore Capital EB</t>
  </si>
  <si>
    <t>simon.thomas@shorecap.co.uk</t>
  </si>
  <si>
    <t>Morgan Stanley EB</t>
  </si>
  <si>
    <t xml:space="preserve">eqcsgbcf3@morganstanley.com; MZ.EquityClientService@morganstanley.com; lneqccp@morganstanley.com </t>
  </si>
  <si>
    <t>Natexis EB</t>
  </si>
  <si>
    <t>alexandre.teixeira-ext@natixis.com</t>
  </si>
  <si>
    <t>NCB EB</t>
  </si>
  <si>
    <t>nick.howells@ncb.ie; cathy.mckenna@ncb.ie</t>
  </si>
  <si>
    <t>Newedge EB</t>
  </si>
  <si>
    <t>ryan.waters@newedgegroup.com</t>
  </si>
  <si>
    <t>ghilman@LekSecurities.com; Nicolas@leksecurities.com; LNatoli@leksecurities.com</t>
  </si>
  <si>
    <t>Natixis EB</t>
  </si>
  <si>
    <t>Nomura EB</t>
  </si>
  <si>
    <t>ronak.patel@nomura.com ; mumbaiclientconnectivity-in@nomura.com</t>
  </si>
  <si>
    <t>Nordea EB</t>
  </si>
  <si>
    <t>equity.sales.support@nordea.dk;  so-oasys-dk@nordea.com;  Leif.Negendahl@nordea.dk</t>
  </si>
  <si>
    <t>NSBO EB</t>
  </si>
  <si>
    <t>ops@nsbo.com</t>
  </si>
  <si>
    <t>settlementsteam@numiscorp.com</t>
  </si>
  <si>
    <t>Oddo Securities EB</t>
  </si>
  <si>
    <t>middle_office_actions@offo.fr</t>
  </si>
  <si>
    <t>OliveTree Securities EB</t>
  </si>
  <si>
    <t>time.vines@olivetreesecurities.com; Settlements@olivetreesecurities.com</t>
  </si>
  <si>
    <t>Oriel Securities EB</t>
  </si>
  <si>
    <t>ben.woodley@orielsecurities.com; Colin.OReilly@orielsecurities.com</t>
  </si>
  <si>
    <t>Panmure EB</t>
  </si>
  <si>
    <t>trade.support@panmure.com; rohail.khan@panmure.com</t>
  </si>
  <si>
    <t>Patria EB</t>
  </si>
  <si>
    <t>settlements@patria.cz</t>
  </si>
  <si>
    <t>Rabobank EB</t>
  </si>
  <si>
    <t>robbie.siegers@rabobank.com</t>
  </si>
  <si>
    <t>RBC EB</t>
  </si>
  <si>
    <t xml:space="preserve">GlobalEquityTransactionMgt@rbccm.com; </t>
  </si>
  <si>
    <t>Rencap/RCLN EB</t>
  </si>
  <si>
    <t>JGalloway@rencap.com; LDNTradeSupport@rencap.com; settlements@rencap.com</t>
  </si>
  <si>
    <t>Renaissance Capital EB</t>
  </si>
  <si>
    <t>RBS/ABN EB</t>
  </si>
  <si>
    <t>eqclientconfirms@rbs.com; eqclientconfirms@rbs.com</t>
  </si>
  <si>
    <t>Redburn EB</t>
  </si>
  <si>
    <t>operations@redburn.com</t>
  </si>
  <si>
    <t>Rodman and Renshaw EB</t>
  </si>
  <si>
    <t>AXirouhakis@rodm.com</t>
  </si>
  <si>
    <t>RS Platou EB</t>
  </si>
  <si>
    <t>backoffice@platou.com;  stig.falk@platou.com</t>
  </si>
  <si>
    <t>Sanford C Bernstein EB</t>
  </si>
  <si>
    <t>LTDMO@bernstein.com; nymo@bernstein.com</t>
  </si>
  <si>
    <t>Sanford Bernstein EB</t>
  </si>
  <si>
    <t>LTDMO@bernstein.com;nymo@bernstein.com</t>
  </si>
  <si>
    <t>SEB AB EB</t>
  </si>
  <si>
    <t xml:space="preserve">enskopeq@seb.se ;'Telisha.Longmore@sebny.com'; 'ESEqBSNewYork@enskilda.com';ENSKOPEQNOR@seb.se;EFOSettlements@seb.se </t>
  </si>
  <si>
    <t>Pareto EB</t>
  </si>
  <si>
    <t>Pareto Securities AS &lt;info@paretosec.com&gt;; john.lictro@paretosec.com; magne.loe@paretosec.com</t>
  </si>
  <si>
    <t>Scotia EB</t>
  </si>
  <si>
    <t>SCUSA_MidOffice@scotiacapital.com</t>
  </si>
  <si>
    <t>Societe Generale EB</t>
  </si>
  <si>
    <t>PAR-EQTY-MO-Support@sgcib.com; LON-OPER-TLP-GCE-SUPPORT@SGCIB.com</t>
  </si>
  <si>
    <t>UNFP EB</t>
  </si>
  <si>
    <t>equity.settlements@schneidertrading.com; maurice.chuka@schneidertrading.com;kevin.irvin@schneidertrading.com</t>
  </si>
  <si>
    <t>SCHNEIDER EB</t>
  </si>
  <si>
    <t>Carnegie EB</t>
  </si>
  <si>
    <t>settlementsus@dcarnegie.com ; Pamela Cespedes &lt;pamces@dcarnegie.com&gt;</t>
  </si>
  <si>
    <t>Tradition EB</t>
  </si>
  <si>
    <t>cedmo@tradition.com; Philippe.Giudicelli@tsaf-paris.com; pascal.deoliveira@tsaf-paris.com ; 
middleoffice@tsaf-paris.com ; 
settlements@tsaf-paris.com</t>
  </si>
  <si>
    <t>Triad Securities EB</t>
  </si>
  <si>
    <t>schan@triadsecurities.com ; confirms@triadsecurities.com</t>
  </si>
  <si>
    <t>Triad EB</t>
  </si>
  <si>
    <t>UBS EB</t>
  </si>
  <si>
    <t>URAL EB</t>
  </si>
  <si>
    <t>settlements@uralsib.com; JSmyth@uralsib.com</t>
  </si>
  <si>
    <t>Uralsib EB</t>
  </si>
  <si>
    <t>Vontobel EB</t>
  </si>
  <si>
    <t>ferudun.emanet@vontobel.ch; salessupport@vontobel.ch</t>
  </si>
  <si>
    <t>West LB EB</t>
  </si>
  <si>
    <t>client_services@westlb.co.uk; Trade_Support_Equities@WestLB.com</t>
  </si>
  <si>
    <t>WJ Bonfanti EB</t>
  </si>
  <si>
    <t>aragusa@wjbcap.com</t>
  </si>
  <si>
    <t>Wall Street Access/WABR EB</t>
  </si>
  <si>
    <t>billy@wsaccess.com; Billy.Lavin@wsaccess.com</t>
  </si>
  <si>
    <t>Mediobanca EB</t>
  </si>
  <si>
    <t>Alessandro.Muccini@mediobanca.com</t>
  </si>
  <si>
    <t>Svenska Handelsbank EB</t>
  </si>
  <si>
    <t>shbeq@handelsbanken.se</t>
  </si>
  <si>
    <t>Hi Operations Europe,</t>
  </si>
  <si>
    <t>To:</t>
  </si>
  <si>
    <t>From:</t>
  </si>
  <si>
    <t>Cc:</t>
  </si>
  <si>
    <t>Subject:</t>
  </si>
  <si>
    <t>FCC_TopDay</t>
  </si>
  <si>
    <t>Operations-Europe &lt;Operations-Europe@mlp.com&gt;; OpsControlReporting &lt;OpsControlReporting@mlp.com&gt;</t>
  </si>
  <si>
    <t>Body:</t>
  </si>
  <si>
    <t>Ops/HP</t>
  </si>
  <si>
    <t>Subject</t>
  </si>
  <si>
    <t>Email Body</t>
  </si>
  <si>
    <t>Traiana Amend GU - Barclays</t>
  </si>
  <si>
    <t>Price Mismatch</t>
  </si>
  <si>
    <t>Qty and SD mismatch</t>
  </si>
  <si>
    <t>Currency Mismatch</t>
  </si>
  <si>
    <t>EB and PB Same</t>
  </si>
  <si>
    <t>EB and PB Different</t>
  </si>
  <si>
    <t xml:space="preserve">WTD </t>
  </si>
  <si>
    <t>MTD</t>
  </si>
  <si>
    <t>WTD Substantiation</t>
  </si>
  <si>
    <t>Kindly confirm if you recognize below and post the trades in Traiana.</t>
  </si>
  <si>
    <t>Kindly cancel @MS and face GS.</t>
  </si>
  <si>
    <t>Missing Give-Up</t>
  </si>
  <si>
    <t>Side mismatch</t>
  </si>
  <si>
    <t xml:space="preserve">CCYs to ignore (Asian currencies) </t>
  </si>
  <si>
    <t>AUD</t>
  </si>
  <si>
    <t>NZD</t>
  </si>
  <si>
    <t>CNY</t>
  </si>
  <si>
    <t>CNH</t>
  </si>
  <si>
    <t>KRW</t>
  </si>
  <si>
    <t>TWD</t>
  </si>
  <si>
    <t>THB</t>
  </si>
  <si>
    <t>PHP</t>
  </si>
  <si>
    <t>MYR</t>
  </si>
  <si>
    <t>IDR</t>
  </si>
  <si>
    <t>INR</t>
  </si>
  <si>
    <t>JPY</t>
  </si>
  <si>
    <t>SGD</t>
  </si>
  <si>
    <t>PB and SD mismatch</t>
  </si>
  <si>
    <t>PB and SD Name</t>
  </si>
  <si>
    <t>Kindly review below Qty mismatch trades and advise.</t>
  </si>
  <si>
    <t>Summary Mail:</t>
  </si>
  <si>
    <t>Hi,</t>
  </si>
  <si>
    <t>UBS to confirm when their files will be uploaded correctly.</t>
  </si>
  <si>
    <t>UBS sporadically fail to send their EOD cross trades to Traiana in a timely manner. This has been raised to their desk. All trades are booked upon EOD email therefore concluded as manual matched</t>
  </si>
  <si>
    <t>Cross Trades</t>
  </si>
  <si>
    <t>Update by EOY</t>
  </si>
  <si>
    <t>Symbol being sent to Traiana from Imagine is futures symbol and as such restricts STP. Unable to change in Imagine due to be needed by futures, discussions already concluded. Operations to check with TCS to see if we can amend mapping on the file sent to Traiana.</t>
  </si>
  <si>
    <t>Index Trades</t>
  </si>
  <si>
    <t>No ETA</t>
  </si>
  <si>
    <t>Non GU Market - EB does not send flow to Traiana</t>
  </si>
  <si>
    <t>ME Trades</t>
  </si>
  <si>
    <t>ZAR executions not facilitated in Traiana due to exchange rules requiring local give ups. Unable to supress from Traiana</t>
  </si>
  <si>
    <t>ZAR trades</t>
  </si>
  <si>
    <t>ETA</t>
  </si>
  <si>
    <t>Reason</t>
  </si>
  <si>
    <t>Issue Causing Manual Match</t>
  </si>
  <si>
    <t>Disclaimer</t>
  </si>
  <si>
    <t>Berenberg EB</t>
  </si>
  <si>
    <t>Operations-Europe &lt;Operations-Europe@mlp.com&gt;</t>
  </si>
  <si>
    <t>Kindly confirm if you recognize the below and give up trade in Traiana.</t>
  </si>
  <si>
    <t>Kindly cancel @MS and face GS Also amend SD as per MLP Booking.</t>
  </si>
  <si>
    <t>Kindly review below Currency mismatches trades and advise.</t>
  </si>
  <si>
    <t>Kindly review attached Direction mismatch (Buy/Sell) trade and advise.</t>
  </si>
  <si>
    <t>Kindly review below Qty and SD mismatch trades and advise.</t>
  </si>
  <si>
    <t>Kindly review below Settlement Date mismatch trades and advise.</t>
  </si>
  <si>
    <t>Kindly review below price &amp; SD mismatch trades and advise.</t>
  </si>
  <si>
    <t xml:space="preserve">
We do not see the below trade booked over Traiana. Kindly look and advise.</t>
  </si>
  <si>
    <t xml:space="preserve">Kindly review below Price mismatch trades and advise.
</t>
  </si>
  <si>
    <t xml:space="preserve"> </t>
  </si>
  <si>
    <t>Operations-Europe &lt;Operations-Europe@mlp.com&gt;;MLP-OpsEurope-EC &lt;MLP-OpsEurope-EC@mlp.com&gt;;MLP-TraianaMatching &lt;MLP-TraianaMatching@uk.mlp.com&gt;</t>
  </si>
  <si>
    <t>MLP-OpsEurope-EC &lt;MLP-OpsEurope-EC@mlp.com&gt;;MLP-TraianaMatching &lt;MLP-TraianaMatching@uk.mlp.com&gt;</t>
  </si>
  <si>
    <t>james.lightbown@hsbcib.com; eq.middleoffice@hsbcib.com; europeandus.settlements@hsbcib.com;ldn.moc.query.tpm.cashequities@hsbcib.com;middle.office.client.services@hsbcgroup.com</t>
  </si>
  <si>
    <t>eClerxDocs &lt;eClerxDocs@mlp.com&gt;; MLP-TraianaMatching &lt;MLP-TraianaMatching@uk.mlp.com&gt;; eClerx_Managers &lt;eClerx_Managers@mlp.com&gt;</t>
  </si>
  <si>
    <t>mlbscheckinglondon@baml.com; dg.ged_apr_support@bankofamerica.com</t>
  </si>
  <si>
    <t>Substantiation</t>
  </si>
  <si>
    <t>osse@carnegie.no; settlementsus@dcarnegie.com;richard.joyce@carnegie.co.uk</t>
  </si>
  <si>
    <t>Sell</t>
  </si>
  <si>
    <t>Block Pending Swap</t>
  </si>
  <si>
    <t>SEK</t>
  </si>
  <si>
    <t>Account</t>
  </si>
  <si>
    <t>Trade Date</t>
  </si>
  <si>
    <t>Sett. Net Price</t>
  </si>
  <si>
    <t>Security Description</t>
  </si>
  <si>
    <t>SEDOL</t>
  </si>
  <si>
    <t>TRELb.ST</t>
  </si>
  <si>
    <t>Trelleborg B Ord Shs</t>
  </si>
  <si>
    <t>SE0000114837</t>
  </si>
  <si>
    <t>Barclays Capital Securities Ltd</t>
  </si>
  <si>
    <t>Default_Millennium Capital Partners LP_Barclays Capital Securities Ltd</t>
  </si>
  <si>
    <t>Monday</t>
  </si>
  <si>
    <t>Tuesday</t>
  </si>
  <si>
    <t>Wednesday</t>
  </si>
  <si>
    <t>Thursday</t>
  </si>
  <si>
    <t>Friday</t>
  </si>
  <si>
    <t>sh-frost-london@ubs.com; sh-stm-equitysupport@ubs.com;sh-des-eu@ubs.com;sh-frost-london@ubs.com</t>
  </si>
  <si>
    <t>Date 2017/12/18</t>
  </si>
  <si>
    <t>Australia</t>
  </si>
  <si>
    <t>US &amp; Canada</t>
  </si>
  <si>
    <t>Report Date</t>
  </si>
  <si>
    <t>Month Start Date</t>
  </si>
  <si>
    <t>Date 2018/01/02</t>
  </si>
  <si>
    <t>Date 2018/01/03</t>
  </si>
  <si>
    <t>Date 2018/01/04</t>
  </si>
  <si>
    <t>Date 2018/01/05</t>
  </si>
  <si>
    <t>Total Manual Matched</t>
  </si>
  <si>
    <t>New Manual matched trade</t>
  </si>
  <si>
    <t>Cross Trade</t>
  </si>
  <si>
    <t>ZAR Trade</t>
  </si>
  <si>
    <t>Index Trade</t>
  </si>
  <si>
    <t>RS Platou Partners EB</t>
  </si>
  <si>
    <t>G:\d drive data\MY CAREER\vba\My Projects\Macros\Eclerx Projects\Jan part 1\0103\Unmatch Dump1-0103.xlsx</t>
  </si>
  <si>
    <t>RUB Trade</t>
  </si>
  <si>
    <t>AED Trade</t>
  </si>
  <si>
    <t>QAR Trade</t>
  </si>
  <si>
    <t>Blomberg Trade</t>
  </si>
  <si>
    <t>1603 Cross Trade,398 ZAR Trade,17 RUB Trade</t>
  </si>
  <si>
    <t>1404 Merrill Lynch EB,547 JPMC EB,200 UBS EB</t>
  </si>
  <si>
    <t>9 JPMC EB,5 UBS EB,1 Liquidnet EB</t>
  </si>
</sst>
</file>

<file path=xl/styles.xml><?xml version="1.0" encoding="utf-8"?>
<styleSheet xmlns="http://schemas.openxmlformats.org/spreadsheetml/2006/main" xmlns:mc="http://schemas.openxmlformats.org/markup-compatibility/2006" xmlns:x14ac="http://schemas.microsoft.com/office/spreadsheetml/2009/9/ac" mc:Ignorable="x14ac">
  <fonts count="28"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11"/>
      <color rgb="FF0000FF"/>
      <name val="Calibri"/>
      <family val="2"/>
      <scheme val="minor"/>
    </font>
    <font>
      <b/>
      <sz val="10"/>
      <name val="Arial"/>
      <family val="2"/>
    </font>
    <font>
      <u/>
      <sz val="10"/>
      <color indexed="12"/>
      <name val="Arial"/>
      <family val="2"/>
    </font>
    <font>
      <sz val="11"/>
      <color rgb="FF0000FF"/>
      <name val="Calibri"/>
      <family val="2"/>
    </font>
    <font>
      <sz val="11"/>
      <color rgb="FF000000"/>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sz val="8"/>
      <color rgb="FF000000"/>
      <name val="Calibri"/>
      <family val="2"/>
    </font>
    <font>
      <sz val="11"/>
      <color theme="8" tint="0.39997558519241921"/>
      <name val="Calibri"/>
      <family val="2"/>
      <scheme val="minor"/>
    </font>
    <font>
      <sz val="8"/>
      <color theme="1"/>
      <name val="Cambria"/>
      <family val="1"/>
    </font>
  </fonts>
  <fills count="36">
    <fill>
      <patternFill patternType="none"/>
    </fill>
    <fill>
      <patternFill patternType="gray125"/>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s>
  <borders count="1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bottom/>
      <diagonal/>
    </border>
    <border>
      <left style="medium">
        <color indexed="64"/>
      </left>
      <right/>
      <top style="medium">
        <color indexed="64"/>
      </top>
      <bottom style="medium">
        <color indexed="64"/>
      </bottom>
      <diagonal/>
    </border>
  </borders>
  <cellStyleXfs count="44">
    <xf numFmtId="0" fontId="0" fillId="0" borderId="0"/>
    <xf numFmtId="0" fontId="6" fillId="0" borderId="0" applyNumberFormat="0" applyFill="0" applyBorder="0" applyAlignment="0" applyProtection="0">
      <alignment vertical="top"/>
      <protection locked="0"/>
    </xf>
    <xf numFmtId="0" fontId="10" fillId="0" borderId="0" applyNumberFormat="0" applyFill="0" applyBorder="0" applyAlignment="0" applyProtection="0"/>
    <xf numFmtId="0" fontId="11" fillId="0" borderId="8" applyNumberFormat="0" applyFill="0" applyAlignment="0" applyProtection="0"/>
    <xf numFmtId="0" fontId="12" fillId="0" borderId="9" applyNumberFormat="0" applyFill="0" applyAlignment="0" applyProtection="0"/>
    <xf numFmtId="0" fontId="13" fillId="0" borderId="10" applyNumberFormat="0" applyFill="0" applyAlignment="0" applyProtection="0"/>
    <xf numFmtId="0" fontId="13" fillId="0" borderId="0" applyNumberFormat="0" applyFill="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6" borderId="11" applyNumberFormat="0" applyAlignment="0" applyProtection="0"/>
    <xf numFmtId="0" fontId="18" fillId="7" borderId="12" applyNumberFormat="0" applyAlignment="0" applyProtection="0"/>
    <xf numFmtId="0" fontId="19" fillId="7" borderId="11" applyNumberFormat="0" applyAlignment="0" applyProtection="0"/>
    <xf numFmtId="0" fontId="20" fillId="0" borderId="13" applyNumberFormat="0" applyFill="0" applyAlignment="0" applyProtection="0"/>
    <xf numFmtId="0" fontId="21" fillId="8" borderId="14" applyNumberFormat="0" applyAlignment="0" applyProtection="0"/>
    <xf numFmtId="0" fontId="22" fillId="0" borderId="0" applyNumberFormat="0" applyFill="0" applyBorder="0" applyAlignment="0" applyProtection="0"/>
    <xf numFmtId="0" fontId="9" fillId="9" borderId="15" applyNumberFormat="0" applyFont="0" applyAlignment="0" applyProtection="0"/>
    <xf numFmtId="0" fontId="23" fillId="0" borderId="0" applyNumberFormat="0" applyFill="0" applyBorder="0" applyAlignment="0" applyProtection="0"/>
    <xf numFmtId="0" fontId="1" fillId="0" borderId="16" applyNumberFormat="0" applyFill="0" applyAlignment="0" applyProtection="0"/>
    <xf numFmtId="0" fontId="2"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 fillId="33" borderId="0" applyNumberFormat="0" applyBorder="0" applyAlignment="0" applyProtection="0"/>
    <xf numFmtId="0" fontId="24" fillId="0" borderId="0" applyNumberFormat="0" applyFill="0" applyBorder="0" applyAlignment="0" applyProtection="0"/>
  </cellStyleXfs>
  <cellXfs count="59">
    <xf numFmtId="0" fontId="0" fillId="0" borderId="0" xfId="0"/>
    <xf numFmtId="0" fontId="0" fillId="0" borderId="2" xfId="0" applyBorder="1"/>
    <xf numFmtId="0" fontId="1" fillId="2" borderId="2" xfId="0" applyFont="1" applyFill="1" applyBorder="1"/>
    <xf numFmtId="0" fontId="3" fillId="0" borderId="2" xfId="0" applyFont="1" applyBorder="1" applyAlignment="1">
      <alignment vertical="center"/>
    </xf>
    <xf numFmtId="0" fontId="0" fillId="0" borderId="2" xfId="0" applyFill="1" applyBorder="1"/>
    <xf numFmtId="0" fontId="0" fillId="0" borderId="1" xfId="0" applyBorder="1"/>
    <xf numFmtId="0" fontId="0" fillId="0" borderId="0" xfId="0" applyBorder="1"/>
    <xf numFmtId="0" fontId="4" fillId="0" borderId="3" xfId="0" applyFont="1" applyBorder="1" applyAlignment="1">
      <alignment vertical="center"/>
    </xf>
    <xf numFmtId="0" fontId="4" fillId="0" borderId="4" xfId="0" applyFont="1" applyBorder="1" applyAlignment="1">
      <alignment vertical="center"/>
    </xf>
    <xf numFmtId="0" fontId="3" fillId="0" borderId="4" xfId="0" applyFont="1" applyBorder="1" applyAlignment="1">
      <alignment vertical="center"/>
    </xf>
    <xf numFmtId="0" fontId="4" fillId="0" borderId="5" xfId="0" applyFont="1" applyBorder="1" applyAlignment="1">
      <alignment vertical="center"/>
    </xf>
    <xf numFmtId="0" fontId="4" fillId="0" borderId="6" xfId="0" applyFont="1" applyBorder="1" applyAlignment="1">
      <alignment horizontal="center"/>
    </xf>
    <xf numFmtId="0" fontId="3" fillId="0" borderId="6" xfId="0" applyFont="1" applyBorder="1" applyAlignment="1">
      <alignment vertical="center"/>
    </xf>
    <xf numFmtId="0" fontId="4" fillId="0" borderId="6" xfId="0" applyFont="1" applyBorder="1" applyAlignment="1">
      <alignment horizontal="right" vertical="center"/>
    </xf>
    <xf numFmtId="10" fontId="4" fillId="0" borderId="6" xfId="0" applyNumberFormat="1" applyFont="1" applyBorder="1" applyAlignment="1">
      <alignment horizontal="right" vertical="center"/>
    </xf>
    <xf numFmtId="0" fontId="5" fillId="0" borderId="2" xfId="0" applyFont="1" applyBorder="1" applyAlignment="1">
      <alignment wrapText="1"/>
    </xf>
    <xf numFmtId="0" fontId="6" fillId="0" borderId="2" xfId="1" applyBorder="1" applyAlignment="1" applyProtection="1">
      <alignment wrapText="1"/>
    </xf>
    <xf numFmtId="0" fontId="6" fillId="0" borderId="7" xfId="1" applyBorder="1" applyAlignment="1" applyProtection="1"/>
    <xf numFmtId="0" fontId="6" fillId="0" borderId="0" xfId="1" applyAlignment="1" applyProtection="1"/>
    <xf numFmtId="0" fontId="6" fillId="0" borderId="2" xfId="1" quotePrefix="1" applyBorder="1" applyAlignment="1" applyProtection="1">
      <alignment wrapText="1"/>
    </xf>
    <xf numFmtId="0" fontId="0" fillId="0" borderId="2" xfId="0" applyFill="1" applyBorder="1" applyAlignment="1">
      <alignment vertical="top" wrapText="1"/>
    </xf>
    <xf numFmtId="0" fontId="0" fillId="0" borderId="2" xfId="0" applyBorder="1" applyAlignment="1">
      <alignment vertical="top" wrapText="1"/>
    </xf>
    <xf numFmtId="0" fontId="0" fillId="0" borderId="2" xfId="0" applyBorder="1" applyAlignment="1">
      <alignment wrapText="1"/>
    </xf>
    <xf numFmtId="0" fontId="7" fillId="0" borderId="4" xfId="0" applyFont="1" applyBorder="1" applyAlignment="1">
      <alignment vertical="center"/>
    </xf>
    <xf numFmtId="0" fontId="7" fillId="0" borderId="6" xfId="0" applyFont="1" applyBorder="1" applyAlignment="1">
      <alignment horizontal="center" vertical="center"/>
    </xf>
    <xf numFmtId="0" fontId="7" fillId="0" borderId="6" xfId="0" applyFont="1" applyBorder="1" applyAlignment="1">
      <alignment horizontal="right" vertical="center"/>
    </xf>
    <xf numFmtId="10" fontId="7" fillId="0" borderId="6" xfId="0" applyNumberFormat="1" applyFont="1" applyBorder="1" applyAlignment="1">
      <alignment horizontal="right" vertical="center"/>
    </xf>
    <xf numFmtId="0" fontId="8" fillId="0" borderId="4" xfId="0" applyFont="1" applyBorder="1" applyAlignment="1">
      <alignment vertical="center"/>
    </xf>
    <xf numFmtId="0" fontId="8" fillId="0" borderId="6" xfId="0" applyFont="1" applyBorder="1" applyAlignment="1">
      <alignment vertical="center"/>
    </xf>
    <xf numFmtId="0" fontId="0" fillId="0" borderId="0" xfId="0"/>
    <xf numFmtId="0" fontId="0" fillId="0" borderId="2" xfId="0" applyBorder="1"/>
    <xf numFmtId="0" fontId="0" fillId="0" borderId="2" xfId="0" applyFill="1" applyBorder="1"/>
    <xf numFmtId="0" fontId="1" fillId="0" borderId="0" xfId="0" applyFont="1"/>
    <xf numFmtId="0" fontId="0" fillId="0" borderId="0" xfId="0" applyFill="1" applyBorder="1"/>
    <xf numFmtId="0" fontId="25" fillId="0" borderId="2" xfId="0" applyFont="1" applyBorder="1" applyAlignment="1">
      <alignment vertical="center" wrapText="1"/>
    </xf>
    <xf numFmtId="0" fontId="25" fillId="0" borderId="2" xfId="0" applyFont="1" applyBorder="1" applyAlignment="1">
      <alignment vertical="center"/>
    </xf>
    <xf numFmtId="0" fontId="0" fillId="0" borderId="0" xfId="0" applyAlignment="1">
      <alignment vertical="center"/>
    </xf>
    <xf numFmtId="0" fontId="1" fillId="0" borderId="0" xfId="0" applyFont="1" applyAlignment="1">
      <alignment vertical="center"/>
    </xf>
    <xf numFmtId="0" fontId="4" fillId="0" borderId="6" xfId="0" applyFont="1" applyBorder="1" applyAlignment="1">
      <alignment horizontal="right" vertical="center"/>
    </xf>
    <xf numFmtId="0" fontId="4" fillId="0" borderId="4" xfId="0" applyFont="1" applyBorder="1" applyAlignment="1">
      <alignment vertical="center"/>
    </xf>
    <xf numFmtId="0" fontId="4" fillId="0" borderId="6" xfId="0" applyFont="1" applyBorder="1" applyAlignment="1">
      <alignment horizontal="center"/>
    </xf>
    <xf numFmtId="10" fontId="4" fillId="0" borderId="6" xfId="0" applyNumberFormat="1" applyFont="1" applyBorder="1" applyAlignment="1">
      <alignment horizontal="right" vertical="center"/>
    </xf>
    <xf numFmtId="0" fontId="0" fillId="0" borderId="17" xfId="0" applyFill="1" applyBorder="1"/>
    <xf numFmtId="0" fontId="0" fillId="0" borderId="0" xfId="0" applyFill="1"/>
    <xf numFmtId="0" fontId="1" fillId="0" borderId="0" xfId="0" applyFont="1" applyFill="1"/>
    <xf numFmtId="0" fontId="24" fillId="0" borderId="2" xfId="43" applyBorder="1" applyAlignment="1" applyProtection="1">
      <alignment wrapText="1"/>
    </xf>
    <xf numFmtId="14" fontId="26" fillId="0" borderId="0" xfId="0" applyNumberFormat="1" applyFont="1" applyFill="1"/>
    <xf numFmtId="0" fontId="6" fillId="0" borderId="0" xfId="1" applyFill="1" applyAlignment="1" applyProtection="1"/>
    <xf numFmtId="0" fontId="27" fillId="0" borderId="2" xfId="0" applyFont="1" applyFill="1" applyBorder="1"/>
    <xf numFmtId="14" fontId="27" fillId="0" borderId="2" xfId="0" applyNumberFormat="1" applyFont="1" applyFill="1" applyBorder="1"/>
    <xf numFmtId="0" fontId="0" fillId="0" borderId="0" xfId="0" applyAlignment="1">
      <alignment horizontal="left" indent="1"/>
    </xf>
    <xf numFmtId="14" fontId="0" fillId="0" borderId="0" xfId="0" applyNumberFormat="1"/>
    <xf numFmtId="0" fontId="1" fillId="0" borderId="0" xfId="0" applyFont="1" applyFill="1" applyAlignment="1">
      <alignment horizontal="right"/>
    </xf>
    <xf numFmtId="14" fontId="1" fillId="35" borderId="3" xfId="0" applyNumberFormat="1" applyFont="1" applyFill="1" applyBorder="1"/>
    <xf numFmtId="0" fontId="4" fillId="35" borderId="6" xfId="0" applyFont="1" applyFill="1" applyBorder="1" applyAlignment="1">
      <alignment horizontal="right" vertical="center"/>
    </xf>
    <xf numFmtId="0" fontId="4" fillId="0" borderId="6" xfId="0" applyFont="1" applyFill="1" applyBorder="1" applyAlignment="1">
      <alignment horizontal="right" vertical="center"/>
    </xf>
    <xf numFmtId="0" fontId="0" fillId="34" borderId="18" xfId="0" applyFill="1" applyBorder="1" applyAlignment="1">
      <alignment horizontal="center"/>
    </xf>
    <xf numFmtId="0" fontId="0" fillId="34" borderId="7" xfId="0" applyFill="1" applyBorder="1" applyAlignment="1">
      <alignment horizontal="center"/>
    </xf>
    <xf numFmtId="0" fontId="0" fillId="34" borderId="4" xfId="0" applyFill="1" applyBorder="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Hyperlink 2" xfId="43"/>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
    <dxf>
      <fill>
        <patternFill>
          <bgColor rgb="FFFFC000"/>
        </patternFill>
      </fill>
    </dxf>
  </dxfs>
  <tableStyles count="0" defaultTableStyle="TableStyleMedium2" defaultPivotStyle="PivotStyleLight16"/>
  <colors>
    <mruColors>
      <color rgb="FFF2FCD0"/>
      <color rgb="FFF3DCBB"/>
      <color rgb="FFDAF39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1</xdr:col>
      <xdr:colOff>636510</xdr:colOff>
      <xdr:row>0</xdr:row>
      <xdr:rowOff>161924</xdr:rowOff>
    </xdr:from>
    <xdr:ext cx="6183390" cy="752476"/>
    <xdr:sp macro="" textlink="">
      <xdr:nvSpPr>
        <xdr:cNvPr id="2" name="Rectangle 1"/>
        <xdr:cNvSpPr/>
      </xdr:nvSpPr>
      <xdr:spPr>
        <a:xfrm>
          <a:off x="1350885" y="161924"/>
          <a:ext cx="6183390" cy="752476"/>
        </a:xfrm>
        <a:prstGeom prst="rect">
          <a:avLst/>
        </a:prstGeom>
        <a:noFill/>
      </xdr:spPr>
      <xdr:txBody>
        <a:bodyPr wrap="square" lIns="91440" tIns="45720" rIns="91440" bIns="45720">
          <a:noAutofit/>
        </a:bodyPr>
        <a:lstStyle/>
        <a:p>
          <a:pPr algn="ctr"/>
          <a:r>
            <a:rPr lang="en-US" sz="5400" b="0" cap="none" spc="0">
              <a:ln w="18415" cmpd="sng">
                <a:solidFill>
                  <a:sysClr val="windowText" lastClr="000000"/>
                </a:solidFill>
                <a:prstDash val="solid"/>
              </a:ln>
              <a:solidFill>
                <a:schemeClr val="bg1">
                  <a:lumMod val="75000"/>
                </a:schemeClr>
              </a:solidFill>
              <a:effectLst/>
              <a:latin typeface="+mn-lt"/>
            </a:rPr>
            <a:t>TRA</a:t>
          </a:r>
          <a:r>
            <a:rPr lang="en-US" sz="5400" b="0" cap="none" spc="0">
              <a:ln w="18415" cmpd="sng">
                <a:solidFill>
                  <a:sysClr val="windowText" lastClr="000000"/>
                </a:solidFill>
                <a:prstDash val="solid"/>
              </a:ln>
              <a:solidFill>
                <a:schemeClr val="tx2">
                  <a:lumMod val="20000"/>
                  <a:lumOff val="80000"/>
                </a:schemeClr>
              </a:solidFill>
              <a:effectLst/>
              <a:latin typeface="+mn-lt"/>
            </a:rPr>
            <a:t>IANA</a:t>
          </a:r>
          <a:r>
            <a:rPr lang="en-US" sz="5400" b="0" cap="none" spc="0">
              <a:ln w="18415" cmpd="sng">
                <a:solidFill>
                  <a:sysClr val="windowText" lastClr="000000"/>
                </a:solidFill>
                <a:prstDash val="solid"/>
              </a:ln>
              <a:solidFill>
                <a:srgbClr val="FFFFFF"/>
              </a:solidFill>
              <a:effectLst/>
              <a:latin typeface="+mn-lt"/>
            </a:rPr>
            <a:t> </a:t>
          </a:r>
          <a:r>
            <a:rPr lang="en-US" sz="5400" b="0" cap="none" spc="0">
              <a:ln w="18415" cmpd="sng">
                <a:solidFill>
                  <a:sysClr val="windowText" lastClr="000000"/>
                </a:solidFill>
                <a:prstDash val="solid"/>
              </a:ln>
              <a:solidFill>
                <a:schemeClr val="accent2">
                  <a:lumMod val="40000"/>
                  <a:lumOff val="60000"/>
                </a:schemeClr>
              </a:solidFill>
              <a:effectLst/>
              <a:latin typeface="+mn-lt"/>
            </a:rPr>
            <a:t>MA</a:t>
          </a:r>
          <a:r>
            <a:rPr lang="en-US" sz="5400" b="0" cap="none" spc="0">
              <a:ln w="18415" cmpd="sng">
                <a:solidFill>
                  <a:sysClr val="windowText" lastClr="000000"/>
                </a:solidFill>
                <a:prstDash val="solid"/>
              </a:ln>
              <a:solidFill>
                <a:srgbClr val="F2FCD0"/>
              </a:solidFill>
              <a:effectLst/>
              <a:latin typeface="+mn-lt"/>
            </a:rPr>
            <a:t>CRO</a:t>
          </a:r>
        </a:p>
      </xdr:txBody>
    </xdr:sp>
    <xdr:clientData/>
  </xdr:oneCellAnchor>
  <xdr:twoCellAnchor editAs="oneCell">
    <xdr:from>
      <xdr:col>11</xdr:col>
      <xdr:colOff>285750</xdr:colOff>
      <xdr:row>7</xdr:row>
      <xdr:rowOff>0</xdr:rowOff>
    </xdr:from>
    <xdr:to>
      <xdr:col>12</xdr:col>
      <xdr:colOff>85725</xdr:colOff>
      <xdr:row>9</xdr:row>
      <xdr:rowOff>9525</xdr:rowOff>
    </xdr:to>
    <xdr:pic macro="[0]!Raw_Dump_file1">
      <xdr:nvPicPr>
        <xdr:cNvPr id="6" name="Picture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96150" y="1333500"/>
          <a:ext cx="409575" cy="409575"/>
        </a:xfrm>
        <a:prstGeom prst="rect">
          <a:avLst/>
        </a:prstGeom>
      </xdr:spPr>
    </xdr:pic>
    <xdr:clientData/>
  </xdr:twoCellAnchor>
  <xdr:twoCellAnchor editAs="oneCell">
    <xdr:from>
      <xdr:col>11</xdr:col>
      <xdr:colOff>276225</xdr:colOff>
      <xdr:row>10</xdr:row>
      <xdr:rowOff>57150</xdr:rowOff>
    </xdr:from>
    <xdr:to>
      <xdr:col>12</xdr:col>
      <xdr:colOff>76200</xdr:colOff>
      <xdr:row>12</xdr:row>
      <xdr:rowOff>66675</xdr:rowOff>
    </xdr:to>
    <xdr:pic macro="[0]!Raw_Dump_file2">
      <xdr:nvPicPr>
        <xdr:cNvPr id="8" name="Picture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86625" y="1962150"/>
          <a:ext cx="409575" cy="409575"/>
        </a:xfrm>
        <a:prstGeom prst="rect">
          <a:avLst/>
        </a:prstGeom>
      </xdr:spPr>
    </xdr:pic>
    <xdr:clientData/>
  </xdr:twoCellAnchor>
  <xdr:twoCellAnchor>
    <xdr:from>
      <xdr:col>2</xdr:col>
      <xdr:colOff>376237</xdr:colOff>
      <xdr:row>16</xdr:row>
      <xdr:rowOff>76200</xdr:rowOff>
    </xdr:from>
    <xdr:to>
      <xdr:col>2</xdr:col>
      <xdr:colOff>376237</xdr:colOff>
      <xdr:row>18</xdr:row>
      <xdr:rowOff>19050</xdr:rowOff>
    </xdr:to>
    <xdr:cxnSp macro="">
      <xdr:nvCxnSpPr>
        <xdr:cNvPr id="7" name="Straight Arrow Connector 6"/>
        <xdr:cNvCxnSpPr>
          <a:stCxn id="5" idx="2"/>
          <a:endCxn id="23" idx="0"/>
        </xdr:cNvCxnSpPr>
      </xdr:nvCxnSpPr>
      <xdr:spPr>
        <a:xfrm>
          <a:off x="2005012" y="3124200"/>
          <a:ext cx="0" cy="32385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376237</xdr:colOff>
      <xdr:row>20</xdr:row>
      <xdr:rowOff>85725</xdr:rowOff>
    </xdr:from>
    <xdr:to>
      <xdr:col>2</xdr:col>
      <xdr:colOff>376237</xdr:colOff>
      <xdr:row>22</xdr:row>
      <xdr:rowOff>19050</xdr:rowOff>
    </xdr:to>
    <xdr:cxnSp macro="">
      <xdr:nvCxnSpPr>
        <xdr:cNvPr id="17" name="Straight Arrow Connector 16"/>
        <xdr:cNvCxnSpPr>
          <a:stCxn id="23" idx="2"/>
          <a:endCxn id="25" idx="0"/>
        </xdr:cNvCxnSpPr>
      </xdr:nvCxnSpPr>
      <xdr:spPr>
        <a:xfrm>
          <a:off x="2005012" y="3895725"/>
          <a:ext cx="0" cy="3143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33337</xdr:colOff>
      <xdr:row>16</xdr:row>
      <xdr:rowOff>95250</xdr:rowOff>
    </xdr:from>
    <xdr:to>
      <xdr:col>8</xdr:col>
      <xdr:colOff>33337</xdr:colOff>
      <xdr:row>18</xdr:row>
      <xdr:rowOff>57150</xdr:rowOff>
    </xdr:to>
    <xdr:cxnSp macro="">
      <xdr:nvCxnSpPr>
        <xdr:cNvPr id="27" name="Straight Arrow Connector 26"/>
        <xdr:cNvCxnSpPr/>
      </xdr:nvCxnSpPr>
      <xdr:spPr>
        <a:xfrm>
          <a:off x="5319712" y="3143250"/>
          <a:ext cx="0" cy="34290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41910</xdr:colOff>
      <xdr:row>20</xdr:row>
      <xdr:rowOff>104775</xdr:rowOff>
    </xdr:from>
    <xdr:to>
      <xdr:col>8</xdr:col>
      <xdr:colOff>42862</xdr:colOff>
      <xdr:row>22</xdr:row>
      <xdr:rowOff>28575</xdr:rowOff>
    </xdr:to>
    <xdr:cxnSp macro="">
      <xdr:nvCxnSpPr>
        <xdr:cNvPr id="30" name="Straight Arrow Connector 29"/>
        <xdr:cNvCxnSpPr/>
      </xdr:nvCxnSpPr>
      <xdr:spPr>
        <a:xfrm flipH="1">
          <a:off x="5328285" y="3914775"/>
          <a:ext cx="952" cy="30480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238125</xdr:colOff>
      <xdr:row>19</xdr:row>
      <xdr:rowOff>42862</xdr:rowOff>
    </xdr:from>
    <xdr:to>
      <xdr:col>10</xdr:col>
      <xdr:colOff>533399</xdr:colOff>
      <xdr:row>23</xdr:row>
      <xdr:rowOff>95250</xdr:rowOff>
    </xdr:to>
    <xdr:cxnSp macro="">
      <xdr:nvCxnSpPr>
        <xdr:cNvPr id="49" name="Elbow Connector 48"/>
        <xdr:cNvCxnSpPr>
          <a:stCxn id="60" idx="3"/>
          <a:endCxn id="61" idx="1"/>
        </xdr:cNvCxnSpPr>
      </xdr:nvCxnSpPr>
      <xdr:spPr>
        <a:xfrm flipV="1">
          <a:off x="6134100" y="3662362"/>
          <a:ext cx="904874" cy="814388"/>
        </a:xfrm>
        <a:prstGeom prst="bentConnector3">
          <a:avLst>
            <a:gd name="adj1" fmla="val 50000"/>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95250</xdr:colOff>
      <xdr:row>1</xdr:row>
      <xdr:rowOff>161925</xdr:rowOff>
    </xdr:from>
    <xdr:to>
      <xdr:col>10</xdr:col>
      <xdr:colOff>600075</xdr:colOff>
      <xdr:row>5</xdr:row>
      <xdr:rowOff>9525</xdr:rowOff>
    </xdr:to>
    <xdr:sp macro="" textlink="">
      <xdr:nvSpPr>
        <xdr:cNvPr id="52" name="Double Bracket 51"/>
        <xdr:cNvSpPr/>
      </xdr:nvSpPr>
      <xdr:spPr>
        <a:xfrm>
          <a:off x="1724025" y="352425"/>
          <a:ext cx="5381625" cy="609600"/>
        </a:xfrm>
        <a:prstGeom prst="bracketPair">
          <a:avLst/>
        </a:prstGeom>
        <a:effectLst>
          <a:outerShdw blurRad="50800" dist="38100" dir="10800000" algn="r" rotWithShape="0">
            <a:prstClr val="black">
              <a:alpha val="40000"/>
            </a:prstClr>
          </a:outerShdw>
        </a:effectLst>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504825</xdr:colOff>
      <xdr:row>13</xdr:row>
      <xdr:rowOff>142875</xdr:rowOff>
    </xdr:from>
    <xdr:to>
      <xdr:col>3</xdr:col>
      <xdr:colOff>581025</xdr:colOff>
      <xdr:row>16</xdr:row>
      <xdr:rowOff>123825</xdr:rowOff>
    </xdr:to>
    <xdr:grpSp>
      <xdr:nvGrpSpPr>
        <xdr:cNvPr id="62" name="Group 61"/>
        <xdr:cNvGrpSpPr/>
      </xdr:nvGrpSpPr>
      <xdr:grpSpPr>
        <a:xfrm>
          <a:off x="1219200" y="2676525"/>
          <a:ext cx="1914525" cy="552450"/>
          <a:chOff x="828675" y="2619375"/>
          <a:chExt cx="1600200" cy="552450"/>
        </a:xfrm>
      </xdr:grpSpPr>
      <xdr:sp macro="[0]!Commenting.Commenting" textlink="">
        <xdr:nvSpPr>
          <xdr:cNvPr id="5" name="Rectangle 4"/>
          <xdr:cNvSpPr/>
        </xdr:nvSpPr>
        <xdr:spPr>
          <a:xfrm>
            <a:off x="904874" y="2676525"/>
            <a:ext cx="1419226" cy="44767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t>RUN RAW DUMP 1</a:t>
            </a:r>
          </a:p>
        </xdr:txBody>
      </xdr:sp>
      <xdr:sp macro="" textlink="">
        <xdr:nvSpPr>
          <xdr:cNvPr id="53" name="Double Bracket 52"/>
          <xdr:cNvSpPr/>
        </xdr:nvSpPr>
        <xdr:spPr>
          <a:xfrm>
            <a:off x="828675" y="2619375"/>
            <a:ext cx="1600200" cy="552450"/>
          </a:xfrm>
          <a:prstGeom prst="bracketPair">
            <a:avLst/>
          </a:pr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485775</xdr:colOff>
      <xdr:row>17</xdr:row>
      <xdr:rowOff>161925</xdr:rowOff>
    </xdr:from>
    <xdr:to>
      <xdr:col>3</xdr:col>
      <xdr:colOff>561975</xdr:colOff>
      <xdr:row>20</xdr:row>
      <xdr:rowOff>142875</xdr:rowOff>
    </xdr:to>
    <xdr:grpSp>
      <xdr:nvGrpSpPr>
        <xdr:cNvPr id="69" name="Group 68"/>
        <xdr:cNvGrpSpPr/>
      </xdr:nvGrpSpPr>
      <xdr:grpSpPr>
        <a:xfrm>
          <a:off x="1200150" y="3457575"/>
          <a:ext cx="1914525" cy="552450"/>
          <a:chOff x="809625" y="3400425"/>
          <a:chExt cx="1600200" cy="552450"/>
        </a:xfrm>
      </xdr:grpSpPr>
      <xdr:sp macro="[0]!CommentsMailDraft_Raw1" textlink="">
        <xdr:nvSpPr>
          <xdr:cNvPr id="23" name="Rectangle 22"/>
          <xdr:cNvSpPr/>
        </xdr:nvSpPr>
        <xdr:spPr>
          <a:xfrm>
            <a:off x="904874" y="3448050"/>
            <a:ext cx="1419226" cy="4476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1"/>
              <a:t>RUN RAW DUMP 1 Comment Mail Darft</a:t>
            </a:r>
          </a:p>
        </xdr:txBody>
      </xdr:sp>
      <xdr:sp macro="" textlink="">
        <xdr:nvSpPr>
          <xdr:cNvPr id="56" name="Double Bracket 55"/>
          <xdr:cNvSpPr/>
        </xdr:nvSpPr>
        <xdr:spPr>
          <a:xfrm>
            <a:off x="809625" y="3400425"/>
            <a:ext cx="1600200" cy="552450"/>
          </a:xfrm>
          <a:prstGeom prst="bracketPair">
            <a:avLst/>
          </a:prstGeom>
        </xdr:spPr>
        <xdr:style>
          <a:lnRef idx="3">
            <a:schemeClr val="accent1"/>
          </a:lnRef>
          <a:fillRef idx="0">
            <a:schemeClr val="accent1"/>
          </a:fillRef>
          <a:effectRef idx="2">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1</xdr:col>
      <xdr:colOff>495300</xdr:colOff>
      <xdr:row>21</xdr:row>
      <xdr:rowOff>161925</xdr:rowOff>
    </xdr:from>
    <xdr:to>
      <xdr:col>3</xdr:col>
      <xdr:colOff>571500</xdr:colOff>
      <xdr:row>24</xdr:row>
      <xdr:rowOff>142875</xdr:rowOff>
    </xdr:to>
    <xdr:grpSp>
      <xdr:nvGrpSpPr>
        <xdr:cNvPr id="72" name="Group 71"/>
        <xdr:cNvGrpSpPr/>
      </xdr:nvGrpSpPr>
      <xdr:grpSpPr>
        <a:xfrm>
          <a:off x="1209675" y="4219575"/>
          <a:ext cx="1914525" cy="552450"/>
          <a:chOff x="819150" y="4162425"/>
          <a:chExt cx="1600200" cy="552450"/>
        </a:xfrm>
      </xdr:grpSpPr>
      <xdr:sp macro="[0]!RecapcountDump1" textlink="">
        <xdr:nvSpPr>
          <xdr:cNvPr id="25" name="Rectangle 24"/>
          <xdr:cNvSpPr/>
        </xdr:nvSpPr>
        <xdr:spPr>
          <a:xfrm>
            <a:off x="904874" y="4210050"/>
            <a:ext cx="1419226" cy="4476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Dump</a:t>
            </a:r>
            <a:r>
              <a:rPr lang="en-US" sz="1100" b="1" baseline="0"/>
              <a:t> 1 REACAP Mail Draft</a:t>
            </a:r>
            <a:endParaRPr lang="en-US" sz="1100" b="1"/>
          </a:p>
        </xdr:txBody>
      </xdr:sp>
      <xdr:sp macro="" textlink="">
        <xdr:nvSpPr>
          <xdr:cNvPr id="57" name="Double Bracket 56"/>
          <xdr:cNvSpPr/>
        </xdr:nvSpPr>
        <xdr:spPr>
          <a:xfrm>
            <a:off x="819150" y="4162425"/>
            <a:ext cx="1600200" cy="552450"/>
          </a:xfrm>
          <a:prstGeom prst="bracketPair">
            <a:avLst/>
          </a:prstGeom>
        </xdr:spPr>
        <xdr:style>
          <a:lnRef idx="3">
            <a:schemeClr val="accent6"/>
          </a:lnRef>
          <a:fillRef idx="0">
            <a:schemeClr val="accent6"/>
          </a:fillRef>
          <a:effectRef idx="2">
            <a:schemeClr val="accent6"/>
          </a:effectRef>
          <a:fontRef idx="minor">
            <a:schemeClr val="tx1"/>
          </a:fontRef>
        </xdr:style>
        <xdr:txBody>
          <a:bodyPr vertOverflow="clip" horzOverflow="clip" rtlCol="0" anchor="t"/>
          <a:lstStyle/>
          <a:p>
            <a:pPr algn="l"/>
            <a:endParaRPr lang="en-US" sz="1100"/>
          </a:p>
        </xdr:txBody>
      </xdr:sp>
    </xdr:grpSp>
    <xdr:clientData/>
  </xdr:twoCellAnchor>
  <xdr:twoCellAnchor>
    <xdr:from>
      <xdr:col>6</xdr:col>
      <xdr:colOff>447675</xdr:colOff>
      <xdr:row>13</xdr:row>
      <xdr:rowOff>142875</xdr:rowOff>
    </xdr:from>
    <xdr:to>
      <xdr:col>9</xdr:col>
      <xdr:colOff>219075</xdr:colOff>
      <xdr:row>16</xdr:row>
      <xdr:rowOff>123825</xdr:rowOff>
    </xdr:to>
    <xdr:grpSp>
      <xdr:nvGrpSpPr>
        <xdr:cNvPr id="65" name="Group 64"/>
        <xdr:cNvGrpSpPr/>
      </xdr:nvGrpSpPr>
      <xdr:grpSpPr>
        <a:xfrm>
          <a:off x="4829175" y="2676525"/>
          <a:ext cx="1876425" cy="552450"/>
          <a:chOff x="4514850" y="2619375"/>
          <a:chExt cx="1600200" cy="552450"/>
        </a:xfrm>
      </xdr:grpSpPr>
      <xdr:sp macro="[0]!Commenting1" textlink="">
        <xdr:nvSpPr>
          <xdr:cNvPr id="22" name="Rectangle 21"/>
          <xdr:cNvSpPr/>
        </xdr:nvSpPr>
        <xdr:spPr>
          <a:xfrm>
            <a:off x="4600574" y="2667000"/>
            <a:ext cx="1419226" cy="44767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100" b="1"/>
              <a:t>RUN RAW DUMP 2</a:t>
            </a:r>
          </a:p>
        </xdr:txBody>
      </xdr:sp>
      <xdr:sp macro="" textlink="">
        <xdr:nvSpPr>
          <xdr:cNvPr id="58" name="Double Bracket 57"/>
          <xdr:cNvSpPr/>
        </xdr:nvSpPr>
        <xdr:spPr>
          <a:xfrm>
            <a:off x="4514850" y="2619375"/>
            <a:ext cx="1600200" cy="552450"/>
          </a:xfrm>
          <a:prstGeom prst="bracketPair">
            <a:avLst/>
          </a:pr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n-US" sz="1100"/>
          </a:p>
        </xdr:txBody>
      </xdr:sp>
    </xdr:grpSp>
    <xdr:clientData/>
  </xdr:twoCellAnchor>
  <xdr:twoCellAnchor>
    <xdr:from>
      <xdr:col>6</xdr:col>
      <xdr:colOff>466725</xdr:colOff>
      <xdr:row>17</xdr:row>
      <xdr:rowOff>180975</xdr:rowOff>
    </xdr:from>
    <xdr:to>
      <xdr:col>9</xdr:col>
      <xdr:colOff>238125</xdr:colOff>
      <xdr:row>20</xdr:row>
      <xdr:rowOff>161925</xdr:rowOff>
    </xdr:to>
    <xdr:grpSp>
      <xdr:nvGrpSpPr>
        <xdr:cNvPr id="70" name="Group 69"/>
        <xdr:cNvGrpSpPr/>
      </xdr:nvGrpSpPr>
      <xdr:grpSpPr>
        <a:xfrm>
          <a:off x="4848225" y="3476625"/>
          <a:ext cx="1876425" cy="552450"/>
          <a:chOff x="4524375" y="3400425"/>
          <a:chExt cx="1600200" cy="552450"/>
        </a:xfrm>
      </xdr:grpSpPr>
      <xdr:sp macro="[0]!CommentsMailDraft_Raw2" textlink="">
        <xdr:nvSpPr>
          <xdr:cNvPr id="24" name="Rectangle 23"/>
          <xdr:cNvSpPr/>
        </xdr:nvSpPr>
        <xdr:spPr>
          <a:xfrm>
            <a:off x="4600574" y="3457575"/>
            <a:ext cx="1419226" cy="4476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1"/>
              <a:t>RUN RAW DUMP 2 Comment Mail Darft</a:t>
            </a:r>
          </a:p>
        </xdr:txBody>
      </xdr:sp>
      <xdr:sp macro="" textlink="">
        <xdr:nvSpPr>
          <xdr:cNvPr id="59" name="Double Bracket 58"/>
          <xdr:cNvSpPr/>
        </xdr:nvSpPr>
        <xdr:spPr>
          <a:xfrm>
            <a:off x="4524375" y="3400425"/>
            <a:ext cx="1600200" cy="552450"/>
          </a:xfrm>
          <a:prstGeom prst="bracketPair">
            <a:avLst/>
          </a:prstGeom>
        </xdr:spPr>
        <xdr:style>
          <a:lnRef idx="3">
            <a:schemeClr val="accent1"/>
          </a:lnRef>
          <a:fillRef idx="0">
            <a:schemeClr val="accent1"/>
          </a:fillRef>
          <a:effectRef idx="2">
            <a:schemeClr val="accent1"/>
          </a:effectRef>
          <a:fontRef idx="minor">
            <a:schemeClr val="tx1"/>
          </a:fontRef>
        </xdr:style>
        <xdr:txBody>
          <a:bodyPr vertOverflow="clip" horzOverflow="clip" rtlCol="0" anchor="t"/>
          <a:lstStyle/>
          <a:p>
            <a:pPr algn="l"/>
            <a:endParaRPr lang="en-US" sz="1100"/>
          </a:p>
        </xdr:txBody>
      </xdr:sp>
    </xdr:grpSp>
    <xdr:clientData/>
  </xdr:twoCellAnchor>
  <xdr:twoCellAnchor>
    <xdr:from>
      <xdr:col>6</xdr:col>
      <xdr:colOff>466725</xdr:colOff>
      <xdr:row>22</xdr:row>
      <xdr:rowOff>9525</xdr:rowOff>
    </xdr:from>
    <xdr:to>
      <xdr:col>9</xdr:col>
      <xdr:colOff>238125</xdr:colOff>
      <xdr:row>24</xdr:row>
      <xdr:rowOff>180975</xdr:rowOff>
    </xdr:to>
    <xdr:grpSp>
      <xdr:nvGrpSpPr>
        <xdr:cNvPr id="73" name="Group 72"/>
        <xdr:cNvGrpSpPr/>
      </xdr:nvGrpSpPr>
      <xdr:grpSpPr>
        <a:xfrm>
          <a:off x="4848225" y="4257675"/>
          <a:ext cx="1876425" cy="552450"/>
          <a:chOff x="4505325" y="4162425"/>
          <a:chExt cx="1600200" cy="552450"/>
        </a:xfrm>
      </xdr:grpSpPr>
      <xdr:sp macro="[0]!Recapcount" textlink="">
        <xdr:nvSpPr>
          <xdr:cNvPr id="26" name="Rectangle 25"/>
          <xdr:cNvSpPr/>
        </xdr:nvSpPr>
        <xdr:spPr>
          <a:xfrm>
            <a:off x="4600575" y="4210050"/>
            <a:ext cx="1417320" cy="44767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US" sz="1100" b="1"/>
              <a:t>Dump</a:t>
            </a:r>
            <a:r>
              <a:rPr lang="en-US" sz="1100" b="1" baseline="0"/>
              <a:t> 2 REACAP Mail Draft</a:t>
            </a:r>
            <a:endParaRPr lang="en-US" sz="1100" b="1"/>
          </a:p>
        </xdr:txBody>
      </xdr:sp>
      <xdr:sp macro="" textlink="">
        <xdr:nvSpPr>
          <xdr:cNvPr id="60" name="Double Bracket 59"/>
          <xdr:cNvSpPr/>
        </xdr:nvSpPr>
        <xdr:spPr>
          <a:xfrm>
            <a:off x="4505325" y="4162425"/>
            <a:ext cx="1600200" cy="552450"/>
          </a:xfrm>
          <a:prstGeom prst="bracketPair">
            <a:avLst/>
          </a:prstGeom>
        </xdr:spPr>
        <xdr:style>
          <a:lnRef idx="3">
            <a:schemeClr val="accent6"/>
          </a:lnRef>
          <a:fillRef idx="0">
            <a:schemeClr val="accent6"/>
          </a:fillRef>
          <a:effectRef idx="2">
            <a:schemeClr val="accent6"/>
          </a:effectRef>
          <a:fontRef idx="minor">
            <a:schemeClr val="tx1"/>
          </a:fontRef>
        </xdr:style>
        <xdr:txBody>
          <a:bodyPr vertOverflow="clip" horzOverflow="clip" rtlCol="0" anchor="t"/>
          <a:lstStyle/>
          <a:p>
            <a:pPr algn="l"/>
            <a:endParaRPr lang="en-US" sz="1100"/>
          </a:p>
        </xdr:txBody>
      </xdr:sp>
    </xdr:grpSp>
    <xdr:clientData/>
  </xdr:twoCellAnchor>
  <xdr:twoCellAnchor>
    <xdr:from>
      <xdr:col>10</xdr:col>
      <xdr:colOff>533399</xdr:colOff>
      <xdr:row>17</xdr:row>
      <xdr:rowOff>142874</xdr:rowOff>
    </xdr:from>
    <xdr:to>
      <xdr:col>13</xdr:col>
      <xdr:colOff>342899</xdr:colOff>
      <xdr:row>20</xdr:row>
      <xdr:rowOff>133349</xdr:rowOff>
    </xdr:to>
    <xdr:grpSp>
      <xdr:nvGrpSpPr>
        <xdr:cNvPr id="71" name="Group 70"/>
        <xdr:cNvGrpSpPr/>
      </xdr:nvGrpSpPr>
      <xdr:grpSpPr>
        <a:xfrm>
          <a:off x="7629524" y="3438524"/>
          <a:ext cx="1781175" cy="561975"/>
          <a:chOff x="7038974" y="3381374"/>
          <a:chExt cx="1781175" cy="561975"/>
        </a:xfrm>
      </xdr:grpSpPr>
      <xdr:sp macro="[0]!WeekRecapUpdate" textlink="">
        <xdr:nvSpPr>
          <xdr:cNvPr id="19" name="Rectangle 18"/>
          <xdr:cNvSpPr/>
        </xdr:nvSpPr>
        <xdr:spPr>
          <a:xfrm>
            <a:off x="7162800" y="3429000"/>
            <a:ext cx="1562100" cy="447675"/>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b="1"/>
              <a:t>Weekly EOD REACAP</a:t>
            </a:r>
            <a:r>
              <a:rPr lang="en-US" sz="1100" b="1" baseline="0"/>
              <a:t> Mail</a:t>
            </a:r>
          </a:p>
        </xdr:txBody>
      </xdr:sp>
      <xdr:sp macro="" textlink="">
        <xdr:nvSpPr>
          <xdr:cNvPr id="61" name="Double Bracket 60"/>
          <xdr:cNvSpPr/>
        </xdr:nvSpPr>
        <xdr:spPr>
          <a:xfrm>
            <a:off x="7038974" y="3381374"/>
            <a:ext cx="1781175" cy="561975"/>
          </a:xfrm>
          <a:prstGeom prst="bracketPair">
            <a:avLst/>
          </a:prstGeom>
        </xdr:spPr>
        <xdr:style>
          <a:lnRef idx="2">
            <a:schemeClr val="dk1"/>
          </a:lnRef>
          <a:fillRef idx="0">
            <a:schemeClr val="dk1"/>
          </a:fillRef>
          <a:effectRef idx="1">
            <a:schemeClr val="dk1"/>
          </a:effectRef>
          <a:fontRef idx="minor">
            <a:schemeClr val="tx1"/>
          </a:fontRef>
        </xdr:style>
        <xdr:txBody>
          <a:bodyPr vertOverflow="clip" horzOverflow="clip" rtlCol="0" anchor="t"/>
          <a:lstStyle/>
          <a:p>
            <a:pPr algn="l"/>
            <a:endParaRPr lang="en-US" sz="1100"/>
          </a:p>
        </xdr:txBody>
      </xdr:sp>
    </xdr:grpSp>
    <xdr:clientData/>
  </xdr:twoCellAnchor>
  <xdr:twoCellAnchor>
    <xdr:from>
      <xdr:col>9</xdr:col>
      <xdr:colOff>219076</xdr:colOff>
      <xdr:row>12</xdr:row>
      <xdr:rowOff>85724</xdr:rowOff>
    </xdr:from>
    <xdr:to>
      <xdr:col>11</xdr:col>
      <xdr:colOff>481014</xdr:colOff>
      <xdr:row>15</xdr:row>
      <xdr:rowOff>38099</xdr:rowOff>
    </xdr:to>
    <xdr:cxnSp macro="">
      <xdr:nvCxnSpPr>
        <xdr:cNvPr id="92" name="Elbow Connector 91"/>
        <xdr:cNvCxnSpPr>
          <a:stCxn id="8" idx="2"/>
          <a:endCxn id="58" idx="3"/>
        </xdr:cNvCxnSpPr>
      </xdr:nvCxnSpPr>
      <xdr:spPr>
        <a:xfrm rot="5400000">
          <a:off x="6593682" y="1893093"/>
          <a:ext cx="523875" cy="1481138"/>
        </a:xfrm>
        <a:prstGeom prst="bentConnector2">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276224</xdr:colOff>
      <xdr:row>5</xdr:row>
      <xdr:rowOff>47625</xdr:rowOff>
    </xdr:from>
    <xdr:to>
      <xdr:col>13</xdr:col>
      <xdr:colOff>523875</xdr:colOff>
      <xdr:row>8</xdr:row>
      <xdr:rowOff>180975</xdr:rowOff>
    </xdr:to>
    <xdr:sp macro="" textlink="">
      <xdr:nvSpPr>
        <xdr:cNvPr id="97" name="Rounded Rectangular Callout 96"/>
        <xdr:cNvSpPr/>
      </xdr:nvSpPr>
      <xdr:spPr>
        <a:xfrm>
          <a:off x="8000999" y="1000125"/>
          <a:ext cx="1000126" cy="704850"/>
        </a:xfrm>
        <a:prstGeom prst="wedgeRoundRectCallout">
          <a:avLst>
            <a:gd name="adj1" fmla="val -66184"/>
            <a:gd name="adj2" fmla="val 35833"/>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Step1:</a:t>
          </a:r>
        </a:p>
        <a:p>
          <a:pPr algn="l"/>
          <a:r>
            <a:rPr lang="en-US" sz="800"/>
            <a:t>click</a:t>
          </a:r>
          <a:r>
            <a:rPr lang="en-US" sz="800" baseline="0"/>
            <a:t> on button and select the Raw Dump.</a:t>
          </a:r>
        </a:p>
      </xdr:txBody>
    </xdr:sp>
    <xdr:clientData/>
  </xdr:twoCellAnchor>
  <xdr:twoCellAnchor>
    <xdr:from>
      <xdr:col>0</xdr:col>
      <xdr:colOff>47624</xdr:colOff>
      <xdr:row>12</xdr:row>
      <xdr:rowOff>123825</xdr:rowOff>
    </xdr:from>
    <xdr:to>
      <xdr:col>1</xdr:col>
      <xdr:colOff>333375</xdr:colOff>
      <xdr:row>16</xdr:row>
      <xdr:rowOff>66675</xdr:rowOff>
    </xdr:to>
    <xdr:sp macro="" textlink="">
      <xdr:nvSpPr>
        <xdr:cNvPr id="98" name="Rounded Rectangular Callout 97"/>
        <xdr:cNvSpPr/>
      </xdr:nvSpPr>
      <xdr:spPr>
        <a:xfrm>
          <a:off x="47624" y="2409825"/>
          <a:ext cx="1000126" cy="704850"/>
        </a:xfrm>
        <a:prstGeom prst="wedgeRoundRectCallout">
          <a:avLst>
            <a:gd name="adj1" fmla="val 67149"/>
            <a:gd name="adj2" fmla="val 30428"/>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Step2:</a:t>
          </a:r>
        </a:p>
        <a:p>
          <a:pPr algn="l"/>
          <a:r>
            <a:rPr lang="en-US" sz="800"/>
            <a:t>click</a:t>
          </a:r>
          <a:r>
            <a:rPr lang="en-US" sz="800" baseline="0"/>
            <a:t> on button and select the Raw Dump.</a:t>
          </a:r>
        </a:p>
      </xdr:txBody>
    </xdr:sp>
    <xdr:clientData/>
  </xdr:twoCellAnchor>
  <xdr:twoCellAnchor>
    <xdr:from>
      <xdr:col>0</xdr:col>
      <xdr:colOff>57149</xdr:colOff>
      <xdr:row>22</xdr:row>
      <xdr:rowOff>123824</xdr:rowOff>
    </xdr:from>
    <xdr:to>
      <xdr:col>1</xdr:col>
      <xdr:colOff>342900</xdr:colOff>
      <xdr:row>27</xdr:row>
      <xdr:rowOff>133350</xdr:rowOff>
    </xdr:to>
    <xdr:sp macro="" textlink="">
      <xdr:nvSpPr>
        <xdr:cNvPr id="99" name="Rounded Rectangular Callout 98"/>
        <xdr:cNvSpPr/>
      </xdr:nvSpPr>
      <xdr:spPr>
        <a:xfrm>
          <a:off x="57149" y="4314824"/>
          <a:ext cx="1000126" cy="962026"/>
        </a:xfrm>
        <a:prstGeom prst="wedgeRoundRectCallout">
          <a:avLst>
            <a:gd name="adj1" fmla="val 61434"/>
            <a:gd name="adj2" fmla="val -44377"/>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Step3:</a:t>
          </a:r>
        </a:p>
        <a:p>
          <a:pPr algn="l"/>
          <a:r>
            <a:rPr lang="en-US" sz="800"/>
            <a:t>Before click check comments in sheet. then</a:t>
          </a:r>
        </a:p>
        <a:p>
          <a:pPr algn="l"/>
          <a:r>
            <a:rPr lang="en-US" sz="800"/>
            <a:t>click</a:t>
          </a:r>
          <a:r>
            <a:rPr lang="en-US" sz="800" baseline="0"/>
            <a:t> on button  for mail draft.</a:t>
          </a:r>
        </a:p>
      </xdr:txBody>
    </xdr:sp>
    <xdr:clientData/>
  </xdr:twoCellAnchor>
  <xdr:twoCellAnchor>
    <xdr:from>
      <xdr:col>0</xdr:col>
      <xdr:colOff>57149</xdr:colOff>
      <xdr:row>16</xdr:row>
      <xdr:rowOff>190499</xdr:rowOff>
    </xdr:from>
    <xdr:to>
      <xdr:col>1</xdr:col>
      <xdr:colOff>342900</xdr:colOff>
      <xdr:row>21</xdr:row>
      <xdr:rowOff>104774</xdr:rowOff>
    </xdr:to>
    <xdr:sp macro="" textlink="">
      <xdr:nvSpPr>
        <xdr:cNvPr id="100" name="Rounded Rectangular Callout 99"/>
        <xdr:cNvSpPr/>
      </xdr:nvSpPr>
      <xdr:spPr>
        <a:xfrm>
          <a:off x="57149" y="3238499"/>
          <a:ext cx="1000126" cy="866775"/>
        </a:xfrm>
        <a:prstGeom prst="wedgeRoundRectCallout">
          <a:avLst>
            <a:gd name="adj1" fmla="val 59531"/>
            <a:gd name="adj2" fmla="val -193"/>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Step4:</a:t>
          </a:r>
        </a:p>
        <a:p>
          <a:pPr algn="l"/>
          <a:r>
            <a:rPr lang="en-US" sz="800"/>
            <a:t>click</a:t>
          </a:r>
          <a:r>
            <a:rPr lang="en-US" sz="800" baseline="0"/>
            <a:t> on Dump1 Reacap mail draft button to create reacap mail</a:t>
          </a:r>
        </a:p>
      </xdr:txBody>
    </xdr:sp>
    <xdr:clientData/>
  </xdr:twoCellAnchor>
  <xdr:twoCellAnchor>
    <xdr:from>
      <xdr:col>12</xdr:col>
      <xdr:colOff>371474</xdr:colOff>
      <xdr:row>10</xdr:row>
      <xdr:rowOff>104775</xdr:rowOff>
    </xdr:from>
    <xdr:to>
      <xdr:col>13</xdr:col>
      <xdr:colOff>619125</xdr:colOff>
      <xdr:row>14</xdr:row>
      <xdr:rowOff>161925</xdr:rowOff>
    </xdr:to>
    <xdr:sp macro="" textlink="">
      <xdr:nvSpPr>
        <xdr:cNvPr id="101" name="Rounded Rectangular Callout 100"/>
        <xdr:cNvSpPr/>
      </xdr:nvSpPr>
      <xdr:spPr>
        <a:xfrm>
          <a:off x="8096249" y="2009775"/>
          <a:ext cx="1000126" cy="819150"/>
        </a:xfrm>
        <a:prstGeom prst="wedgeRoundRectCallout">
          <a:avLst>
            <a:gd name="adj1" fmla="val -75708"/>
            <a:gd name="adj2" fmla="val -31735"/>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Step5:</a:t>
          </a:r>
        </a:p>
        <a:p>
          <a:pPr algn="l"/>
          <a:r>
            <a:rPr lang="en-US" sz="800"/>
            <a:t>click</a:t>
          </a:r>
          <a:r>
            <a:rPr lang="en-US" sz="800" baseline="0"/>
            <a:t> on button and select the second Raw Dump.</a:t>
          </a:r>
        </a:p>
      </xdr:txBody>
    </xdr:sp>
    <xdr:clientData/>
  </xdr:twoCellAnchor>
  <xdr:twoCellAnchor>
    <xdr:from>
      <xdr:col>4</xdr:col>
      <xdr:colOff>466724</xdr:colOff>
      <xdr:row>12</xdr:row>
      <xdr:rowOff>104775</xdr:rowOff>
    </xdr:from>
    <xdr:to>
      <xdr:col>6</xdr:col>
      <xdr:colOff>247650</xdr:colOff>
      <xdr:row>16</xdr:row>
      <xdr:rowOff>47625</xdr:rowOff>
    </xdr:to>
    <xdr:sp macro="" textlink="">
      <xdr:nvSpPr>
        <xdr:cNvPr id="102" name="Rounded Rectangular Callout 101"/>
        <xdr:cNvSpPr/>
      </xdr:nvSpPr>
      <xdr:spPr>
        <a:xfrm>
          <a:off x="3314699" y="2390775"/>
          <a:ext cx="1000126" cy="704850"/>
        </a:xfrm>
        <a:prstGeom prst="wedgeRoundRectCallout">
          <a:avLst>
            <a:gd name="adj1" fmla="val 67149"/>
            <a:gd name="adj2" fmla="val 30428"/>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Step6:</a:t>
          </a:r>
        </a:p>
        <a:p>
          <a:pPr algn="l"/>
          <a:r>
            <a:rPr lang="en-US" sz="800"/>
            <a:t>click</a:t>
          </a:r>
          <a:r>
            <a:rPr lang="en-US" sz="800" baseline="0"/>
            <a:t> on button and select the Raw Dump.</a:t>
          </a:r>
        </a:p>
      </xdr:txBody>
    </xdr:sp>
    <xdr:clientData/>
  </xdr:twoCellAnchor>
  <xdr:twoCellAnchor>
    <xdr:from>
      <xdr:col>4</xdr:col>
      <xdr:colOff>523874</xdr:colOff>
      <xdr:row>16</xdr:row>
      <xdr:rowOff>190499</xdr:rowOff>
    </xdr:from>
    <xdr:to>
      <xdr:col>6</xdr:col>
      <xdr:colOff>304800</xdr:colOff>
      <xdr:row>22</xdr:row>
      <xdr:rowOff>9525</xdr:rowOff>
    </xdr:to>
    <xdr:sp macro="" textlink="">
      <xdr:nvSpPr>
        <xdr:cNvPr id="103" name="Rounded Rectangular Callout 102"/>
        <xdr:cNvSpPr/>
      </xdr:nvSpPr>
      <xdr:spPr>
        <a:xfrm>
          <a:off x="3686174" y="3238499"/>
          <a:ext cx="1000126" cy="962026"/>
        </a:xfrm>
        <a:prstGeom prst="wedgeRoundRectCallout">
          <a:avLst>
            <a:gd name="adj1" fmla="val 63339"/>
            <a:gd name="adj2" fmla="val -3783"/>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 8:</a:t>
          </a:r>
        </a:p>
        <a:p>
          <a:pPr algn="l"/>
          <a:r>
            <a:rPr lang="en-US" sz="800"/>
            <a:t>Before click check comments in sheet. then</a:t>
          </a:r>
        </a:p>
        <a:p>
          <a:pPr algn="l"/>
          <a:r>
            <a:rPr lang="en-US" sz="800"/>
            <a:t>click</a:t>
          </a:r>
          <a:r>
            <a:rPr lang="en-US" sz="800" baseline="0"/>
            <a:t> on button  for mail draft.</a:t>
          </a:r>
        </a:p>
      </xdr:txBody>
    </xdr:sp>
    <xdr:clientData/>
  </xdr:twoCellAnchor>
  <xdr:twoCellAnchor>
    <xdr:from>
      <xdr:col>4</xdr:col>
      <xdr:colOff>571499</xdr:colOff>
      <xdr:row>22</xdr:row>
      <xdr:rowOff>180974</xdr:rowOff>
    </xdr:from>
    <xdr:to>
      <xdr:col>6</xdr:col>
      <xdr:colOff>352425</xdr:colOff>
      <xdr:row>27</xdr:row>
      <xdr:rowOff>95249</xdr:rowOff>
    </xdr:to>
    <xdr:sp macro="" textlink="">
      <xdr:nvSpPr>
        <xdr:cNvPr id="104" name="Rounded Rectangular Callout 103"/>
        <xdr:cNvSpPr/>
      </xdr:nvSpPr>
      <xdr:spPr>
        <a:xfrm>
          <a:off x="3733799" y="4371974"/>
          <a:ext cx="1000126" cy="866775"/>
        </a:xfrm>
        <a:prstGeom prst="wedgeRoundRectCallout">
          <a:avLst>
            <a:gd name="adj1" fmla="val 59531"/>
            <a:gd name="adj2" fmla="val -45248"/>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 7:</a:t>
          </a:r>
        </a:p>
        <a:p>
          <a:pPr algn="l"/>
          <a:r>
            <a:rPr lang="en-US" sz="800"/>
            <a:t>click</a:t>
          </a:r>
          <a:r>
            <a:rPr lang="en-US" sz="800" baseline="0"/>
            <a:t> on Dump1 Reacap mail draft button to create reacap mail</a:t>
          </a:r>
        </a:p>
      </xdr:txBody>
    </xdr:sp>
    <xdr:clientData/>
  </xdr:twoCellAnchor>
  <xdr:twoCellAnchor>
    <xdr:from>
      <xdr:col>11</xdr:col>
      <xdr:colOff>161924</xdr:colOff>
      <xdr:row>21</xdr:row>
      <xdr:rowOff>123824</xdr:rowOff>
    </xdr:from>
    <xdr:to>
      <xdr:col>13</xdr:col>
      <xdr:colOff>85725</xdr:colOff>
      <xdr:row>25</xdr:row>
      <xdr:rowOff>104775</xdr:rowOff>
    </xdr:to>
    <xdr:sp macro="" textlink="">
      <xdr:nvSpPr>
        <xdr:cNvPr id="105" name="Rounded Rectangular Callout 104"/>
        <xdr:cNvSpPr/>
      </xdr:nvSpPr>
      <xdr:spPr>
        <a:xfrm>
          <a:off x="7867649" y="4124324"/>
          <a:ext cx="1285876" cy="742951"/>
        </a:xfrm>
        <a:prstGeom prst="wedgeRoundRectCallout">
          <a:avLst>
            <a:gd name="adj1" fmla="val -6183"/>
            <a:gd name="adj2" fmla="val -79314"/>
            <a:gd name="adj3" fmla="val 16667"/>
          </a:avLst>
        </a:prstGeom>
        <a:ln w="317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800" b="1"/>
            <a:t>Step9:</a:t>
          </a:r>
        </a:p>
        <a:p>
          <a:pPr algn="l"/>
          <a:r>
            <a:rPr lang="en-US" sz="800" b="0"/>
            <a:t>For Weekly EOD Reacap</a:t>
          </a:r>
          <a:r>
            <a:rPr lang="en-US" sz="800" b="0" baseline="0"/>
            <a:t> clcik on Weekly EOD REACAP Mail button.</a:t>
          </a:r>
          <a:endParaRPr lang="en-US" sz="800" b="0"/>
        </a:p>
        <a:p>
          <a:pPr algn="l"/>
          <a:endParaRPr lang="en-US" sz="800" b="1"/>
        </a:p>
      </xdr:txBody>
    </xdr:sp>
    <xdr:clientData/>
  </xdr:twoCellAnchor>
  <xdr:twoCellAnchor>
    <xdr:from>
      <xdr:col>11</xdr:col>
      <xdr:colOff>19050</xdr:colOff>
      <xdr:row>3</xdr:row>
      <xdr:rowOff>9525</xdr:rowOff>
    </xdr:from>
    <xdr:to>
      <xdr:col>11</xdr:col>
      <xdr:colOff>142875</xdr:colOff>
      <xdr:row>4</xdr:row>
      <xdr:rowOff>76200</xdr:rowOff>
    </xdr:to>
    <xdr:sp macro="[0]!Index2" textlink="">
      <xdr:nvSpPr>
        <xdr:cNvPr id="4" name="Rectangle 3"/>
        <xdr:cNvSpPr/>
      </xdr:nvSpPr>
      <xdr:spPr>
        <a:xfrm rot="5400000">
          <a:off x="7067550" y="647700"/>
          <a:ext cx="257175" cy="123825"/>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857250</xdr:colOff>
      <xdr:row>2</xdr:row>
      <xdr:rowOff>180975</xdr:rowOff>
    </xdr:from>
    <xdr:to>
      <xdr:col>2</xdr:col>
      <xdr:colOff>66675</xdr:colOff>
      <xdr:row>4</xdr:row>
      <xdr:rowOff>57150</xdr:rowOff>
    </xdr:to>
    <xdr:sp macro="[0]!Index1" textlink="">
      <xdr:nvSpPr>
        <xdr:cNvPr id="45" name="Rectangle 44"/>
        <xdr:cNvSpPr/>
      </xdr:nvSpPr>
      <xdr:spPr>
        <a:xfrm rot="5400000">
          <a:off x="1504950" y="628650"/>
          <a:ext cx="257175" cy="123825"/>
        </a:xfrm>
        <a:prstGeom prst="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50855</xdr:colOff>
      <xdr:row>5</xdr:row>
      <xdr:rowOff>95251</xdr:rowOff>
    </xdr:from>
    <xdr:to>
      <xdr:col>3</xdr:col>
      <xdr:colOff>432518</xdr:colOff>
      <xdr:row>7</xdr:row>
      <xdr:rowOff>38101</xdr:rowOff>
    </xdr:to>
    <xdr:pic macro="[0]!Sheet1.Image_Date_Click">
      <xdr:nvPicPr>
        <xdr:cNvPr id="9" name="Picture 8"/>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603555" y="1047751"/>
          <a:ext cx="381663" cy="342900"/>
        </a:xfrm>
        <a:prstGeom prst="rect">
          <a:avLst/>
        </a:prstGeom>
      </xdr:spPr>
    </xdr:pic>
    <xdr:clientData/>
  </xdr:twoCellAnchor>
  <xdr:twoCellAnchor editAs="oneCell">
    <xdr:from>
      <xdr:col>7</xdr:col>
      <xdr:colOff>60380</xdr:colOff>
      <xdr:row>5</xdr:row>
      <xdr:rowOff>85726</xdr:rowOff>
    </xdr:from>
    <xdr:to>
      <xdr:col>7</xdr:col>
      <xdr:colOff>442043</xdr:colOff>
      <xdr:row>7</xdr:row>
      <xdr:rowOff>28576</xdr:rowOff>
    </xdr:to>
    <xdr:pic macro="[0]!Sheet1.Image_Date1_Click">
      <xdr:nvPicPr>
        <xdr:cNvPr id="46" name="Picture 4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27705" y="1038226"/>
          <a:ext cx="381663" cy="3429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9</xdr:row>
          <xdr:rowOff>180975</xdr:rowOff>
        </xdr:from>
        <xdr:to>
          <xdr:col>0</xdr:col>
          <xdr:colOff>1962150</xdr:colOff>
          <xdr:row>11</xdr:row>
          <xdr:rowOff>171450</xdr:rowOff>
        </xdr:to>
        <xdr:sp macro="" textlink="">
          <xdr:nvSpPr>
            <xdr:cNvPr id="7169" name="MTDBtn"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6" Type="http://schemas.openxmlformats.org/officeDocument/2006/relationships/hyperlink" Target="mailto:thomas.cox@evosecurities.com;settements@evosecurities.com" TargetMode="External"/><Relationship Id="rId21" Type="http://schemas.openxmlformats.org/officeDocument/2006/relationships/hyperlink" Target="mailto:equitysales.support@credit-suisse.com%20;list.ops-llc-age-ban-set@credit-suisse.com;" TargetMode="External"/><Relationship Id="rId42" Type="http://schemas.openxmlformats.org/officeDocument/2006/relationships/hyperlink" Target="mailto:lonops@kbw.com;" TargetMode="External"/><Relationship Id="rId47" Type="http://schemas.openxmlformats.org/officeDocument/2006/relationships/hyperlink" Target="mailto:fdavis@leksecurities.com;%20'settlement@leksecurities.com'" TargetMode="External"/><Relationship Id="rId63" Type="http://schemas.openxmlformats.org/officeDocument/2006/relationships/hyperlink" Target="mailto:settlementsteam@numiscorp.com" TargetMode="External"/><Relationship Id="rId68" Type="http://schemas.openxmlformats.org/officeDocument/2006/relationships/hyperlink" Target="mailto:settlements@patria.cz" TargetMode="External"/><Relationship Id="rId84" Type="http://schemas.openxmlformats.org/officeDocument/2006/relationships/hyperlink" Target="mailto:ferudun.emanet@vontobel.ch;" TargetMode="External"/><Relationship Id="rId89" Type="http://schemas.openxmlformats.org/officeDocument/2006/relationships/hyperlink" Target="mailto:christopher.silfverling@uk.natixis.com" TargetMode="External"/><Relationship Id="rId2" Type="http://schemas.openxmlformats.org/officeDocument/2006/relationships/hyperlink" Target="mailto:ops-eu@autonomous.com" TargetMode="External"/><Relationship Id="rId16" Type="http://schemas.openxmlformats.org/officeDocument/2006/relationships/hyperlink" Target="mailto:Colin.row@charles-stanley.co.uk" TargetMode="External"/><Relationship Id="rId29" Type="http://schemas.openxmlformats.org/officeDocument/2006/relationships/hyperlink" Target="mailto:lmg@fidentiis.com" TargetMode="External"/><Relationship Id="rId107" Type="http://schemas.openxmlformats.org/officeDocument/2006/relationships/hyperlink" Target="mailto:ukops@btig.com%20;bkoliver@btig.com" TargetMode="External"/><Relationship Id="rId11" Type="http://schemas.openxmlformats.org/officeDocument/2006/relationships/hyperlink" Target="mailto:GPless@convergex.com" TargetMode="External"/><Relationship Id="rId24" Type="http://schemas.openxmlformats.org/officeDocument/2006/relationships/hyperlink" Target="mailto:euisettlements@davy.ie;colm.osullivan@davy.ie;eamon.drea@davy.ie;Eoin.Brady@davy.ie" TargetMode="External"/><Relationship Id="rId32" Type="http://schemas.openxmlformats.org/officeDocument/2006/relationships/hyperlink" Target="mailto:Trade.support@goodbody.ie;graham.a.breen@goodbody.ie" TargetMode="External"/><Relationship Id="rId37" Type="http://schemas.openxmlformats.org/officeDocument/2006/relationships/hyperlink" Target="mailto:ITGE-Giveups@itg.com" TargetMode="External"/><Relationship Id="rId40" Type="http://schemas.openxmlformats.org/officeDocument/2006/relationships/hyperlink" Target="mailto:settlements_ph@kbcpeelhunt.com%20;" TargetMode="External"/><Relationship Id="rId45" Type="http://schemas.openxmlformats.org/officeDocument/2006/relationships/hyperlink" Target="mailto:LTS@knight.com;" TargetMode="External"/><Relationship Id="rId53" Type="http://schemas.openxmlformats.org/officeDocument/2006/relationships/hyperlink" Target="mailto:iebts@mfglobal.com" TargetMode="External"/><Relationship Id="rId58" Type="http://schemas.openxmlformats.org/officeDocument/2006/relationships/hyperlink" Target="mailto:alexandre.teixeira-ext@natixis.com" TargetMode="External"/><Relationship Id="rId66" Type="http://schemas.openxmlformats.org/officeDocument/2006/relationships/hyperlink" Target="mailto:ben.woodley@orielsecurities.com;" TargetMode="External"/><Relationship Id="rId74" Type="http://schemas.openxmlformats.org/officeDocument/2006/relationships/hyperlink" Target="mailto:AXirouhakis@rodm.com" TargetMode="External"/><Relationship Id="rId79" Type="http://schemas.openxmlformats.org/officeDocument/2006/relationships/hyperlink" Target="mailto:equity.settlements@schneidertrading.com;" TargetMode="External"/><Relationship Id="rId87" Type="http://schemas.openxmlformats.org/officeDocument/2006/relationships/hyperlink" Target="mailto:billy@wsaccess.com;" TargetMode="External"/><Relationship Id="rId102" Type="http://schemas.openxmlformats.org/officeDocument/2006/relationships/hyperlink" Target="mailto:JGalloway@rencap.com," TargetMode="External"/><Relationship Id="rId110" Type="http://schemas.openxmlformats.org/officeDocument/2006/relationships/printerSettings" Target="../printerSettings/printerSettings6.bin"/><Relationship Id="rId5" Type="http://schemas.openxmlformats.org/officeDocument/2006/relationships/hyperlink" Target="mailto:xraTCUEquitiesEMEACa@barclayscapital.com;xraLondonSalesSuppor@barclayscapital.com" TargetMode="External"/><Relationship Id="rId61" Type="http://schemas.openxmlformats.org/officeDocument/2006/relationships/hyperlink" Target="mailto:ghilman@LekSecurities.com;" TargetMode="External"/><Relationship Id="rId82" Type="http://schemas.openxmlformats.org/officeDocument/2006/relationships/hyperlink" Target="mailto:schan@triadsecurities.com%20;" TargetMode="External"/><Relationship Id="rId90" Type="http://schemas.openxmlformats.org/officeDocument/2006/relationships/hyperlink" Target="mailto:middleoffice@berenberg.de" TargetMode="External"/><Relationship Id="rId95" Type="http://schemas.openxmlformats.org/officeDocument/2006/relationships/hyperlink" Target="mailto:eqcs.uk.team3@jpmorgan.com" TargetMode="External"/><Relationship Id="rId19" Type="http://schemas.openxmlformats.org/officeDocument/2006/relationships/hyperlink" Target="mailto:EQMILLENNIUM@CITI.COM" TargetMode="External"/><Relationship Id="rId14" Type="http://schemas.openxmlformats.org/officeDocument/2006/relationships/hyperlink" Target="mailto:EquityTradeSupport@cantor.co.uk;CFENYTradeQueries@cantor.co.uk" TargetMode="External"/><Relationship Id="rId22" Type="http://schemas.openxmlformats.org/officeDocument/2006/relationships/hyperlink" Target="mailto:osse@carnegie.no;settlementsus@dcarnegie.com;richard.joyce@carnegie.co.uk" TargetMode="External"/><Relationship Id="rId27" Type="http://schemas.openxmlformats.org/officeDocument/2006/relationships/hyperlink" Target="mailto:Middle_NY@exane.com;mo.trades@exane.com" TargetMode="External"/><Relationship Id="rId30" Type="http://schemas.openxmlformats.org/officeDocument/2006/relationships/hyperlink" Target="mailto:gs-eq-pes-giveups@ny.email.gs.com;gs-pes-bookings@ny.email.gs.com" TargetMode="External"/><Relationship Id="rId35" Type="http://schemas.openxmlformats.org/officeDocument/2006/relationships/hyperlink" Target="mailto:Middle.cash@natixis.com" TargetMode="External"/><Relationship Id="rId43" Type="http://schemas.openxmlformats.org/officeDocument/2006/relationships/hyperlink" Target="mailto:middle.uk@keplercheuvreux.com" TargetMode="External"/><Relationship Id="rId48" Type="http://schemas.openxmlformats.org/officeDocument/2006/relationships/hyperlink" Target="mailto:broking.operations@liberumcapital.com%20;" TargetMode="External"/><Relationship Id="rId56" Type="http://schemas.openxmlformats.org/officeDocument/2006/relationships/hyperlink" Target="mailto:mlbscheckinglondon@baml.com" TargetMode="External"/><Relationship Id="rId64" Type="http://schemas.openxmlformats.org/officeDocument/2006/relationships/hyperlink" Target="mailto:middle_office_actions@offo.fr" TargetMode="External"/><Relationship Id="rId69" Type="http://schemas.openxmlformats.org/officeDocument/2006/relationships/hyperlink" Target="mailto:robbie.siegers@rabobank.com" TargetMode="External"/><Relationship Id="rId77" Type="http://schemas.openxmlformats.org/officeDocument/2006/relationships/hyperlink" Target="mailto:SCUSA_MidOffice@scotiacapital.com" TargetMode="External"/><Relationship Id="rId100" Type="http://schemas.openxmlformats.org/officeDocument/2006/relationships/hyperlink" Target="mailto:Trade.support@goodbody.ie;graham.a.breen@goodbody.ie;" TargetMode="External"/><Relationship Id="rId105" Type="http://schemas.openxmlformats.org/officeDocument/2006/relationships/hyperlink" Target="mailto:millenium.ldneq@list.db.com;intl.alloc@db.com;ldneqt.confirmations@db.com" TargetMode="External"/><Relationship Id="rId8" Type="http://schemas.openxmlformats.org/officeDocument/2006/relationships/hyperlink" Target="mailto:ops@blueoakcapital.com" TargetMode="External"/><Relationship Id="rId51" Type="http://schemas.openxmlformats.org/officeDocument/2006/relationships/hyperlink" Target="mailto:ops@mainfirst.com" TargetMode="External"/><Relationship Id="rId72" Type="http://schemas.openxmlformats.org/officeDocument/2006/relationships/hyperlink" Target="mailto:eqclientconfirms@rbs.com;" TargetMode="External"/><Relationship Id="rId80" Type="http://schemas.openxmlformats.org/officeDocument/2006/relationships/hyperlink" Target="mailto:settlementsus@dcarnegie.com%20;" TargetMode="External"/><Relationship Id="rId85" Type="http://schemas.openxmlformats.org/officeDocument/2006/relationships/hyperlink" Target="mailto:client_services@westlb.co.uk;" TargetMode="External"/><Relationship Id="rId93" Type="http://schemas.openxmlformats.org/officeDocument/2006/relationships/hyperlink" Target="mailto:equityops@gfigroup.co.uk;%20;EquitySettleNY@gfigroup.com;" TargetMode="External"/><Relationship Id="rId98" Type="http://schemas.openxmlformats.org/officeDocument/2006/relationships/hyperlink" Target="mailto:gs-eq-pes-giveups@ny.email.gs.com;gs-pes-bookings@ny.email.gs.com;eq-ldn-cst@gs.com;eq-ldn-cst@ny.email.gs.com" TargetMode="External"/><Relationship Id="rId3" Type="http://schemas.openxmlformats.org/officeDocument/2006/relationships/hyperlink" Target="mailto:Stephen.Humbles@aviateglobal.com" TargetMode="External"/><Relationship Id="rId12" Type="http://schemas.openxmlformats.org/officeDocument/2006/relationships/hyperlink" Target="mailto:ukops@btig.com%20;bkoliver@btig.com" TargetMode="External"/><Relationship Id="rId17" Type="http://schemas.openxmlformats.org/officeDocument/2006/relationships/hyperlink" Target="mailto:dguthmann@cheuvreux.com;" TargetMode="External"/><Relationship Id="rId25" Type="http://schemas.openxmlformats.org/officeDocument/2006/relationships/hyperlink" Target="mailto:tradeconfirmation@danskebank.dk;backoffice.pkl@danskebank.com;Client.Services@danskebank.dk" TargetMode="External"/><Relationship Id="rId33" Type="http://schemas.openxmlformats.org/officeDocument/2006/relationships/hyperlink" Target="mailto:eqconfirms@icap.com;" TargetMode="External"/><Relationship Id="rId38" Type="http://schemas.openxmlformats.org/officeDocument/2006/relationships/hyperlink" Target="mailto:Intl_market_support@jefferies.com%20;" TargetMode="External"/><Relationship Id="rId46" Type="http://schemas.openxmlformats.org/officeDocument/2006/relationships/hyperlink" Target="mailto:CMartin@ladenburg.com;" TargetMode="External"/><Relationship Id="rId59" Type="http://schemas.openxmlformats.org/officeDocument/2006/relationships/hyperlink" Target="mailto:nick.howells@ncb.ie;" TargetMode="External"/><Relationship Id="rId67" Type="http://schemas.openxmlformats.org/officeDocument/2006/relationships/hyperlink" Target="mailto:trade.support@panmure.com;" TargetMode="External"/><Relationship Id="rId103" Type="http://schemas.openxmlformats.org/officeDocument/2006/relationships/hyperlink" Target="mailto:Middle.cash@natixis.com" TargetMode="External"/><Relationship Id="rId108" Type="http://schemas.openxmlformats.org/officeDocument/2006/relationships/hyperlink" Target="mailto:schan@triadsecurities.com%20;" TargetMode="External"/><Relationship Id="rId20" Type="http://schemas.openxmlformats.org/officeDocument/2006/relationships/hyperlink" Target="mailto:OpUSNYPro@citi.com" TargetMode="External"/><Relationship Id="rId41" Type="http://schemas.openxmlformats.org/officeDocument/2006/relationships/hyperlink" Target="mailto:Settlement@kbcsecurities.be" TargetMode="External"/><Relationship Id="rId54" Type="http://schemas.openxmlformats.org/officeDocument/2006/relationships/hyperlink" Target="mailto:queries@mintpartners.com" TargetMode="External"/><Relationship Id="rId62" Type="http://schemas.openxmlformats.org/officeDocument/2006/relationships/hyperlink" Target="mailto:ops@nsbo.com" TargetMode="External"/><Relationship Id="rId70" Type="http://schemas.openxmlformats.org/officeDocument/2006/relationships/hyperlink" Target="mailto:GlobalEquityTransactionMgt@rbccm.com;" TargetMode="External"/><Relationship Id="rId75" Type="http://schemas.openxmlformats.org/officeDocument/2006/relationships/hyperlink" Target="mailto:backoffice@platou.com;" TargetMode="External"/><Relationship Id="rId83" Type="http://schemas.openxmlformats.org/officeDocument/2006/relationships/hyperlink" Target="mailto:settlements@uralsib.com;" TargetMode="External"/><Relationship Id="rId88" Type="http://schemas.openxmlformats.org/officeDocument/2006/relationships/hyperlink" Target="mailto:ronak.patel@nomura.com%20;" TargetMode="External"/><Relationship Id="rId91" Type="http://schemas.openxmlformats.org/officeDocument/2006/relationships/hyperlink" Target="mailto:middleoffice-equities@dnbnor.no;kristine.biering@dnb.no" TargetMode="External"/><Relationship Id="rId96" Type="http://schemas.openxmlformats.org/officeDocument/2006/relationships/hyperlink" Target="mailto:enskopeq@seb.se%20;'Telisha.Longmore@sebny.com';%20'ESEqBSNewYork@enskilda.com';ENSKOPEQNOR@seb.se;EFOSettlements@seb.se" TargetMode="External"/><Relationship Id="rId1" Type="http://schemas.openxmlformats.org/officeDocument/2006/relationships/hyperlink" Target="mailto:hans.lovaasen@abgsc.no" TargetMode="External"/><Relationship Id="rId6" Type="http://schemas.openxmlformats.org/officeDocument/2006/relationships/hyperlink" Target="mailto:dflanagan@baycrestpartners.com" TargetMode="External"/><Relationship Id="rId15" Type="http://schemas.openxmlformats.org/officeDocument/2006/relationships/hyperlink" Target="mailto:operations@cenkos.com;pgraham@cenkos.com" TargetMode="External"/><Relationship Id="rId23" Type="http://schemas.openxmlformats.org/officeDocument/2006/relationships/hyperlink" Target="mailto:cm-cicsecuritiesmiddle@cmcics.com" TargetMode="External"/><Relationship Id="rId28" Type="http://schemas.openxmlformats.org/officeDocument/2006/relationships/hyperlink" Target="mailto:Operations@executionlimited.com;natalie.brown@espiritosantoib.co.uk;" TargetMode="External"/><Relationship Id="rId36" Type="http://schemas.openxmlformats.org/officeDocument/2006/relationships/hyperlink" Target="mailto:iibuksettlements@investec.co.uk" TargetMode="External"/><Relationship Id="rId49" Type="http://schemas.openxmlformats.org/officeDocument/2006/relationships/hyperlink" Target="mailto:Nybackoffice@louiscapital.com;" TargetMode="External"/><Relationship Id="rId57" Type="http://schemas.openxmlformats.org/officeDocument/2006/relationships/hyperlink" Target="mailto:simon.thomas@shorecap.co.uk" TargetMode="External"/><Relationship Id="rId106" Type="http://schemas.openxmlformats.org/officeDocument/2006/relationships/hyperlink" Target="mailto:millenium.ldneq@list.db.com;intl.alloc@db.com;ldneqt.confirmations@db.com" TargetMode="External"/><Relationship Id="rId10" Type="http://schemas.openxmlformats.org/officeDocument/2006/relationships/hyperlink" Target="mailto:GPless@convergex.com" TargetMode="External"/><Relationship Id="rId31" Type="http://schemas.openxmlformats.org/officeDocument/2006/relationships/hyperlink" Target="mailto:equityops@gfigroup.co.uk;%20;EquitySettleNY@gfigroup.com;" TargetMode="External"/><Relationship Id="rId44" Type="http://schemas.openxmlformats.org/officeDocument/2006/relationships/hyperlink" Target="mailto:operations@kasl.co.uk" TargetMode="External"/><Relationship Id="rId52" Type="http://schemas.openxmlformats.org/officeDocument/2006/relationships/hyperlink" Target="mailto:settlements@merrion-capital.com" TargetMode="External"/><Relationship Id="rId60" Type="http://schemas.openxmlformats.org/officeDocument/2006/relationships/hyperlink" Target="mailto:ryan.waters@newedgegroup.com" TargetMode="External"/><Relationship Id="rId65" Type="http://schemas.openxmlformats.org/officeDocument/2006/relationships/hyperlink" Target="mailto:time.vines@olivetreesecurities.com;" TargetMode="External"/><Relationship Id="rId73" Type="http://schemas.openxmlformats.org/officeDocument/2006/relationships/hyperlink" Target="mailto:operations@redburn.com" TargetMode="External"/><Relationship Id="rId78" Type="http://schemas.openxmlformats.org/officeDocument/2006/relationships/hyperlink" Target="mailto:PAR-EQTY-MO-Support@sgcib.com;" TargetMode="External"/><Relationship Id="rId81" Type="http://schemas.openxmlformats.org/officeDocument/2006/relationships/hyperlink" Target="mailto:cedmo@tradition.com;" TargetMode="External"/><Relationship Id="rId86" Type="http://schemas.openxmlformats.org/officeDocument/2006/relationships/hyperlink" Target="mailto:aragusa@wjbcap.com" TargetMode="External"/><Relationship Id="rId94" Type="http://schemas.openxmlformats.org/officeDocument/2006/relationships/hyperlink" Target="mailto:Shiran_S@IBI.co.il" TargetMode="External"/><Relationship Id="rId99" Type="http://schemas.openxmlformats.org/officeDocument/2006/relationships/hyperlink" Target="mailto:EQMILLENNIUM@CITI.COM" TargetMode="External"/><Relationship Id="rId101" Type="http://schemas.openxmlformats.org/officeDocument/2006/relationships/hyperlink" Target="mailto:Alessandro.Muccini@mediobanca.com" TargetMode="External"/><Relationship Id="rId4" Type="http://schemas.openxmlformats.org/officeDocument/2006/relationships/hyperlink" Target="mailto:christopher.silfverling@uk.natixis.com" TargetMode="External"/><Relationship Id="rId9" Type="http://schemas.openxmlformats.org/officeDocument/2006/relationships/hyperlink" Target="mailto:middleoffice@berenberg.com" TargetMode="External"/><Relationship Id="rId13" Type="http://schemas.openxmlformats.org/officeDocument/2006/relationships/hyperlink" Target="mailto:London-uk-tradesupport@canaccord.com" TargetMode="External"/><Relationship Id="rId18" Type="http://schemas.openxmlformats.org/officeDocument/2006/relationships/hyperlink" Target="mailto:lawrence@churchillcap.com;settlements@churchillcap.com" TargetMode="External"/><Relationship Id="rId39" Type="http://schemas.openxmlformats.org/officeDocument/2006/relationships/hyperlink" Target="mailto:eqcs.uk.team3@jpmorgan.com;" TargetMode="External"/><Relationship Id="rId109" Type="http://schemas.openxmlformats.org/officeDocument/2006/relationships/hyperlink" Target="mailto:sh-frost-london@ubs.com;%20'sh-stm-equitysupport@ubs.com';sh-des-eu@ubs.com;sh-frost-london@ubs.com" TargetMode="External"/><Relationship Id="rId34" Type="http://schemas.openxmlformats.org/officeDocument/2006/relationships/hyperlink" Target="mailto:Western.EuropeSetts@uk.ing.com;" TargetMode="External"/><Relationship Id="rId50" Type="http://schemas.openxmlformats.org/officeDocument/2006/relationships/hyperlink" Target="mailto:sean.parry@macquarie.com;" TargetMode="External"/><Relationship Id="rId55" Type="http://schemas.openxmlformats.org/officeDocument/2006/relationships/hyperlink" Target="mailto:tdemmel@MKMPARTNERS.com;" TargetMode="External"/><Relationship Id="rId76" Type="http://schemas.openxmlformats.org/officeDocument/2006/relationships/hyperlink" Target="mailto:LTDMO@bernstein.com;nymo@bernstein.com" TargetMode="External"/><Relationship Id="rId97" Type="http://schemas.openxmlformats.org/officeDocument/2006/relationships/hyperlink" Target="mailto:settlements@uralsib.com;" TargetMode="External"/><Relationship Id="rId104" Type="http://schemas.openxmlformats.org/officeDocument/2006/relationships/hyperlink" Target="mailto:shbeq@handelsbanken.se" TargetMode="External"/><Relationship Id="rId7" Type="http://schemas.openxmlformats.org/officeDocument/2006/relationships/hyperlink" Target="mailto:mcoppola@benchmarkcap.com" TargetMode="External"/><Relationship Id="rId71" Type="http://schemas.openxmlformats.org/officeDocument/2006/relationships/hyperlink" Target="mailto:JGalloway@rencap.com," TargetMode="External"/><Relationship Id="rId92" Type="http://schemas.openxmlformats.org/officeDocument/2006/relationships/hyperlink" Target="mailto:equitysales.support@credit-suisse.com%20;list.ops-llc-age-ban-set@credit-suisse.com;"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D2251"/>
  <sheetViews>
    <sheetView showGridLines="0" tabSelected="1" topLeftCell="A4" workbookViewId="0">
      <selection activeCell="E21" sqref="E21"/>
    </sheetView>
  </sheetViews>
  <sheetFormatPr defaultColWidth="0" defaultRowHeight="15" zeroHeight="1" x14ac:dyDescent="0.25"/>
  <cols>
    <col min="1" max="1" width="10.7109375" style="43" bestFit="1" customWidth="1"/>
    <col min="2" max="2" width="13.7109375" style="43" customWidth="1"/>
    <col min="3" max="3" width="13.85546875" style="43" customWidth="1"/>
    <col min="4" max="6" width="9.140625" style="43" customWidth="1"/>
    <col min="7" max="7" width="13.28515625" style="43" customWidth="1"/>
    <col min="8" max="12" width="9.140625" style="43" customWidth="1"/>
    <col min="13" max="13" width="11.28515625" style="43" customWidth="1"/>
    <col min="14" max="14" width="11.140625" style="43" customWidth="1"/>
    <col min="15" max="16384" width="9.140625" hidden="1"/>
  </cols>
  <sheetData>
    <row r="1" spans="1:23 16384:16384" x14ac:dyDescent="0.25">
      <c r="M1" s="47"/>
      <c r="XFD1" t="s">
        <v>3</v>
      </c>
    </row>
    <row r="2" spans="1:23 16384:16384" x14ac:dyDescent="0.25">
      <c r="XFD2" t="s">
        <v>3</v>
      </c>
    </row>
    <row r="3" spans="1:23 16384:16384" x14ac:dyDescent="0.25">
      <c r="XFD3" t="s">
        <v>3</v>
      </c>
    </row>
    <row r="4" spans="1:23 16384:16384" x14ac:dyDescent="0.25">
      <c r="XFD4" t="s">
        <v>3</v>
      </c>
    </row>
    <row r="5" spans="1:23 16384:16384" x14ac:dyDescent="0.25">
      <c r="XFD5" t="s">
        <v>3</v>
      </c>
    </row>
    <row r="6" spans="1:23 16384:16384" ht="15.75" thickBot="1" x14ac:dyDescent="0.3">
      <c r="XFD6" t="s">
        <v>3</v>
      </c>
    </row>
    <row r="7" spans="1:23 16384:16384" ht="15.75" thickBot="1" x14ac:dyDescent="0.3">
      <c r="B7" s="52" t="s">
        <v>386</v>
      </c>
      <c r="C7" s="53">
        <v>43103</v>
      </c>
      <c r="F7" s="52" t="s">
        <v>387</v>
      </c>
      <c r="G7" s="53">
        <v>43102</v>
      </c>
      <c r="XFD7" t="s">
        <v>3</v>
      </c>
    </row>
    <row r="8" spans="1:23 16384:16384" ht="15.75" thickBot="1" x14ac:dyDescent="0.3">
      <c r="XFD8" t="s">
        <v>3</v>
      </c>
    </row>
    <row r="9" spans="1:23 16384:16384" ht="15.75" thickBot="1" x14ac:dyDescent="0.3">
      <c r="B9" s="44" t="s">
        <v>0</v>
      </c>
      <c r="C9" s="56" t="s">
        <v>398</v>
      </c>
      <c r="D9" s="57"/>
      <c r="E9" s="57"/>
      <c r="F9" s="57"/>
      <c r="G9" s="57"/>
      <c r="H9" s="57"/>
      <c r="I9" s="57"/>
      <c r="J9" s="57"/>
      <c r="K9" s="58"/>
      <c r="XFD9" t="s">
        <v>4</v>
      </c>
    </row>
    <row r="10" spans="1:23 16384:16384" x14ac:dyDescent="0.25">
      <c r="XFD10" t="s">
        <v>3</v>
      </c>
    </row>
    <row r="11" spans="1:23 16384:16384" ht="15.75" thickBot="1" x14ac:dyDescent="0.3">
      <c r="XFD11" t="s">
        <v>3</v>
      </c>
    </row>
    <row r="12" spans="1:23 16384:16384" ht="15.75" thickBot="1" x14ac:dyDescent="0.3">
      <c r="B12" s="44" t="s">
        <v>1</v>
      </c>
      <c r="C12" s="56"/>
      <c r="D12" s="57"/>
      <c r="E12" s="57"/>
      <c r="F12" s="57"/>
      <c r="G12" s="57"/>
      <c r="H12" s="57"/>
      <c r="I12" s="57"/>
      <c r="J12" s="57"/>
      <c r="K12" s="58"/>
      <c r="W12" s="29">
        <v>28370</v>
      </c>
      <c r="XFD12" t="s">
        <v>4</v>
      </c>
    </row>
    <row r="13" spans="1:23 16384:16384" x14ac:dyDescent="0.25">
      <c r="XFD13" t="s">
        <v>3</v>
      </c>
    </row>
    <row r="14" spans="1:23 16384:16384" x14ac:dyDescent="0.25">
      <c r="XFD14" t="s">
        <v>3</v>
      </c>
    </row>
    <row r="15" spans="1:23 16384:16384" s="6" customFormat="1" x14ac:dyDescent="0.25">
      <c r="A15" s="33"/>
      <c r="B15" s="33"/>
      <c r="C15" s="33"/>
      <c r="D15" s="33"/>
      <c r="E15" s="33"/>
      <c r="F15" s="33"/>
      <c r="G15" s="33"/>
      <c r="H15" s="33"/>
      <c r="I15" s="33"/>
      <c r="J15" s="33"/>
      <c r="K15" s="33"/>
      <c r="L15" s="33"/>
      <c r="M15" s="33"/>
      <c r="N15" s="33"/>
      <c r="XFD15" s="6" t="s">
        <v>3</v>
      </c>
    </row>
    <row r="16" spans="1:23 16384:16384" x14ac:dyDescent="0.25">
      <c r="XFD16" t="s">
        <v>3</v>
      </c>
    </row>
    <row r="17" spans="1:14 16384:16384" x14ac:dyDescent="0.25">
      <c r="XFD17" t="s">
        <v>384</v>
      </c>
    </row>
    <row r="18" spans="1:14 16384:16384" x14ac:dyDescent="0.25">
      <c r="XFD18" t="s">
        <v>384</v>
      </c>
    </row>
    <row r="19" spans="1:14 16384:16384" s="6" customFormat="1" x14ac:dyDescent="0.25">
      <c r="A19" s="33"/>
      <c r="B19" s="33"/>
      <c r="C19" s="33"/>
      <c r="D19" s="33"/>
      <c r="E19" s="33"/>
      <c r="F19" s="33"/>
      <c r="G19" s="33"/>
      <c r="H19" s="33"/>
      <c r="I19" s="33"/>
      <c r="J19" s="33"/>
      <c r="K19" s="33"/>
      <c r="L19" s="33"/>
      <c r="M19" s="33"/>
      <c r="N19" s="33"/>
      <c r="XFD19" s="6" t="s">
        <v>384</v>
      </c>
    </row>
    <row r="20" spans="1:14 16384:16384" x14ac:dyDescent="0.25">
      <c r="A20" s="46">
        <f>$C$7</f>
        <v>43103</v>
      </c>
      <c r="XFD20" t="s">
        <v>384</v>
      </c>
    </row>
    <row r="21" spans="1:14 16384:16384" x14ac:dyDescent="0.25">
      <c r="XFD21" t="s">
        <v>384</v>
      </c>
    </row>
    <row r="22" spans="1:14 16384:16384" x14ac:dyDescent="0.25">
      <c r="XFD22" t="s">
        <v>384</v>
      </c>
    </row>
    <row r="23" spans="1:14 16384:16384" s="6" customFormat="1" x14ac:dyDescent="0.25">
      <c r="A23" s="33"/>
      <c r="B23" s="33"/>
      <c r="C23" s="33"/>
      <c r="D23" s="33"/>
      <c r="E23" s="33"/>
      <c r="F23" s="33"/>
      <c r="G23" s="33"/>
      <c r="H23" s="33"/>
      <c r="I23" s="33"/>
      <c r="J23" s="33"/>
      <c r="K23" s="33"/>
      <c r="L23" s="33"/>
      <c r="M23" s="33"/>
      <c r="N23" s="33"/>
      <c r="XFD23" s="6" t="s">
        <v>384</v>
      </c>
    </row>
    <row r="24" spans="1:14 16384:16384" x14ac:dyDescent="0.25">
      <c r="XFD24" t="s">
        <v>384</v>
      </c>
    </row>
    <row r="25" spans="1:14 16384:16384" x14ac:dyDescent="0.25">
      <c r="XFD25" t="s">
        <v>384</v>
      </c>
    </row>
    <row r="26" spans="1:14 16384:16384" x14ac:dyDescent="0.25">
      <c r="XFD26" t="s">
        <v>384</v>
      </c>
    </row>
    <row r="27" spans="1:14 16384:16384" x14ac:dyDescent="0.25">
      <c r="XFD27" t="s">
        <v>384</v>
      </c>
    </row>
    <row r="28" spans="1:14 16384:16384" x14ac:dyDescent="0.25">
      <c r="XFD28" t="s">
        <v>384</v>
      </c>
    </row>
    <row r="29" spans="1:14 16384:16384" x14ac:dyDescent="0.25">
      <c r="N29" s="47"/>
      <c r="XFD29" t="s">
        <v>384</v>
      </c>
    </row>
    <row r="30" spans="1:14 16384:16384" hidden="1" x14ac:dyDescent="0.25">
      <c r="XFD30" t="s">
        <v>384</v>
      </c>
    </row>
    <row r="31" spans="1:14 16384:16384" hidden="1" x14ac:dyDescent="0.25">
      <c r="XFD31" t="s">
        <v>384</v>
      </c>
    </row>
    <row r="32" spans="1:14 16384:16384" hidden="1" x14ac:dyDescent="0.25">
      <c r="XFD32" t="s">
        <v>384</v>
      </c>
    </row>
    <row r="33" spans="16384:16384" hidden="1" x14ac:dyDescent="0.25">
      <c r="XFD33" t="s">
        <v>384</v>
      </c>
    </row>
    <row r="34" spans="16384:16384" hidden="1" x14ac:dyDescent="0.25">
      <c r="XFD34" t="s">
        <v>384</v>
      </c>
    </row>
    <row r="35" spans="16384:16384" hidden="1" x14ac:dyDescent="0.25">
      <c r="XFD35" t="s">
        <v>384</v>
      </c>
    </row>
    <row r="36" spans="16384:16384" hidden="1" x14ac:dyDescent="0.25">
      <c r="XFD36" t="s">
        <v>3</v>
      </c>
    </row>
    <row r="37" spans="16384:16384" hidden="1" x14ac:dyDescent="0.25">
      <c r="XFD37" t="s">
        <v>3</v>
      </c>
    </row>
    <row r="38" spans="16384:16384" hidden="1" x14ac:dyDescent="0.25">
      <c r="XFD38" t="s">
        <v>384</v>
      </c>
    </row>
    <row r="39" spans="16384:16384" hidden="1" x14ac:dyDescent="0.25">
      <c r="XFD39" t="s">
        <v>384</v>
      </c>
    </row>
    <row r="40" spans="16384:16384" hidden="1" x14ac:dyDescent="0.25">
      <c r="XFD40" t="s">
        <v>384</v>
      </c>
    </row>
    <row r="41" spans="16384:16384" hidden="1" x14ac:dyDescent="0.25">
      <c r="XFD41" t="s">
        <v>384</v>
      </c>
    </row>
    <row r="42" spans="16384:16384" hidden="1" x14ac:dyDescent="0.25">
      <c r="XFD42" t="s">
        <v>384</v>
      </c>
    </row>
    <row r="43" spans="16384:16384" hidden="1" x14ac:dyDescent="0.25">
      <c r="XFD43" t="s">
        <v>384</v>
      </c>
    </row>
    <row r="44" spans="16384:16384" hidden="1" x14ac:dyDescent="0.25">
      <c r="XFD44" t="s">
        <v>384</v>
      </c>
    </row>
    <row r="45" spans="16384:16384" hidden="1" x14ac:dyDescent="0.25">
      <c r="XFD45" t="s">
        <v>384</v>
      </c>
    </row>
    <row r="46" spans="16384:16384" hidden="1" x14ac:dyDescent="0.25">
      <c r="XFD46" t="s">
        <v>384</v>
      </c>
    </row>
    <row r="47" spans="16384:16384" hidden="1" x14ac:dyDescent="0.25">
      <c r="XFD47" t="s">
        <v>384</v>
      </c>
    </row>
    <row r="48" spans="16384:16384" hidden="1" x14ac:dyDescent="0.25">
      <c r="XFD48" t="s">
        <v>384</v>
      </c>
    </row>
    <row r="49" spans="16384:16384" hidden="1" x14ac:dyDescent="0.25">
      <c r="XFD49" t="s">
        <v>384</v>
      </c>
    </row>
    <row r="50" spans="16384:16384" hidden="1" x14ac:dyDescent="0.25">
      <c r="XFD50" t="s">
        <v>384</v>
      </c>
    </row>
    <row r="51" spans="16384:16384" hidden="1" x14ac:dyDescent="0.25">
      <c r="XFD51" t="s">
        <v>384</v>
      </c>
    </row>
    <row r="52" spans="16384:16384" hidden="1" x14ac:dyDescent="0.25">
      <c r="XFD52" t="s">
        <v>384</v>
      </c>
    </row>
    <row r="53" spans="16384:16384" hidden="1" x14ac:dyDescent="0.25">
      <c r="XFD53" t="s">
        <v>384</v>
      </c>
    </row>
    <row r="54" spans="16384:16384" hidden="1" x14ac:dyDescent="0.25">
      <c r="XFD54" t="s">
        <v>384</v>
      </c>
    </row>
    <row r="55" spans="16384:16384" hidden="1" x14ac:dyDescent="0.25">
      <c r="XFD55" t="s">
        <v>384</v>
      </c>
    </row>
    <row r="56" spans="16384:16384" hidden="1" x14ac:dyDescent="0.25">
      <c r="XFD56" t="s">
        <v>384</v>
      </c>
    </row>
    <row r="57" spans="16384:16384" hidden="1" x14ac:dyDescent="0.25">
      <c r="XFD57" t="s">
        <v>384</v>
      </c>
    </row>
    <row r="58" spans="16384:16384" hidden="1" x14ac:dyDescent="0.25">
      <c r="XFD58" t="s">
        <v>384</v>
      </c>
    </row>
    <row r="59" spans="16384:16384" hidden="1" x14ac:dyDescent="0.25">
      <c r="XFD59" t="s">
        <v>384</v>
      </c>
    </row>
    <row r="60" spans="16384:16384" hidden="1" x14ac:dyDescent="0.25">
      <c r="XFD60" t="s">
        <v>384</v>
      </c>
    </row>
    <row r="61" spans="16384:16384" hidden="1" x14ac:dyDescent="0.25">
      <c r="XFD61" t="s">
        <v>384</v>
      </c>
    </row>
    <row r="62" spans="16384:16384" hidden="1" x14ac:dyDescent="0.25">
      <c r="XFD62" t="s">
        <v>384</v>
      </c>
    </row>
    <row r="63" spans="16384:16384" hidden="1" x14ac:dyDescent="0.25">
      <c r="XFD63" t="s">
        <v>384</v>
      </c>
    </row>
    <row r="64" spans="16384:16384" hidden="1" x14ac:dyDescent="0.25">
      <c r="XFD64" t="s">
        <v>384</v>
      </c>
    </row>
    <row r="65" spans="16384:16384" hidden="1" x14ac:dyDescent="0.25">
      <c r="XFD65" t="s">
        <v>384</v>
      </c>
    </row>
    <row r="66" spans="16384:16384" hidden="1" x14ac:dyDescent="0.25">
      <c r="XFD66" t="s">
        <v>384</v>
      </c>
    </row>
    <row r="67" spans="16384:16384" hidden="1" x14ac:dyDescent="0.25">
      <c r="XFD67" t="s">
        <v>3</v>
      </c>
    </row>
    <row r="68" spans="16384:16384" hidden="1" x14ac:dyDescent="0.25">
      <c r="XFD68" t="s">
        <v>384</v>
      </c>
    </row>
    <row r="69" spans="16384:16384" hidden="1" x14ac:dyDescent="0.25">
      <c r="XFD69" t="s">
        <v>384</v>
      </c>
    </row>
    <row r="70" spans="16384:16384" hidden="1" x14ac:dyDescent="0.25">
      <c r="XFD70" t="s">
        <v>384</v>
      </c>
    </row>
    <row r="71" spans="16384:16384" hidden="1" x14ac:dyDescent="0.25">
      <c r="XFD71" t="s">
        <v>384</v>
      </c>
    </row>
    <row r="72" spans="16384:16384" hidden="1" x14ac:dyDescent="0.25">
      <c r="XFD72" t="s">
        <v>384</v>
      </c>
    </row>
    <row r="73" spans="16384:16384" hidden="1" x14ac:dyDescent="0.25">
      <c r="XFD73" t="s">
        <v>384</v>
      </c>
    </row>
    <row r="74" spans="16384:16384" hidden="1" x14ac:dyDescent="0.25">
      <c r="XFD74" t="s">
        <v>384</v>
      </c>
    </row>
    <row r="75" spans="16384:16384" hidden="1" x14ac:dyDescent="0.25">
      <c r="XFD75" t="s">
        <v>3</v>
      </c>
    </row>
    <row r="76" spans="16384:16384" hidden="1" x14ac:dyDescent="0.25">
      <c r="XFD76" t="s">
        <v>3</v>
      </c>
    </row>
    <row r="77" spans="16384:16384" hidden="1" x14ac:dyDescent="0.25">
      <c r="XFD77" t="s">
        <v>384</v>
      </c>
    </row>
    <row r="78" spans="16384:16384" hidden="1" x14ac:dyDescent="0.25">
      <c r="XFD78" t="s">
        <v>384</v>
      </c>
    </row>
    <row r="79" spans="16384:16384" hidden="1" x14ac:dyDescent="0.25">
      <c r="XFD79" t="s">
        <v>384</v>
      </c>
    </row>
    <row r="80" spans="16384:16384" hidden="1" x14ac:dyDescent="0.25">
      <c r="XFD80" t="s">
        <v>384</v>
      </c>
    </row>
    <row r="81" spans="16384:16384" hidden="1" x14ac:dyDescent="0.25">
      <c r="XFD81" t="s">
        <v>3</v>
      </c>
    </row>
    <row r="82" spans="16384:16384" hidden="1" x14ac:dyDescent="0.25">
      <c r="XFD82" t="s">
        <v>384</v>
      </c>
    </row>
    <row r="83" spans="16384:16384" hidden="1" x14ac:dyDescent="0.25">
      <c r="XFD83" t="s">
        <v>3</v>
      </c>
    </row>
    <row r="84" spans="16384:16384" hidden="1" x14ac:dyDescent="0.25">
      <c r="XFD84" t="s">
        <v>384</v>
      </c>
    </row>
    <row r="85" spans="16384:16384" hidden="1" x14ac:dyDescent="0.25"/>
    <row r="86" spans="16384:16384" hidden="1" x14ac:dyDescent="0.25">
      <c r="XFD86" t="s">
        <v>3</v>
      </c>
    </row>
    <row r="87" spans="16384:16384" hidden="1" x14ac:dyDescent="0.25">
      <c r="XFD87" t="s">
        <v>384</v>
      </c>
    </row>
    <row r="88" spans="16384:16384" hidden="1" x14ac:dyDescent="0.25">
      <c r="XFD88" t="s">
        <v>384</v>
      </c>
    </row>
    <row r="89" spans="16384:16384" hidden="1" x14ac:dyDescent="0.25">
      <c r="XFD89" t="s">
        <v>384</v>
      </c>
    </row>
    <row r="90" spans="16384:16384" hidden="1" x14ac:dyDescent="0.25">
      <c r="XFD90" t="s">
        <v>384</v>
      </c>
    </row>
    <row r="91" spans="16384:16384" hidden="1" x14ac:dyDescent="0.25">
      <c r="XFD91" t="s">
        <v>384</v>
      </c>
    </row>
    <row r="92" spans="16384:16384" hidden="1" x14ac:dyDescent="0.25">
      <c r="XFD92" t="s">
        <v>384</v>
      </c>
    </row>
    <row r="93" spans="16384:16384" hidden="1" x14ac:dyDescent="0.25">
      <c r="XFD93" t="s">
        <v>384</v>
      </c>
    </row>
    <row r="94" spans="16384:16384" hidden="1" x14ac:dyDescent="0.25">
      <c r="XFD94" t="s">
        <v>384</v>
      </c>
    </row>
    <row r="95" spans="16384:16384" hidden="1" x14ac:dyDescent="0.25">
      <c r="XFD95" t="s">
        <v>4</v>
      </c>
    </row>
    <row r="96" spans="16384:16384" hidden="1" x14ac:dyDescent="0.25">
      <c r="XFD96" t="s">
        <v>3</v>
      </c>
    </row>
    <row r="97" spans="16384:16384" hidden="1" x14ac:dyDescent="0.25">
      <c r="XFD97" t="s">
        <v>384</v>
      </c>
    </row>
    <row r="98" spans="16384:16384" hidden="1" x14ac:dyDescent="0.25">
      <c r="XFD98" t="s">
        <v>384</v>
      </c>
    </row>
    <row r="99" spans="16384:16384" hidden="1" x14ac:dyDescent="0.25">
      <c r="XFD99" t="s">
        <v>384</v>
      </c>
    </row>
    <row r="100" spans="16384:16384" hidden="1" x14ac:dyDescent="0.25">
      <c r="XFD100" t="s">
        <v>384</v>
      </c>
    </row>
    <row r="101" spans="16384:16384" hidden="1" x14ac:dyDescent="0.25">
      <c r="XFD101" t="s">
        <v>384</v>
      </c>
    </row>
    <row r="102" spans="16384:16384" hidden="1" x14ac:dyDescent="0.25">
      <c r="XFD102" t="s">
        <v>384</v>
      </c>
    </row>
    <row r="103" spans="16384:16384" hidden="1" x14ac:dyDescent="0.25">
      <c r="XFD103" t="s">
        <v>4</v>
      </c>
    </row>
    <row r="104" spans="16384:16384" hidden="1" x14ac:dyDescent="0.25">
      <c r="XFD104" t="s">
        <v>4</v>
      </c>
    </row>
    <row r="105" spans="16384:16384" hidden="1" x14ac:dyDescent="0.25">
      <c r="XFD105" t="s">
        <v>3</v>
      </c>
    </row>
    <row r="106" spans="16384:16384" hidden="1" x14ac:dyDescent="0.25">
      <c r="XFD106" t="s">
        <v>384</v>
      </c>
    </row>
    <row r="107" spans="16384:16384" hidden="1" x14ac:dyDescent="0.25">
      <c r="XFD107" t="s">
        <v>384</v>
      </c>
    </row>
    <row r="108" spans="16384:16384" hidden="1" x14ac:dyDescent="0.25">
      <c r="XFD108" t="s">
        <v>384</v>
      </c>
    </row>
    <row r="109" spans="16384:16384" hidden="1" x14ac:dyDescent="0.25">
      <c r="XFD109" t="s">
        <v>3</v>
      </c>
    </row>
    <row r="110" spans="16384:16384" hidden="1" x14ac:dyDescent="0.25">
      <c r="XFD110" t="s">
        <v>384</v>
      </c>
    </row>
    <row r="111" spans="16384:16384" hidden="1" x14ac:dyDescent="0.25">
      <c r="XFD111" t="s">
        <v>384</v>
      </c>
    </row>
    <row r="112" spans="16384:16384" hidden="1" x14ac:dyDescent="0.25">
      <c r="XFD112" t="s">
        <v>384</v>
      </c>
    </row>
    <row r="113" spans="16384:16384" hidden="1" x14ac:dyDescent="0.25">
      <c r="XFD113" t="s">
        <v>384</v>
      </c>
    </row>
    <row r="114" spans="16384:16384" hidden="1" x14ac:dyDescent="0.25">
      <c r="XFD114" t="s">
        <v>384</v>
      </c>
    </row>
    <row r="115" spans="16384:16384" hidden="1" x14ac:dyDescent="0.25">
      <c r="XFD115" t="s">
        <v>384</v>
      </c>
    </row>
    <row r="116" spans="16384:16384" hidden="1" x14ac:dyDescent="0.25">
      <c r="XFD116" t="s">
        <v>384</v>
      </c>
    </row>
    <row r="117" spans="16384:16384" hidden="1" x14ac:dyDescent="0.25">
      <c r="XFD117" t="s">
        <v>384</v>
      </c>
    </row>
    <row r="118" spans="16384:16384" hidden="1" x14ac:dyDescent="0.25">
      <c r="XFD118" t="s">
        <v>384</v>
      </c>
    </row>
    <row r="119" spans="16384:16384" hidden="1" x14ac:dyDescent="0.25">
      <c r="XFD119" t="s">
        <v>3</v>
      </c>
    </row>
    <row r="120" spans="16384:16384" hidden="1" x14ac:dyDescent="0.25">
      <c r="XFD120" t="s">
        <v>3</v>
      </c>
    </row>
    <row r="121" spans="16384:16384" hidden="1" x14ac:dyDescent="0.25">
      <c r="XFD121" t="s">
        <v>3</v>
      </c>
    </row>
    <row r="122" spans="16384:16384" hidden="1" x14ac:dyDescent="0.25">
      <c r="XFD122" t="s">
        <v>3</v>
      </c>
    </row>
    <row r="123" spans="16384:16384" hidden="1" x14ac:dyDescent="0.25">
      <c r="XFD123" t="s">
        <v>384</v>
      </c>
    </row>
    <row r="124" spans="16384:16384" hidden="1" x14ac:dyDescent="0.25">
      <c r="XFD124" t="s">
        <v>384</v>
      </c>
    </row>
    <row r="125" spans="16384:16384" hidden="1" x14ac:dyDescent="0.25">
      <c r="XFD125" t="s">
        <v>3</v>
      </c>
    </row>
    <row r="126" spans="16384:16384" hidden="1" x14ac:dyDescent="0.25">
      <c r="XFD126" t="s">
        <v>3</v>
      </c>
    </row>
    <row r="127" spans="16384:16384" hidden="1" x14ac:dyDescent="0.25">
      <c r="XFD127" t="s">
        <v>3</v>
      </c>
    </row>
    <row r="128" spans="16384:16384" hidden="1" x14ac:dyDescent="0.25">
      <c r="XFD128" t="s">
        <v>3</v>
      </c>
    </row>
    <row r="129" spans="16384:16384" hidden="1" x14ac:dyDescent="0.25">
      <c r="XFD129" t="s">
        <v>3</v>
      </c>
    </row>
    <row r="130" spans="16384:16384" hidden="1" x14ac:dyDescent="0.25">
      <c r="XFD130" t="s">
        <v>3</v>
      </c>
    </row>
    <row r="131" spans="16384:16384" hidden="1" x14ac:dyDescent="0.25">
      <c r="XFD131" t="s">
        <v>3</v>
      </c>
    </row>
    <row r="132" spans="16384:16384" hidden="1" x14ac:dyDescent="0.25">
      <c r="XFD132" t="s">
        <v>3</v>
      </c>
    </row>
    <row r="133" spans="16384:16384" hidden="1" x14ac:dyDescent="0.25">
      <c r="XFD133" t="s">
        <v>3</v>
      </c>
    </row>
    <row r="134" spans="16384:16384" hidden="1" x14ac:dyDescent="0.25">
      <c r="XFD134" t="s">
        <v>3</v>
      </c>
    </row>
    <row r="135" spans="16384:16384" hidden="1" x14ac:dyDescent="0.25">
      <c r="XFD135" t="s">
        <v>3</v>
      </c>
    </row>
    <row r="136" spans="16384:16384" hidden="1" x14ac:dyDescent="0.25">
      <c r="XFD136" t="s">
        <v>3</v>
      </c>
    </row>
    <row r="137" spans="16384:16384" hidden="1" x14ac:dyDescent="0.25">
      <c r="XFD137" t="s">
        <v>3</v>
      </c>
    </row>
    <row r="138" spans="16384:16384" hidden="1" x14ac:dyDescent="0.25">
      <c r="XFD138" t="s">
        <v>3</v>
      </c>
    </row>
    <row r="139" spans="16384:16384" hidden="1" x14ac:dyDescent="0.25">
      <c r="XFD139" t="s">
        <v>3</v>
      </c>
    </row>
    <row r="140" spans="16384:16384" hidden="1" x14ac:dyDescent="0.25">
      <c r="XFD140" t="s">
        <v>3</v>
      </c>
    </row>
    <row r="141" spans="16384:16384" hidden="1" x14ac:dyDescent="0.25">
      <c r="XFD141" t="s">
        <v>3</v>
      </c>
    </row>
    <row r="142" spans="16384:16384" hidden="1" x14ac:dyDescent="0.25">
      <c r="XFD142" t="s">
        <v>3</v>
      </c>
    </row>
    <row r="143" spans="16384:16384" hidden="1" x14ac:dyDescent="0.25">
      <c r="XFD143" t="s">
        <v>3</v>
      </c>
    </row>
    <row r="144" spans="16384:16384" hidden="1" x14ac:dyDescent="0.25">
      <c r="XFD144" t="s">
        <v>3</v>
      </c>
    </row>
    <row r="145" spans="16384:16384" hidden="1" x14ac:dyDescent="0.25">
      <c r="XFD145" t="s">
        <v>3</v>
      </c>
    </row>
    <row r="146" spans="16384:16384" hidden="1" x14ac:dyDescent="0.25">
      <c r="XFD146" t="s">
        <v>3</v>
      </c>
    </row>
    <row r="147" spans="16384:16384" hidden="1" x14ac:dyDescent="0.25">
      <c r="XFD147" t="s">
        <v>3</v>
      </c>
    </row>
    <row r="148" spans="16384:16384" hidden="1" x14ac:dyDescent="0.25">
      <c r="XFD148" t="s">
        <v>3</v>
      </c>
    </row>
    <row r="149" spans="16384:16384" hidden="1" x14ac:dyDescent="0.25">
      <c r="XFD149" t="s">
        <v>3</v>
      </c>
    </row>
    <row r="150" spans="16384:16384" hidden="1" x14ac:dyDescent="0.25">
      <c r="XFD150" t="s">
        <v>3</v>
      </c>
    </row>
    <row r="151" spans="16384:16384" hidden="1" x14ac:dyDescent="0.25">
      <c r="XFD151" t="s">
        <v>3</v>
      </c>
    </row>
    <row r="152" spans="16384:16384" hidden="1" x14ac:dyDescent="0.25">
      <c r="XFD152" t="s">
        <v>3</v>
      </c>
    </row>
    <row r="153" spans="16384:16384" hidden="1" x14ac:dyDescent="0.25">
      <c r="XFD153" t="s">
        <v>3</v>
      </c>
    </row>
    <row r="154" spans="16384:16384" hidden="1" x14ac:dyDescent="0.25">
      <c r="XFD154" t="s">
        <v>3</v>
      </c>
    </row>
    <row r="155" spans="16384:16384" hidden="1" x14ac:dyDescent="0.25">
      <c r="XFD155" t="s">
        <v>3</v>
      </c>
    </row>
    <row r="156" spans="16384:16384" hidden="1" x14ac:dyDescent="0.25">
      <c r="XFD156" t="s">
        <v>3</v>
      </c>
    </row>
    <row r="157" spans="16384:16384" hidden="1" x14ac:dyDescent="0.25">
      <c r="XFD157" t="s">
        <v>3</v>
      </c>
    </row>
    <row r="158" spans="16384:16384" hidden="1" x14ac:dyDescent="0.25">
      <c r="XFD158" t="s">
        <v>3</v>
      </c>
    </row>
    <row r="159" spans="16384:16384" hidden="1" x14ac:dyDescent="0.25">
      <c r="XFD159" t="s">
        <v>3</v>
      </c>
    </row>
    <row r="160" spans="16384:16384" hidden="1" x14ac:dyDescent="0.25">
      <c r="XFD160" t="s">
        <v>3</v>
      </c>
    </row>
    <row r="161" spans="16384:16384" hidden="1" x14ac:dyDescent="0.25">
      <c r="XFD161" t="s">
        <v>3</v>
      </c>
    </row>
    <row r="162" spans="16384:16384" hidden="1" x14ac:dyDescent="0.25">
      <c r="XFD162" t="s">
        <v>3</v>
      </c>
    </row>
    <row r="163" spans="16384:16384" hidden="1" x14ac:dyDescent="0.25">
      <c r="XFD163" t="s">
        <v>4</v>
      </c>
    </row>
    <row r="164" spans="16384:16384" hidden="1" x14ac:dyDescent="0.25">
      <c r="XFD164" t="s">
        <v>3</v>
      </c>
    </row>
    <row r="165" spans="16384:16384" hidden="1" x14ac:dyDescent="0.25">
      <c r="XFD165" t="s">
        <v>3</v>
      </c>
    </row>
    <row r="166" spans="16384:16384" hidden="1" x14ac:dyDescent="0.25">
      <c r="XFD166" t="s">
        <v>3</v>
      </c>
    </row>
    <row r="167" spans="16384:16384" hidden="1" x14ac:dyDescent="0.25">
      <c r="XFD167" t="s">
        <v>3</v>
      </c>
    </row>
    <row r="168" spans="16384:16384" hidden="1" x14ac:dyDescent="0.25">
      <c r="XFD168" t="s">
        <v>3</v>
      </c>
    </row>
    <row r="169" spans="16384:16384" hidden="1" x14ac:dyDescent="0.25">
      <c r="XFD169" t="s">
        <v>3</v>
      </c>
    </row>
    <row r="170" spans="16384:16384" hidden="1" x14ac:dyDescent="0.25">
      <c r="XFD170" t="s">
        <v>3</v>
      </c>
    </row>
    <row r="171" spans="16384:16384" hidden="1" x14ac:dyDescent="0.25">
      <c r="XFD171" t="s">
        <v>3</v>
      </c>
    </row>
    <row r="172" spans="16384:16384" hidden="1" x14ac:dyDescent="0.25">
      <c r="XFD172" t="s">
        <v>3</v>
      </c>
    </row>
    <row r="173" spans="16384:16384" hidden="1" x14ac:dyDescent="0.25">
      <c r="XFD173" t="s">
        <v>3</v>
      </c>
    </row>
    <row r="174" spans="16384:16384" hidden="1" x14ac:dyDescent="0.25">
      <c r="XFD174" t="s">
        <v>3</v>
      </c>
    </row>
    <row r="175" spans="16384:16384" hidden="1" x14ac:dyDescent="0.25">
      <c r="XFD175" t="s">
        <v>3</v>
      </c>
    </row>
    <row r="176" spans="16384:16384" hidden="1" x14ac:dyDescent="0.25">
      <c r="XFD176" t="s">
        <v>3</v>
      </c>
    </row>
    <row r="177" spans="16384:16384" hidden="1" x14ac:dyDescent="0.25">
      <c r="XFD177" t="s">
        <v>3</v>
      </c>
    </row>
    <row r="178" spans="16384:16384" hidden="1" x14ac:dyDescent="0.25">
      <c r="XFD178" t="s">
        <v>3</v>
      </c>
    </row>
    <row r="179" spans="16384:16384" hidden="1" x14ac:dyDescent="0.25">
      <c r="XFD179" t="s">
        <v>3</v>
      </c>
    </row>
    <row r="180" spans="16384:16384" hidden="1" x14ac:dyDescent="0.25">
      <c r="XFD180" t="s">
        <v>3</v>
      </c>
    </row>
    <row r="181" spans="16384:16384" hidden="1" x14ac:dyDescent="0.25">
      <c r="XFD181" t="s">
        <v>3</v>
      </c>
    </row>
    <row r="182" spans="16384:16384" hidden="1" x14ac:dyDescent="0.25">
      <c r="XFD182" t="s">
        <v>3</v>
      </c>
    </row>
    <row r="183" spans="16384:16384" hidden="1" x14ac:dyDescent="0.25">
      <c r="XFD183" t="s">
        <v>3</v>
      </c>
    </row>
    <row r="184" spans="16384:16384" hidden="1" x14ac:dyDescent="0.25">
      <c r="XFD184" t="s">
        <v>3</v>
      </c>
    </row>
    <row r="185" spans="16384:16384" hidden="1" x14ac:dyDescent="0.25">
      <c r="XFD185" t="s">
        <v>3</v>
      </c>
    </row>
    <row r="186" spans="16384:16384" hidden="1" x14ac:dyDescent="0.25">
      <c r="XFD186" t="s">
        <v>3</v>
      </c>
    </row>
    <row r="187" spans="16384:16384" hidden="1" x14ac:dyDescent="0.25">
      <c r="XFD187" t="s">
        <v>3</v>
      </c>
    </row>
    <row r="188" spans="16384:16384" hidden="1" x14ac:dyDescent="0.25"/>
    <row r="189" spans="16384:16384" hidden="1" x14ac:dyDescent="0.25">
      <c r="XFD189" t="s">
        <v>3</v>
      </c>
    </row>
    <row r="190" spans="16384:16384" hidden="1" x14ac:dyDescent="0.25">
      <c r="XFD190" t="s">
        <v>3</v>
      </c>
    </row>
    <row r="191" spans="16384:16384" hidden="1" x14ac:dyDescent="0.25">
      <c r="XFD191" t="s">
        <v>3</v>
      </c>
    </row>
    <row r="192" spans="16384:16384" hidden="1" x14ac:dyDescent="0.25">
      <c r="XFD192" t="s">
        <v>3</v>
      </c>
    </row>
    <row r="193" spans="16384:16384" hidden="1" x14ac:dyDescent="0.25">
      <c r="XFD193" t="s">
        <v>3</v>
      </c>
    </row>
    <row r="194" spans="16384:16384" hidden="1" x14ac:dyDescent="0.25">
      <c r="XFD194" t="s">
        <v>3</v>
      </c>
    </row>
    <row r="195" spans="16384:16384" hidden="1" x14ac:dyDescent="0.25">
      <c r="XFD195" t="s">
        <v>3</v>
      </c>
    </row>
    <row r="196" spans="16384:16384" hidden="1" x14ac:dyDescent="0.25">
      <c r="XFD196" t="s">
        <v>3</v>
      </c>
    </row>
    <row r="197" spans="16384:16384" hidden="1" x14ac:dyDescent="0.25">
      <c r="XFD197" t="s">
        <v>3</v>
      </c>
    </row>
    <row r="198" spans="16384:16384" hidden="1" x14ac:dyDescent="0.25">
      <c r="XFD198" t="s">
        <v>3</v>
      </c>
    </row>
    <row r="199" spans="16384:16384" hidden="1" x14ac:dyDescent="0.25">
      <c r="XFD199" t="s">
        <v>3</v>
      </c>
    </row>
    <row r="200" spans="16384:16384" hidden="1" x14ac:dyDescent="0.25">
      <c r="XFD200" t="s">
        <v>3</v>
      </c>
    </row>
    <row r="201" spans="16384:16384" hidden="1" x14ac:dyDescent="0.25">
      <c r="XFD201" t="s">
        <v>3</v>
      </c>
    </row>
    <row r="202" spans="16384:16384" hidden="1" x14ac:dyDescent="0.25">
      <c r="XFD202" t="s">
        <v>3</v>
      </c>
    </row>
    <row r="203" spans="16384:16384" hidden="1" x14ac:dyDescent="0.25">
      <c r="XFD203" t="s">
        <v>3</v>
      </c>
    </row>
    <row r="204" spans="16384:16384" hidden="1" x14ac:dyDescent="0.25">
      <c r="XFD204" t="s">
        <v>3</v>
      </c>
    </row>
    <row r="205" spans="16384:16384" hidden="1" x14ac:dyDescent="0.25">
      <c r="XFD205" t="s">
        <v>3</v>
      </c>
    </row>
    <row r="206" spans="16384:16384" hidden="1" x14ac:dyDescent="0.25">
      <c r="XFD206" t="s">
        <v>3</v>
      </c>
    </row>
    <row r="207" spans="16384:16384" hidden="1" x14ac:dyDescent="0.25">
      <c r="XFD207" t="s">
        <v>3</v>
      </c>
    </row>
    <row r="208" spans="16384:16384" hidden="1" x14ac:dyDescent="0.25">
      <c r="XFD208" t="s">
        <v>3</v>
      </c>
    </row>
    <row r="209" spans="16384:16384" hidden="1" x14ac:dyDescent="0.25">
      <c r="XFD209" t="s">
        <v>3</v>
      </c>
    </row>
    <row r="210" spans="16384:16384" hidden="1" x14ac:dyDescent="0.25">
      <c r="XFD210" t="s">
        <v>3</v>
      </c>
    </row>
    <row r="211" spans="16384:16384" hidden="1" x14ac:dyDescent="0.25">
      <c r="XFD211" t="s">
        <v>3</v>
      </c>
    </row>
    <row r="212" spans="16384:16384" hidden="1" x14ac:dyDescent="0.25">
      <c r="XFD212" t="s">
        <v>3</v>
      </c>
    </row>
    <row r="213" spans="16384:16384" hidden="1" x14ac:dyDescent="0.25">
      <c r="XFD213" t="s">
        <v>3</v>
      </c>
    </row>
    <row r="214" spans="16384:16384" hidden="1" x14ac:dyDescent="0.25">
      <c r="XFD214" t="s">
        <v>3</v>
      </c>
    </row>
    <row r="215" spans="16384:16384" hidden="1" x14ac:dyDescent="0.25">
      <c r="XFD215" t="s">
        <v>3</v>
      </c>
    </row>
    <row r="216" spans="16384:16384" hidden="1" x14ac:dyDescent="0.25">
      <c r="XFD216" t="s">
        <v>3</v>
      </c>
    </row>
    <row r="217" spans="16384:16384" hidden="1" x14ac:dyDescent="0.25">
      <c r="XFD217" t="s">
        <v>3</v>
      </c>
    </row>
    <row r="218" spans="16384:16384" hidden="1" x14ac:dyDescent="0.25">
      <c r="XFD218" t="s">
        <v>3</v>
      </c>
    </row>
    <row r="219" spans="16384:16384" hidden="1" x14ac:dyDescent="0.25">
      <c r="XFD219" t="s">
        <v>3</v>
      </c>
    </row>
    <row r="220" spans="16384:16384" hidden="1" x14ac:dyDescent="0.25">
      <c r="XFD220" t="s">
        <v>3</v>
      </c>
    </row>
    <row r="221" spans="16384:16384" hidden="1" x14ac:dyDescent="0.25">
      <c r="XFD221" t="s">
        <v>3</v>
      </c>
    </row>
    <row r="222" spans="16384:16384" hidden="1" x14ac:dyDescent="0.25">
      <c r="XFD222" t="s">
        <v>3</v>
      </c>
    </row>
    <row r="223" spans="16384:16384" hidden="1" x14ac:dyDescent="0.25">
      <c r="XFD223" t="s">
        <v>3</v>
      </c>
    </row>
    <row r="224" spans="16384:16384" hidden="1" x14ac:dyDescent="0.25">
      <c r="XFD224" t="s">
        <v>3</v>
      </c>
    </row>
    <row r="225" spans="16384:16384" hidden="1" x14ac:dyDescent="0.25">
      <c r="XFD225" t="s">
        <v>3</v>
      </c>
    </row>
    <row r="226" spans="16384:16384" hidden="1" x14ac:dyDescent="0.25">
      <c r="XFD226" t="s">
        <v>3</v>
      </c>
    </row>
    <row r="227" spans="16384:16384" hidden="1" x14ac:dyDescent="0.25">
      <c r="XFD227" t="s">
        <v>3</v>
      </c>
    </row>
    <row r="228" spans="16384:16384" hidden="1" x14ac:dyDescent="0.25">
      <c r="XFD228" t="s">
        <v>3</v>
      </c>
    </row>
    <row r="229" spans="16384:16384" hidden="1" x14ac:dyDescent="0.25">
      <c r="XFD229" t="s">
        <v>3</v>
      </c>
    </row>
    <row r="230" spans="16384:16384" hidden="1" x14ac:dyDescent="0.25">
      <c r="XFD230" t="s">
        <v>3</v>
      </c>
    </row>
    <row r="231" spans="16384:16384" hidden="1" x14ac:dyDescent="0.25">
      <c r="XFD231" t="s">
        <v>3</v>
      </c>
    </row>
    <row r="232" spans="16384:16384" hidden="1" x14ac:dyDescent="0.25">
      <c r="XFD232" t="s">
        <v>3</v>
      </c>
    </row>
    <row r="233" spans="16384:16384" hidden="1" x14ac:dyDescent="0.25">
      <c r="XFD233" t="s">
        <v>3</v>
      </c>
    </row>
    <row r="234" spans="16384:16384" hidden="1" x14ac:dyDescent="0.25">
      <c r="XFD234" t="s">
        <v>3</v>
      </c>
    </row>
    <row r="235" spans="16384:16384" hidden="1" x14ac:dyDescent="0.25">
      <c r="XFD235" t="s">
        <v>3</v>
      </c>
    </row>
    <row r="236" spans="16384:16384" hidden="1" x14ac:dyDescent="0.25">
      <c r="XFD236" t="s">
        <v>4</v>
      </c>
    </row>
    <row r="237" spans="16384:16384" hidden="1" x14ac:dyDescent="0.25">
      <c r="XFD237" t="s">
        <v>3</v>
      </c>
    </row>
    <row r="238" spans="16384:16384" hidden="1" x14ac:dyDescent="0.25">
      <c r="XFD238" t="s">
        <v>3</v>
      </c>
    </row>
    <row r="239" spans="16384:16384" hidden="1" x14ac:dyDescent="0.25">
      <c r="XFD239" t="s">
        <v>3</v>
      </c>
    </row>
    <row r="240" spans="16384:16384" hidden="1" x14ac:dyDescent="0.25">
      <c r="XFD240" t="s">
        <v>3</v>
      </c>
    </row>
    <row r="241" spans="16384:16384" hidden="1" x14ac:dyDescent="0.25">
      <c r="XFD241" t="s">
        <v>3</v>
      </c>
    </row>
    <row r="242" spans="16384:16384" hidden="1" x14ac:dyDescent="0.25">
      <c r="XFD242" t="s">
        <v>3</v>
      </c>
    </row>
    <row r="243" spans="16384:16384" hidden="1" x14ac:dyDescent="0.25">
      <c r="XFD243" t="s">
        <v>3</v>
      </c>
    </row>
    <row r="244" spans="16384:16384" hidden="1" x14ac:dyDescent="0.25">
      <c r="XFD244" t="s">
        <v>3</v>
      </c>
    </row>
    <row r="245" spans="16384:16384" hidden="1" x14ac:dyDescent="0.25">
      <c r="XFD245" t="s">
        <v>3</v>
      </c>
    </row>
    <row r="246" spans="16384:16384" hidden="1" x14ac:dyDescent="0.25">
      <c r="XFD246" t="s">
        <v>3</v>
      </c>
    </row>
    <row r="247" spans="16384:16384" hidden="1" x14ac:dyDescent="0.25">
      <c r="XFD247" t="s">
        <v>3</v>
      </c>
    </row>
    <row r="248" spans="16384:16384" hidden="1" x14ac:dyDescent="0.25">
      <c r="XFD248" t="s">
        <v>3</v>
      </c>
    </row>
    <row r="249" spans="16384:16384" hidden="1" x14ac:dyDescent="0.25">
      <c r="XFD249" t="s">
        <v>3</v>
      </c>
    </row>
    <row r="250" spans="16384:16384" hidden="1" x14ac:dyDescent="0.25">
      <c r="XFD250" t="s">
        <v>3</v>
      </c>
    </row>
    <row r="251" spans="16384:16384" hidden="1" x14ac:dyDescent="0.25">
      <c r="XFD251" t="s">
        <v>3</v>
      </c>
    </row>
    <row r="252" spans="16384:16384" hidden="1" x14ac:dyDescent="0.25">
      <c r="XFD252" t="s">
        <v>3</v>
      </c>
    </row>
    <row r="253" spans="16384:16384" hidden="1" x14ac:dyDescent="0.25">
      <c r="XFD253" t="s">
        <v>3</v>
      </c>
    </row>
    <row r="254" spans="16384:16384" hidden="1" x14ac:dyDescent="0.25">
      <c r="XFD254" t="s">
        <v>3</v>
      </c>
    </row>
    <row r="255" spans="16384:16384" hidden="1" x14ac:dyDescent="0.25">
      <c r="XFD255" t="s">
        <v>3</v>
      </c>
    </row>
    <row r="256" spans="16384:16384" hidden="1" x14ac:dyDescent="0.25">
      <c r="XFD256" t="s">
        <v>3</v>
      </c>
    </row>
    <row r="257" spans="16384:16384" hidden="1" x14ac:dyDescent="0.25">
      <c r="XFD257" t="s">
        <v>3</v>
      </c>
    </row>
    <row r="258" spans="16384:16384" hidden="1" x14ac:dyDescent="0.25">
      <c r="XFD258" t="s">
        <v>3</v>
      </c>
    </row>
    <row r="259" spans="16384:16384" hidden="1" x14ac:dyDescent="0.25">
      <c r="XFD259" t="s">
        <v>3</v>
      </c>
    </row>
    <row r="260" spans="16384:16384" hidden="1" x14ac:dyDescent="0.25">
      <c r="XFD260" t="s">
        <v>3</v>
      </c>
    </row>
    <row r="261" spans="16384:16384" hidden="1" x14ac:dyDescent="0.25">
      <c r="XFD261" t="s">
        <v>3</v>
      </c>
    </row>
    <row r="262" spans="16384:16384" hidden="1" x14ac:dyDescent="0.25">
      <c r="XFD262" t="s">
        <v>3</v>
      </c>
    </row>
    <row r="263" spans="16384:16384" hidden="1" x14ac:dyDescent="0.25">
      <c r="XFD263" t="s">
        <v>3</v>
      </c>
    </row>
    <row r="264" spans="16384:16384" hidden="1" x14ac:dyDescent="0.25">
      <c r="XFD264" t="s">
        <v>3</v>
      </c>
    </row>
    <row r="265" spans="16384:16384" hidden="1" x14ac:dyDescent="0.25">
      <c r="XFD265" t="s">
        <v>3</v>
      </c>
    </row>
    <row r="266" spans="16384:16384" hidden="1" x14ac:dyDescent="0.25">
      <c r="XFD266" t="s">
        <v>3</v>
      </c>
    </row>
    <row r="267" spans="16384:16384" hidden="1" x14ac:dyDescent="0.25">
      <c r="XFD267" t="s">
        <v>3</v>
      </c>
    </row>
    <row r="268" spans="16384:16384" hidden="1" x14ac:dyDescent="0.25">
      <c r="XFD268" t="s">
        <v>3</v>
      </c>
    </row>
    <row r="269" spans="16384:16384" hidden="1" x14ac:dyDescent="0.25">
      <c r="XFD269" t="s">
        <v>3</v>
      </c>
    </row>
    <row r="270" spans="16384:16384" hidden="1" x14ac:dyDescent="0.25">
      <c r="XFD270" t="s">
        <v>3</v>
      </c>
    </row>
    <row r="271" spans="16384:16384" hidden="1" x14ac:dyDescent="0.25">
      <c r="XFD271" t="s">
        <v>3</v>
      </c>
    </row>
    <row r="272" spans="16384:16384" hidden="1" x14ac:dyDescent="0.25">
      <c r="XFD272" t="s">
        <v>3</v>
      </c>
    </row>
    <row r="273" spans="16384:16384" hidden="1" x14ac:dyDescent="0.25">
      <c r="XFD273" t="s">
        <v>3</v>
      </c>
    </row>
    <row r="274" spans="16384:16384" hidden="1" x14ac:dyDescent="0.25">
      <c r="XFD274" t="s">
        <v>3</v>
      </c>
    </row>
    <row r="275" spans="16384:16384" hidden="1" x14ac:dyDescent="0.25">
      <c r="XFD275" t="s">
        <v>3</v>
      </c>
    </row>
    <row r="276" spans="16384:16384" hidden="1" x14ac:dyDescent="0.25">
      <c r="XFD276" t="s">
        <v>3</v>
      </c>
    </row>
    <row r="277" spans="16384:16384" hidden="1" x14ac:dyDescent="0.25">
      <c r="XFD277" t="s">
        <v>3</v>
      </c>
    </row>
    <row r="278" spans="16384:16384" hidden="1" x14ac:dyDescent="0.25">
      <c r="XFD278" t="s">
        <v>3</v>
      </c>
    </row>
    <row r="279" spans="16384:16384" hidden="1" x14ac:dyDescent="0.25">
      <c r="XFD279" t="s">
        <v>3</v>
      </c>
    </row>
    <row r="280" spans="16384:16384" hidden="1" x14ac:dyDescent="0.25">
      <c r="XFD280" t="s">
        <v>3</v>
      </c>
    </row>
    <row r="281" spans="16384:16384" hidden="1" x14ac:dyDescent="0.25">
      <c r="XFD281" t="s">
        <v>3</v>
      </c>
    </row>
    <row r="282" spans="16384:16384" hidden="1" x14ac:dyDescent="0.25">
      <c r="XFD282" t="s">
        <v>3</v>
      </c>
    </row>
    <row r="283" spans="16384:16384" hidden="1" x14ac:dyDescent="0.25">
      <c r="XFD283" t="s">
        <v>3</v>
      </c>
    </row>
    <row r="284" spans="16384:16384" hidden="1" x14ac:dyDescent="0.25">
      <c r="XFD284" t="s">
        <v>3</v>
      </c>
    </row>
    <row r="285" spans="16384:16384" hidden="1" x14ac:dyDescent="0.25">
      <c r="XFD285" t="s">
        <v>3</v>
      </c>
    </row>
    <row r="286" spans="16384:16384" hidden="1" x14ac:dyDescent="0.25">
      <c r="XFD286" t="s">
        <v>3</v>
      </c>
    </row>
    <row r="287" spans="16384:16384" hidden="1" x14ac:dyDescent="0.25">
      <c r="XFD287" t="s">
        <v>3</v>
      </c>
    </row>
    <row r="288" spans="16384:16384" hidden="1" x14ac:dyDescent="0.25">
      <c r="XFD288" t="s">
        <v>3</v>
      </c>
    </row>
    <row r="289" spans="16384:16384" hidden="1" x14ac:dyDescent="0.25"/>
    <row r="290" spans="16384:16384" hidden="1" x14ac:dyDescent="0.25">
      <c r="XFD290" t="s">
        <v>3</v>
      </c>
    </row>
    <row r="291" spans="16384:16384" hidden="1" x14ac:dyDescent="0.25">
      <c r="XFD291" t="s">
        <v>3</v>
      </c>
    </row>
    <row r="292" spans="16384:16384" hidden="1" x14ac:dyDescent="0.25">
      <c r="XFD292" t="s">
        <v>3</v>
      </c>
    </row>
    <row r="293" spans="16384:16384" hidden="1" x14ac:dyDescent="0.25">
      <c r="XFD293" t="s">
        <v>3</v>
      </c>
    </row>
    <row r="294" spans="16384:16384" hidden="1" x14ac:dyDescent="0.25">
      <c r="XFD294" t="s">
        <v>3</v>
      </c>
    </row>
    <row r="295" spans="16384:16384" hidden="1" x14ac:dyDescent="0.25">
      <c r="XFD295" t="s">
        <v>3</v>
      </c>
    </row>
    <row r="296" spans="16384:16384" hidden="1" x14ac:dyDescent="0.25">
      <c r="XFD296" t="s">
        <v>3</v>
      </c>
    </row>
    <row r="297" spans="16384:16384" hidden="1" x14ac:dyDescent="0.25">
      <c r="XFD297" t="s">
        <v>3</v>
      </c>
    </row>
    <row r="298" spans="16384:16384" hidden="1" x14ac:dyDescent="0.25">
      <c r="XFD298" t="s">
        <v>3</v>
      </c>
    </row>
    <row r="299" spans="16384:16384" hidden="1" x14ac:dyDescent="0.25">
      <c r="XFD299" t="s">
        <v>3</v>
      </c>
    </row>
    <row r="300" spans="16384:16384" hidden="1" x14ac:dyDescent="0.25">
      <c r="XFD300" t="s">
        <v>3</v>
      </c>
    </row>
    <row r="301" spans="16384:16384" hidden="1" x14ac:dyDescent="0.25">
      <c r="XFD301" t="s">
        <v>3</v>
      </c>
    </row>
    <row r="302" spans="16384:16384" hidden="1" x14ac:dyDescent="0.25">
      <c r="XFD302" t="s">
        <v>3</v>
      </c>
    </row>
    <row r="303" spans="16384:16384" hidden="1" x14ac:dyDescent="0.25">
      <c r="XFD303" t="s">
        <v>3</v>
      </c>
    </row>
    <row r="304" spans="16384:16384" hidden="1" x14ac:dyDescent="0.25">
      <c r="XFD304" t="s">
        <v>3</v>
      </c>
    </row>
    <row r="305" spans="16384:16384" hidden="1" x14ac:dyDescent="0.25">
      <c r="XFD305" t="s">
        <v>3</v>
      </c>
    </row>
    <row r="306" spans="16384:16384" hidden="1" x14ac:dyDescent="0.25">
      <c r="XFD306" t="s">
        <v>3</v>
      </c>
    </row>
    <row r="307" spans="16384:16384" hidden="1" x14ac:dyDescent="0.25">
      <c r="XFD307" t="s">
        <v>3</v>
      </c>
    </row>
    <row r="308" spans="16384:16384" hidden="1" x14ac:dyDescent="0.25">
      <c r="XFD308" t="s">
        <v>3</v>
      </c>
    </row>
    <row r="309" spans="16384:16384" hidden="1" x14ac:dyDescent="0.25">
      <c r="XFD309" t="s">
        <v>3</v>
      </c>
    </row>
    <row r="310" spans="16384:16384" hidden="1" x14ac:dyDescent="0.25">
      <c r="XFD310" t="s">
        <v>3</v>
      </c>
    </row>
    <row r="311" spans="16384:16384" hidden="1" x14ac:dyDescent="0.25">
      <c r="XFD311" t="s">
        <v>3</v>
      </c>
    </row>
    <row r="312" spans="16384:16384" hidden="1" x14ac:dyDescent="0.25">
      <c r="XFD312" t="s">
        <v>3</v>
      </c>
    </row>
    <row r="313" spans="16384:16384" hidden="1" x14ac:dyDescent="0.25">
      <c r="XFD313" t="s">
        <v>3</v>
      </c>
    </row>
    <row r="314" spans="16384:16384" hidden="1" x14ac:dyDescent="0.25">
      <c r="XFD314" t="s">
        <v>3</v>
      </c>
    </row>
    <row r="315" spans="16384:16384" hidden="1" x14ac:dyDescent="0.25">
      <c r="XFD315" t="s">
        <v>3</v>
      </c>
    </row>
    <row r="316" spans="16384:16384" hidden="1" x14ac:dyDescent="0.25">
      <c r="XFD316" t="s">
        <v>3</v>
      </c>
    </row>
    <row r="317" spans="16384:16384" hidden="1" x14ac:dyDescent="0.25">
      <c r="XFD317" t="s">
        <v>3</v>
      </c>
    </row>
    <row r="318" spans="16384:16384" hidden="1" x14ac:dyDescent="0.25">
      <c r="XFD318" t="s">
        <v>3</v>
      </c>
    </row>
    <row r="319" spans="16384:16384" hidden="1" x14ac:dyDescent="0.25">
      <c r="XFD319" t="s">
        <v>3</v>
      </c>
    </row>
    <row r="320" spans="16384:16384" hidden="1" x14ac:dyDescent="0.25">
      <c r="XFD320" t="s">
        <v>3</v>
      </c>
    </row>
    <row r="321" spans="16384:16384" hidden="1" x14ac:dyDescent="0.25">
      <c r="XFD321" t="s">
        <v>3</v>
      </c>
    </row>
    <row r="322" spans="16384:16384" hidden="1" x14ac:dyDescent="0.25">
      <c r="XFD322" t="s">
        <v>3</v>
      </c>
    </row>
    <row r="323" spans="16384:16384" hidden="1" x14ac:dyDescent="0.25">
      <c r="XFD323" t="s">
        <v>3</v>
      </c>
    </row>
    <row r="324" spans="16384:16384" hidden="1" x14ac:dyDescent="0.25">
      <c r="XFD324" t="s">
        <v>3</v>
      </c>
    </row>
    <row r="325" spans="16384:16384" hidden="1" x14ac:dyDescent="0.25">
      <c r="XFD325" t="s">
        <v>3</v>
      </c>
    </row>
    <row r="326" spans="16384:16384" hidden="1" x14ac:dyDescent="0.25">
      <c r="XFD326" t="s">
        <v>3</v>
      </c>
    </row>
    <row r="327" spans="16384:16384" hidden="1" x14ac:dyDescent="0.25">
      <c r="XFD327" t="s">
        <v>3</v>
      </c>
    </row>
    <row r="328" spans="16384:16384" hidden="1" x14ac:dyDescent="0.25">
      <c r="XFD328" t="s">
        <v>3</v>
      </c>
    </row>
    <row r="329" spans="16384:16384" hidden="1" x14ac:dyDescent="0.25">
      <c r="XFD329" t="s">
        <v>3</v>
      </c>
    </row>
    <row r="330" spans="16384:16384" hidden="1" x14ac:dyDescent="0.25">
      <c r="XFD330" t="s">
        <v>3</v>
      </c>
    </row>
    <row r="331" spans="16384:16384" hidden="1" x14ac:dyDescent="0.25">
      <c r="XFD331" t="s">
        <v>3</v>
      </c>
    </row>
    <row r="332" spans="16384:16384" hidden="1" x14ac:dyDescent="0.25">
      <c r="XFD332" t="s">
        <v>3</v>
      </c>
    </row>
    <row r="333" spans="16384:16384" hidden="1" x14ac:dyDescent="0.25">
      <c r="XFD333" t="s">
        <v>3</v>
      </c>
    </row>
    <row r="334" spans="16384:16384" hidden="1" x14ac:dyDescent="0.25">
      <c r="XFD334" t="s">
        <v>3</v>
      </c>
    </row>
    <row r="335" spans="16384:16384" hidden="1" x14ac:dyDescent="0.25">
      <c r="XFD335" t="s">
        <v>3</v>
      </c>
    </row>
    <row r="336" spans="16384:16384" hidden="1" x14ac:dyDescent="0.25">
      <c r="XFD336" t="s">
        <v>3</v>
      </c>
    </row>
    <row r="337" spans="16384:16384" hidden="1" x14ac:dyDescent="0.25">
      <c r="XFD337" t="s">
        <v>3</v>
      </c>
    </row>
    <row r="338" spans="16384:16384" hidden="1" x14ac:dyDescent="0.25">
      <c r="XFD338" t="s">
        <v>3</v>
      </c>
    </row>
    <row r="339" spans="16384:16384" hidden="1" x14ac:dyDescent="0.25">
      <c r="XFD339" t="s">
        <v>3</v>
      </c>
    </row>
    <row r="340" spans="16384:16384" hidden="1" x14ac:dyDescent="0.25">
      <c r="XFD340" t="s">
        <v>3</v>
      </c>
    </row>
    <row r="341" spans="16384:16384" hidden="1" x14ac:dyDescent="0.25">
      <c r="XFD341" t="s">
        <v>3</v>
      </c>
    </row>
    <row r="342" spans="16384:16384" hidden="1" x14ac:dyDescent="0.25">
      <c r="XFD342" t="s">
        <v>3</v>
      </c>
    </row>
    <row r="343" spans="16384:16384" hidden="1" x14ac:dyDescent="0.25">
      <c r="XFD343" t="s">
        <v>3</v>
      </c>
    </row>
    <row r="344" spans="16384:16384" hidden="1" x14ac:dyDescent="0.25">
      <c r="XFD344" t="s">
        <v>3</v>
      </c>
    </row>
    <row r="345" spans="16384:16384" hidden="1" x14ac:dyDescent="0.25">
      <c r="XFD345" t="s">
        <v>3</v>
      </c>
    </row>
    <row r="346" spans="16384:16384" hidden="1" x14ac:dyDescent="0.25">
      <c r="XFD346" t="s">
        <v>3</v>
      </c>
    </row>
    <row r="347" spans="16384:16384" hidden="1" x14ac:dyDescent="0.25">
      <c r="XFD347" t="s">
        <v>3</v>
      </c>
    </row>
    <row r="348" spans="16384:16384" hidden="1" x14ac:dyDescent="0.25">
      <c r="XFD348" t="s">
        <v>3</v>
      </c>
    </row>
    <row r="349" spans="16384:16384" hidden="1" x14ac:dyDescent="0.25">
      <c r="XFD349" t="s">
        <v>3</v>
      </c>
    </row>
    <row r="350" spans="16384:16384" hidden="1" x14ac:dyDescent="0.25">
      <c r="XFD350" t="s">
        <v>3</v>
      </c>
    </row>
    <row r="351" spans="16384:16384" hidden="1" x14ac:dyDescent="0.25">
      <c r="XFD351" t="s">
        <v>3</v>
      </c>
    </row>
    <row r="352" spans="16384:16384" hidden="1" x14ac:dyDescent="0.25">
      <c r="XFD352" t="s">
        <v>3</v>
      </c>
    </row>
    <row r="353" spans="16384:16384" hidden="1" x14ac:dyDescent="0.25">
      <c r="XFD353" t="s">
        <v>3</v>
      </c>
    </row>
    <row r="354" spans="16384:16384" hidden="1" x14ac:dyDescent="0.25">
      <c r="XFD354" t="s">
        <v>3</v>
      </c>
    </row>
    <row r="355" spans="16384:16384" hidden="1" x14ac:dyDescent="0.25">
      <c r="XFD355" t="s">
        <v>3</v>
      </c>
    </row>
    <row r="356" spans="16384:16384" hidden="1" x14ac:dyDescent="0.25">
      <c r="XFD356" t="s">
        <v>3</v>
      </c>
    </row>
    <row r="357" spans="16384:16384" hidden="1" x14ac:dyDescent="0.25">
      <c r="XFD357" t="s">
        <v>3</v>
      </c>
    </row>
    <row r="358" spans="16384:16384" hidden="1" x14ac:dyDescent="0.25">
      <c r="XFD358" t="s">
        <v>3</v>
      </c>
    </row>
    <row r="359" spans="16384:16384" hidden="1" x14ac:dyDescent="0.25">
      <c r="XFD359" t="s">
        <v>3</v>
      </c>
    </row>
    <row r="360" spans="16384:16384" hidden="1" x14ac:dyDescent="0.25">
      <c r="XFD360" t="s">
        <v>3</v>
      </c>
    </row>
    <row r="361" spans="16384:16384" hidden="1" x14ac:dyDescent="0.25">
      <c r="XFD361" t="s">
        <v>3</v>
      </c>
    </row>
    <row r="362" spans="16384:16384" hidden="1" x14ac:dyDescent="0.25">
      <c r="XFD362" t="s">
        <v>3</v>
      </c>
    </row>
    <row r="363" spans="16384:16384" hidden="1" x14ac:dyDescent="0.25">
      <c r="XFD363" t="s">
        <v>3</v>
      </c>
    </row>
    <row r="364" spans="16384:16384" hidden="1" x14ac:dyDescent="0.25">
      <c r="XFD364" t="s">
        <v>3</v>
      </c>
    </row>
    <row r="365" spans="16384:16384" hidden="1" x14ac:dyDescent="0.25">
      <c r="XFD365" t="s">
        <v>3</v>
      </c>
    </row>
    <row r="366" spans="16384:16384" hidden="1" x14ac:dyDescent="0.25">
      <c r="XFD366" t="s">
        <v>3</v>
      </c>
    </row>
    <row r="367" spans="16384:16384" hidden="1" x14ac:dyDescent="0.25">
      <c r="XFD367" t="s">
        <v>3</v>
      </c>
    </row>
    <row r="368" spans="16384:16384" hidden="1" x14ac:dyDescent="0.25">
      <c r="XFD368" t="s">
        <v>3</v>
      </c>
    </row>
    <row r="369" spans="16384:16384" hidden="1" x14ac:dyDescent="0.25">
      <c r="XFD369" t="s">
        <v>3</v>
      </c>
    </row>
    <row r="370" spans="16384:16384" hidden="1" x14ac:dyDescent="0.25">
      <c r="XFD370" t="s">
        <v>384</v>
      </c>
    </row>
    <row r="371" spans="16384:16384" hidden="1" x14ac:dyDescent="0.25">
      <c r="XFD371" t="s">
        <v>384</v>
      </c>
    </row>
    <row r="372" spans="16384:16384" hidden="1" x14ac:dyDescent="0.25"/>
    <row r="373" spans="16384:16384" hidden="1" x14ac:dyDescent="0.25">
      <c r="XFD373" t="s">
        <v>384</v>
      </c>
    </row>
    <row r="374" spans="16384:16384" hidden="1" x14ac:dyDescent="0.25">
      <c r="XFD374" t="s">
        <v>384</v>
      </c>
    </row>
    <row r="375" spans="16384:16384" hidden="1" x14ac:dyDescent="0.25">
      <c r="XFD375" t="s">
        <v>384</v>
      </c>
    </row>
    <row r="376" spans="16384:16384" hidden="1" x14ac:dyDescent="0.25">
      <c r="XFD376" t="s">
        <v>384</v>
      </c>
    </row>
    <row r="377" spans="16384:16384" hidden="1" x14ac:dyDescent="0.25">
      <c r="XFD377" t="s">
        <v>384</v>
      </c>
    </row>
    <row r="378" spans="16384:16384" hidden="1" x14ac:dyDescent="0.25">
      <c r="XFD378" t="s">
        <v>384</v>
      </c>
    </row>
    <row r="379" spans="16384:16384" hidden="1" x14ac:dyDescent="0.25">
      <c r="XFD379" t="s">
        <v>384</v>
      </c>
    </row>
    <row r="380" spans="16384:16384" hidden="1" x14ac:dyDescent="0.25">
      <c r="XFD380" t="s">
        <v>384</v>
      </c>
    </row>
    <row r="381" spans="16384:16384" hidden="1" x14ac:dyDescent="0.25">
      <c r="XFD381" t="s">
        <v>384</v>
      </c>
    </row>
    <row r="382" spans="16384:16384" hidden="1" x14ac:dyDescent="0.25">
      <c r="XFD382" t="s">
        <v>384</v>
      </c>
    </row>
    <row r="383" spans="16384:16384" hidden="1" x14ac:dyDescent="0.25"/>
    <row r="384" spans="16384:16384" hidden="1" x14ac:dyDescent="0.25">
      <c r="XFD384" t="s">
        <v>384</v>
      </c>
    </row>
    <row r="385" spans="16384:16384" hidden="1" x14ac:dyDescent="0.25">
      <c r="XFD385" t="s">
        <v>384</v>
      </c>
    </row>
    <row r="386" spans="16384:16384" hidden="1" x14ac:dyDescent="0.25">
      <c r="XFD386" t="s">
        <v>384</v>
      </c>
    </row>
    <row r="387" spans="16384:16384" hidden="1" x14ac:dyDescent="0.25">
      <c r="XFD387" t="s">
        <v>384</v>
      </c>
    </row>
    <row r="388" spans="16384:16384" hidden="1" x14ac:dyDescent="0.25">
      <c r="XFD388" t="s">
        <v>384</v>
      </c>
    </row>
    <row r="389" spans="16384:16384" hidden="1" x14ac:dyDescent="0.25">
      <c r="XFD389" t="s">
        <v>384</v>
      </c>
    </row>
    <row r="390" spans="16384:16384" hidden="1" x14ac:dyDescent="0.25">
      <c r="XFD390" t="s">
        <v>384</v>
      </c>
    </row>
    <row r="391" spans="16384:16384" hidden="1" x14ac:dyDescent="0.25">
      <c r="XFD391" t="s">
        <v>384</v>
      </c>
    </row>
    <row r="392" spans="16384:16384" hidden="1" x14ac:dyDescent="0.25">
      <c r="XFD392" t="s">
        <v>384</v>
      </c>
    </row>
    <row r="393" spans="16384:16384" hidden="1" x14ac:dyDescent="0.25">
      <c r="XFD393" t="s">
        <v>384</v>
      </c>
    </row>
    <row r="394" spans="16384:16384" hidden="1" x14ac:dyDescent="0.25">
      <c r="XFD394" t="s">
        <v>384</v>
      </c>
    </row>
    <row r="395" spans="16384:16384" hidden="1" x14ac:dyDescent="0.25">
      <c r="XFD395" t="s">
        <v>384</v>
      </c>
    </row>
    <row r="396" spans="16384:16384" hidden="1" x14ac:dyDescent="0.25">
      <c r="XFD396" t="s">
        <v>384</v>
      </c>
    </row>
    <row r="397" spans="16384:16384" hidden="1" x14ac:dyDescent="0.25">
      <c r="XFD397" t="s">
        <v>384</v>
      </c>
    </row>
    <row r="398" spans="16384:16384" hidden="1" x14ac:dyDescent="0.25">
      <c r="XFD398" t="s">
        <v>384</v>
      </c>
    </row>
    <row r="399" spans="16384:16384" hidden="1" x14ac:dyDescent="0.25">
      <c r="XFD399" t="s">
        <v>384</v>
      </c>
    </row>
    <row r="400" spans="16384:16384" hidden="1" x14ac:dyDescent="0.25">
      <c r="XFD400" t="s">
        <v>384</v>
      </c>
    </row>
    <row r="401" spans="16384:16384" hidden="1" x14ac:dyDescent="0.25">
      <c r="XFD401" t="s">
        <v>384</v>
      </c>
    </row>
    <row r="402" spans="16384:16384" hidden="1" x14ac:dyDescent="0.25">
      <c r="XFD402" t="s">
        <v>384</v>
      </c>
    </row>
    <row r="403" spans="16384:16384" hidden="1" x14ac:dyDescent="0.25">
      <c r="XFD403" t="s">
        <v>384</v>
      </c>
    </row>
    <row r="404" spans="16384:16384" hidden="1" x14ac:dyDescent="0.25">
      <c r="XFD404" t="s">
        <v>384</v>
      </c>
    </row>
    <row r="405" spans="16384:16384" hidden="1" x14ac:dyDescent="0.25">
      <c r="XFD405" t="s">
        <v>384</v>
      </c>
    </row>
    <row r="406" spans="16384:16384" hidden="1" x14ac:dyDescent="0.25">
      <c r="XFD406" t="s">
        <v>384</v>
      </c>
    </row>
    <row r="407" spans="16384:16384" hidden="1" x14ac:dyDescent="0.25">
      <c r="XFD407" t="s">
        <v>384</v>
      </c>
    </row>
    <row r="408" spans="16384:16384" hidden="1" x14ac:dyDescent="0.25">
      <c r="XFD408" t="s">
        <v>384</v>
      </c>
    </row>
    <row r="409" spans="16384:16384" hidden="1" x14ac:dyDescent="0.25">
      <c r="XFD409" t="s">
        <v>384</v>
      </c>
    </row>
    <row r="410" spans="16384:16384" hidden="1" x14ac:dyDescent="0.25">
      <c r="XFD410" t="s">
        <v>384</v>
      </c>
    </row>
    <row r="411" spans="16384:16384" hidden="1" x14ac:dyDescent="0.25"/>
    <row r="412" spans="16384:16384" hidden="1" x14ac:dyDescent="0.25">
      <c r="XFD412" t="s">
        <v>384</v>
      </c>
    </row>
    <row r="413" spans="16384:16384" hidden="1" x14ac:dyDescent="0.25">
      <c r="XFD413" t="s">
        <v>384</v>
      </c>
    </row>
    <row r="414" spans="16384:16384" hidden="1" x14ac:dyDescent="0.25">
      <c r="XFD414" t="s">
        <v>384</v>
      </c>
    </row>
    <row r="415" spans="16384:16384" hidden="1" x14ac:dyDescent="0.25">
      <c r="XFD415" t="s">
        <v>384</v>
      </c>
    </row>
    <row r="416" spans="16384:16384" hidden="1" x14ac:dyDescent="0.25">
      <c r="XFD416" t="s">
        <v>384</v>
      </c>
    </row>
    <row r="417" spans="16384:16384" hidden="1" x14ac:dyDescent="0.25">
      <c r="XFD417" t="s">
        <v>384</v>
      </c>
    </row>
    <row r="418" spans="16384:16384" hidden="1" x14ac:dyDescent="0.25">
      <c r="XFD418" t="s">
        <v>384</v>
      </c>
    </row>
    <row r="419" spans="16384:16384" hidden="1" x14ac:dyDescent="0.25">
      <c r="XFD419" t="s">
        <v>384</v>
      </c>
    </row>
    <row r="420" spans="16384:16384" hidden="1" x14ac:dyDescent="0.25">
      <c r="XFD420" t="s">
        <v>3</v>
      </c>
    </row>
    <row r="421" spans="16384:16384" hidden="1" x14ac:dyDescent="0.25"/>
    <row r="422" spans="16384:16384" hidden="1" x14ac:dyDescent="0.25">
      <c r="XFD422" t="s">
        <v>384</v>
      </c>
    </row>
    <row r="423" spans="16384:16384" hidden="1" x14ac:dyDescent="0.25">
      <c r="XFD423" t="s">
        <v>384</v>
      </c>
    </row>
    <row r="424" spans="16384:16384" hidden="1" x14ac:dyDescent="0.25">
      <c r="XFD424" t="s">
        <v>384</v>
      </c>
    </row>
    <row r="425" spans="16384:16384" hidden="1" x14ac:dyDescent="0.25">
      <c r="XFD425" t="s">
        <v>384</v>
      </c>
    </row>
    <row r="426" spans="16384:16384" hidden="1" x14ac:dyDescent="0.25">
      <c r="XFD426" t="s">
        <v>384</v>
      </c>
    </row>
    <row r="427" spans="16384:16384" hidden="1" x14ac:dyDescent="0.25"/>
    <row r="428" spans="16384:16384" hidden="1" x14ac:dyDescent="0.25">
      <c r="XFD428" t="s">
        <v>384</v>
      </c>
    </row>
    <row r="429" spans="16384:16384" hidden="1" x14ac:dyDescent="0.25">
      <c r="XFD429" t="s">
        <v>384</v>
      </c>
    </row>
    <row r="430" spans="16384:16384" hidden="1" x14ac:dyDescent="0.25">
      <c r="XFD430" t="s">
        <v>384</v>
      </c>
    </row>
    <row r="431" spans="16384:16384" hidden="1" x14ac:dyDescent="0.25">
      <c r="XFD431" t="s">
        <v>384</v>
      </c>
    </row>
    <row r="432" spans="16384:16384" hidden="1" x14ac:dyDescent="0.25">
      <c r="XFD432" t="s">
        <v>384</v>
      </c>
    </row>
    <row r="433" spans="16384:16384" hidden="1" x14ac:dyDescent="0.25">
      <c r="XFD433" t="s">
        <v>384</v>
      </c>
    </row>
    <row r="434" spans="16384:16384" hidden="1" x14ac:dyDescent="0.25">
      <c r="XFD434" t="s">
        <v>384</v>
      </c>
    </row>
    <row r="435" spans="16384:16384" hidden="1" x14ac:dyDescent="0.25">
      <c r="XFD435" t="s">
        <v>384</v>
      </c>
    </row>
    <row r="436" spans="16384:16384" hidden="1" x14ac:dyDescent="0.25">
      <c r="XFD436" t="s">
        <v>384</v>
      </c>
    </row>
    <row r="437" spans="16384:16384" hidden="1" x14ac:dyDescent="0.25">
      <c r="XFD437" t="s">
        <v>384</v>
      </c>
    </row>
    <row r="438" spans="16384:16384" hidden="1" x14ac:dyDescent="0.25">
      <c r="XFD438" t="s">
        <v>384</v>
      </c>
    </row>
    <row r="439" spans="16384:16384" hidden="1" x14ac:dyDescent="0.25">
      <c r="XFD439" t="s">
        <v>384</v>
      </c>
    </row>
    <row r="440" spans="16384:16384" hidden="1" x14ac:dyDescent="0.25">
      <c r="XFD440" t="s">
        <v>384</v>
      </c>
    </row>
    <row r="441" spans="16384:16384" hidden="1" x14ac:dyDescent="0.25">
      <c r="XFD441" t="s">
        <v>384</v>
      </c>
    </row>
    <row r="442" spans="16384:16384" hidden="1" x14ac:dyDescent="0.25">
      <c r="XFD442" t="s">
        <v>384</v>
      </c>
    </row>
    <row r="443" spans="16384:16384" hidden="1" x14ac:dyDescent="0.25">
      <c r="XFD443" t="s">
        <v>384</v>
      </c>
    </row>
    <row r="444" spans="16384:16384" hidden="1" x14ac:dyDescent="0.25">
      <c r="XFD444" t="s">
        <v>384</v>
      </c>
    </row>
    <row r="445" spans="16384:16384" hidden="1" x14ac:dyDescent="0.25">
      <c r="XFD445" t="s">
        <v>384</v>
      </c>
    </row>
    <row r="446" spans="16384:16384" hidden="1" x14ac:dyDescent="0.25">
      <c r="XFD446" t="s">
        <v>384</v>
      </c>
    </row>
    <row r="447" spans="16384:16384" hidden="1" x14ac:dyDescent="0.25">
      <c r="XFD447" t="s">
        <v>384</v>
      </c>
    </row>
    <row r="448" spans="16384:16384" hidden="1" x14ac:dyDescent="0.25">
      <c r="XFD448" t="s">
        <v>384</v>
      </c>
    </row>
    <row r="449" spans="16384:16384" hidden="1" x14ac:dyDescent="0.25">
      <c r="XFD449" t="s">
        <v>384</v>
      </c>
    </row>
    <row r="450" spans="16384:16384" hidden="1" x14ac:dyDescent="0.25">
      <c r="XFD450" t="s">
        <v>384</v>
      </c>
    </row>
    <row r="451" spans="16384:16384" hidden="1" x14ac:dyDescent="0.25">
      <c r="XFD451" t="s">
        <v>3</v>
      </c>
    </row>
    <row r="452" spans="16384:16384" hidden="1" x14ac:dyDescent="0.25">
      <c r="XFD452" t="s">
        <v>3</v>
      </c>
    </row>
    <row r="453" spans="16384:16384" hidden="1" x14ac:dyDescent="0.25">
      <c r="XFD453" t="s">
        <v>384</v>
      </c>
    </row>
    <row r="454" spans="16384:16384" hidden="1" x14ac:dyDescent="0.25">
      <c r="XFD454" t="s">
        <v>384</v>
      </c>
    </row>
    <row r="455" spans="16384:16384" hidden="1" x14ac:dyDescent="0.25">
      <c r="XFD455" t="s">
        <v>384</v>
      </c>
    </row>
    <row r="456" spans="16384:16384" hidden="1" x14ac:dyDescent="0.25">
      <c r="XFD456" t="s">
        <v>384</v>
      </c>
    </row>
    <row r="457" spans="16384:16384" hidden="1" x14ac:dyDescent="0.25">
      <c r="XFD457" t="s">
        <v>384</v>
      </c>
    </row>
    <row r="458" spans="16384:16384" hidden="1" x14ac:dyDescent="0.25">
      <c r="XFD458" t="s">
        <v>384</v>
      </c>
    </row>
    <row r="459" spans="16384:16384" hidden="1" x14ac:dyDescent="0.25">
      <c r="XFD459" t="s">
        <v>384</v>
      </c>
    </row>
    <row r="460" spans="16384:16384" hidden="1" x14ac:dyDescent="0.25">
      <c r="XFD460" t="s">
        <v>384</v>
      </c>
    </row>
    <row r="461" spans="16384:16384" hidden="1" x14ac:dyDescent="0.25">
      <c r="XFD461" t="s">
        <v>3</v>
      </c>
    </row>
    <row r="462" spans="16384:16384" hidden="1" x14ac:dyDescent="0.25">
      <c r="XFD462" t="s">
        <v>3</v>
      </c>
    </row>
    <row r="463" spans="16384:16384" hidden="1" x14ac:dyDescent="0.25">
      <c r="XFD463" t="s">
        <v>384</v>
      </c>
    </row>
    <row r="464" spans="16384:16384" hidden="1" x14ac:dyDescent="0.25">
      <c r="XFD464" t="s">
        <v>384</v>
      </c>
    </row>
    <row r="465" spans="16384:16384" hidden="1" x14ac:dyDescent="0.25">
      <c r="XFD465" t="s">
        <v>384</v>
      </c>
    </row>
    <row r="466" spans="16384:16384" hidden="1" x14ac:dyDescent="0.25">
      <c r="XFD466" t="s">
        <v>384</v>
      </c>
    </row>
    <row r="467" spans="16384:16384" hidden="1" x14ac:dyDescent="0.25">
      <c r="XFD467" t="s">
        <v>384</v>
      </c>
    </row>
    <row r="468" spans="16384:16384" hidden="1" x14ac:dyDescent="0.25">
      <c r="XFD468" t="s">
        <v>384</v>
      </c>
    </row>
    <row r="469" spans="16384:16384" hidden="1" x14ac:dyDescent="0.25">
      <c r="XFD469" t="s">
        <v>384</v>
      </c>
    </row>
    <row r="470" spans="16384:16384" hidden="1" x14ac:dyDescent="0.25">
      <c r="XFD470" t="s">
        <v>384</v>
      </c>
    </row>
    <row r="471" spans="16384:16384" hidden="1" x14ac:dyDescent="0.25">
      <c r="XFD471" t="s">
        <v>384</v>
      </c>
    </row>
    <row r="472" spans="16384:16384" hidden="1" x14ac:dyDescent="0.25">
      <c r="XFD472" t="s">
        <v>384</v>
      </c>
    </row>
    <row r="473" spans="16384:16384" hidden="1" x14ac:dyDescent="0.25">
      <c r="XFD473" t="s">
        <v>384</v>
      </c>
    </row>
    <row r="474" spans="16384:16384" hidden="1" x14ac:dyDescent="0.25">
      <c r="XFD474" t="s">
        <v>3</v>
      </c>
    </row>
    <row r="475" spans="16384:16384" hidden="1" x14ac:dyDescent="0.25">
      <c r="XFD475" t="s">
        <v>3</v>
      </c>
    </row>
    <row r="476" spans="16384:16384" hidden="1" x14ac:dyDescent="0.25">
      <c r="XFD476" t="s">
        <v>3</v>
      </c>
    </row>
    <row r="477" spans="16384:16384" hidden="1" x14ac:dyDescent="0.25">
      <c r="XFD477" t="s">
        <v>384</v>
      </c>
    </row>
    <row r="478" spans="16384:16384" hidden="1" x14ac:dyDescent="0.25">
      <c r="XFD478" t="s">
        <v>3</v>
      </c>
    </row>
    <row r="479" spans="16384:16384" hidden="1" x14ac:dyDescent="0.25">
      <c r="XFD479" t="s">
        <v>384</v>
      </c>
    </row>
    <row r="480" spans="16384:16384" hidden="1" x14ac:dyDescent="0.25">
      <c r="XFD480" t="s">
        <v>384</v>
      </c>
    </row>
    <row r="481" spans="16384:16384" hidden="1" x14ac:dyDescent="0.25">
      <c r="XFD481" t="s">
        <v>384</v>
      </c>
    </row>
    <row r="482" spans="16384:16384" hidden="1" x14ac:dyDescent="0.25">
      <c r="XFD482" t="s">
        <v>384</v>
      </c>
    </row>
    <row r="483" spans="16384:16384" hidden="1" x14ac:dyDescent="0.25">
      <c r="XFD483" t="s">
        <v>384</v>
      </c>
    </row>
    <row r="484" spans="16384:16384" hidden="1" x14ac:dyDescent="0.25">
      <c r="XFD484" t="s">
        <v>384</v>
      </c>
    </row>
    <row r="485" spans="16384:16384" hidden="1" x14ac:dyDescent="0.25">
      <c r="XFD485" t="s">
        <v>384</v>
      </c>
    </row>
    <row r="486" spans="16384:16384" hidden="1" x14ac:dyDescent="0.25">
      <c r="XFD486" t="s">
        <v>384</v>
      </c>
    </row>
    <row r="487" spans="16384:16384" hidden="1" x14ac:dyDescent="0.25">
      <c r="XFD487" t="s">
        <v>384</v>
      </c>
    </row>
    <row r="488" spans="16384:16384" hidden="1" x14ac:dyDescent="0.25">
      <c r="XFD488" t="s">
        <v>384</v>
      </c>
    </row>
    <row r="489" spans="16384:16384" hidden="1" x14ac:dyDescent="0.25">
      <c r="XFD489" t="s">
        <v>384</v>
      </c>
    </row>
    <row r="490" spans="16384:16384" hidden="1" x14ac:dyDescent="0.25">
      <c r="XFD490" t="s">
        <v>384</v>
      </c>
    </row>
    <row r="491" spans="16384:16384" hidden="1" x14ac:dyDescent="0.25">
      <c r="XFD491" t="s">
        <v>384</v>
      </c>
    </row>
    <row r="492" spans="16384:16384" hidden="1" x14ac:dyDescent="0.25">
      <c r="XFD492" t="s">
        <v>384</v>
      </c>
    </row>
    <row r="493" spans="16384:16384" hidden="1" x14ac:dyDescent="0.25">
      <c r="XFD493" t="s">
        <v>384</v>
      </c>
    </row>
    <row r="494" spans="16384:16384" hidden="1" x14ac:dyDescent="0.25">
      <c r="XFD494" t="s">
        <v>384</v>
      </c>
    </row>
    <row r="495" spans="16384:16384" hidden="1" x14ac:dyDescent="0.25">
      <c r="XFD495" t="s">
        <v>384</v>
      </c>
    </row>
    <row r="496" spans="16384:16384" hidden="1" x14ac:dyDescent="0.25">
      <c r="XFD496" t="s">
        <v>384</v>
      </c>
    </row>
    <row r="497" spans="16384:16384" hidden="1" x14ac:dyDescent="0.25">
      <c r="XFD497" t="s">
        <v>384</v>
      </c>
    </row>
    <row r="498" spans="16384:16384" hidden="1" x14ac:dyDescent="0.25">
      <c r="XFD498" t="s">
        <v>3</v>
      </c>
    </row>
    <row r="499" spans="16384:16384" hidden="1" x14ac:dyDescent="0.25">
      <c r="XFD499" t="s">
        <v>3</v>
      </c>
    </row>
    <row r="500" spans="16384:16384" hidden="1" x14ac:dyDescent="0.25">
      <c r="XFD500" t="s">
        <v>3</v>
      </c>
    </row>
    <row r="501" spans="16384:16384" hidden="1" x14ac:dyDescent="0.25">
      <c r="XFD501" t="s">
        <v>3</v>
      </c>
    </row>
    <row r="502" spans="16384:16384" hidden="1" x14ac:dyDescent="0.25">
      <c r="XFD502" t="s">
        <v>3</v>
      </c>
    </row>
    <row r="503" spans="16384:16384" hidden="1" x14ac:dyDescent="0.25">
      <c r="XFD503" t="s">
        <v>3</v>
      </c>
    </row>
    <row r="504" spans="16384:16384" hidden="1" x14ac:dyDescent="0.25">
      <c r="XFD504" t="s">
        <v>3</v>
      </c>
    </row>
    <row r="505" spans="16384:16384" hidden="1" x14ac:dyDescent="0.25">
      <c r="XFD505" t="s">
        <v>3</v>
      </c>
    </row>
    <row r="506" spans="16384:16384" hidden="1" x14ac:dyDescent="0.25">
      <c r="XFD506" t="s">
        <v>3</v>
      </c>
    </row>
    <row r="507" spans="16384:16384" hidden="1" x14ac:dyDescent="0.25">
      <c r="XFD507" t="s">
        <v>3</v>
      </c>
    </row>
    <row r="508" spans="16384:16384" hidden="1" x14ac:dyDescent="0.25">
      <c r="XFD508" t="s">
        <v>3</v>
      </c>
    </row>
    <row r="509" spans="16384:16384" hidden="1" x14ac:dyDescent="0.25">
      <c r="XFD509" t="s">
        <v>3</v>
      </c>
    </row>
    <row r="510" spans="16384:16384" hidden="1" x14ac:dyDescent="0.25">
      <c r="XFD510" t="s">
        <v>3</v>
      </c>
    </row>
    <row r="511" spans="16384:16384" hidden="1" x14ac:dyDescent="0.25">
      <c r="XFD511" t="s">
        <v>3</v>
      </c>
    </row>
    <row r="512" spans="16384:16384" hidden="1" x14ac:dyDescent="0.25">
      <c r="XFD512" t="s">
        <v>3</v>
      </c>
    </row>
    <row r="513" spans="16384:16384" hidden="1" x14ac:dyDescent="0.25">
      <c r="XFD513" t="s">
        <v>3</v>
      </c>
    </row>
    <row r="514" spans="16384:16384" hidden="1" x14ac:dyDescent="0.25">
      <c r="XFD514" t="s">
        <v>3</v>
      </c>
    </row>
    <row r="515" spans="16384:16384" hidden="1" x14ac:dyDescent="0.25">
      <c r="XFD515" t="s">
        <v>3</v>
      </c>
    </row>
    <row r="516" spans="16384:16384" hidden="1" x14ac:dyDescent="0.25">
      <c r="XFD516" t="s">
        <v>3</v>
      </c>
    </row>
    <row r="517" spans="16384:16384" hidden="1" x14ac:dyDescent="0.25">
      <c r="XFD517" t="s">
        <v>3</v>
      </c>
    </row>
    <row r="518" spans="16384:16384" hidden="1" x14ac:dyDescent="0.25">
      <c r="XFD518" t="s">
        <v>3</v>
      </c>
    </row>
    <row r="519" spans="16384:16384" hidden="1" x14ac:dyDescent="0.25">
      <c r="XFD519" t="s">
        <v>3</v>
      </c>
    </row>
    <row r="520" spans="16384:16384" hidden="1" x14ac:dyDescent="0.25">
      <c r="XFD520" t="s">
        <v>3</v>
      </c>
    </row>
    <row r="521" spans="16384:16384" hidden="1" x14ac:dyDescent="0.25">
      <c r="XFD521" t="s">
        <v>3</v>
      </c>
    </row>
    <row r="522" spans="16384:16384" hidden="1" x14ac:dyDescent="0.25">
      <c r="XFD522" t="s">
        <v>3</v>
      </c>
    </row>
    <row r="523" spans="16384:16384" hidden="1" x14ac:dyDescent="0.25">
      <c r="XFD523" t="s">
        <v>3</v>
      </c>
    </row>
    <row r="524" spans="16384:16384" hidden="1" x14ac:dyDescent="0.25">
      <c r="XFD524" t="s">
        <v>3</v>
      </c>
    </row>
    <row r="525" spans="16384:16384" hidden="1" x14ac:dyDescent="0.25">
      <c r="XFD525" t="s">
        <v>3</v>
      </c>
    </row>
    <row r="526" spans="16384:16384" hidden="1" x14ac:dyDescent="0.25">
      <c r="XFD526" t="s">
        <v>3</v>
      </c>
    </row>
    <row r="527" spans="16384:16384" hidden="1" x14ac:dyDescent="0.25">
      <c r="XFD527" t="s">
        <v>3</v>
      </c>
    </row>
    <row r="528" spans="16384:16384" hidden="1" x14ac:dyDescent="0.25">
      <c r="XFD528" t="s">
        <v>3</v>
      </c>
    </row>
    <row r="529" spans="16384:16384" hidden="1" x14ac:dyDescent="0.25">
      <c r="XFD529" t="s">
        <v>3</v>
      </c>
    </row>
    <row r="530" spans="16384:16384" hidden="1" x14ac:dyDescent="0.25">
      <c r="XFD530" t="s">
        <v>3</v>
      </c>
    </row>
    <row r="531" spans="16384:16384" hidden="1" x14ac:dyDescent="0.25">
      <c r="XFD531" t="s">
        <v>3</v>
      </c>
    </row>
    <row r="532" spans="16384:16384" hidden="1" x14ac:dyDescent="0.25">
      <c r="XFD532" t="s">
        <v>3</v>
      </c>
    </row>
    <row r="533" spans="16384:16384" hidden="1" x14ac:dyDescent="0.25">
      <c r="XFD533" t="s">
        <v>3</v>
      </c>
    </row>
    <row r="534" spans="16384:16384" hidden="1" x14ac:dyDescent="0.25">
      <c r="XFD534" t="s">
        <v>3</v>
      </c>
    </row>
    <row r="535" spans="16384:16384" hidden="1" x14ac:dyDescent="0.25">
      <c r="XFD535" t="s">
        <v>3</v>
      </c>
    </row>
    <row r="536" spans="16384:16384" hidden="1" x14ac:dyDescent="0.25">
      <c r="XFD536" t="s">
        <v>3</v>
      </c>
    </row>
    <row r="537" spans="16384:16384" hidden="1" x14ac:dyDescent="0.25">
      <c r="XFD537" t="s">
        <v>3</v>
      </c>
    </row>
    <row r="538" spans="16384:16384" hidden="1" x14ac:dyDescent="0.25">
      <c r="XFD538" t="s">
        <v>3</v>
      </c>
    </row>
    <row r="539" spans="16384:16384" hidden="1" x14ac:dyDescent="0.25">
      <c r="XFD539" t="s">
        <v>3</v>
      </c>
    </row>
    <row r="540" spans="16384:16384" hidden="1" x14ac:dyDescent="0.25">
      <c r="XFD540" t="s">
        <v>3</v>
      </c>
    </row>
    <row r="541" spans="16384:16384" hidden="1" x14ac:dyDescent="0.25">
      <c r="XFD541" t="s">
        <v>3</v>
      </c>
    </row>
    <row r="542" spans="16384:16384" hidden="1" x14ac:dyDescent="0.25">
      <c r="XFD542" t="s">
        <v>3</v>
      </c>
    </row>
    <row r="543" spans="16384:16384" hidden="1" x14ac:dyDescent="0.25">
      <c r="XFD543" t="s">
        <v>3</v>
      </c>
    </row>
    <row r="544" spans="16384:16384" hidden="1" x14ac:dyDescent="0.25">
      <c r="XFD544" t="s">
        <v>3</v>
      </c>
    </row>
    <row r="545" spans="16384:16384" hidden="1" x14ac:dyDescent="0.25">
      <c r="XFD545" t="s">
        <v>3</v>
      </c>
    </row>
    <row r="546" spans="16384:16384" hidden="1" x14ac:dyDescent="0.25">
      <c r="XFD546" t="s">
        <v>3</v>
      </c>
    </row>
    <row r="547" spans="16384:16384" hidden="1" x14ac:dyDescent="0.25">
      <c r="XFD547" t="s">
        <v>3</v>
      </c>
    </row>
    <row r="548" spans="16384:16384" hidden="1" x14ac:dyDescent="0.25">
      <c r="XFD548" t="s">
        <v>3</v>
      </c>
    </row>
    <row r="549" spans="16384:16384" hidden="1" x14ac:dyDescent="0.25">
      <c r="XFD549" t="s">
        <v>3</v>
      </c>
    </row>
    <row r="550" spans="16384:16384" hidden="1" x14ac:dyDescent="0.25">
      <c r="XFD550" t="s">
        <v>3</v>
      </c>
    </row>
    <row r="551" spans="16384:16384" hidden="1" x14ac:dyDescent="0.25">
      <c r="XFD551" t="s">
        <v>3</v>
      </c>
    </row>
    <row r="552" spans="16384:16384" hidden="1" x14ac:dyDescent="0.25">
      <c r="XFD552" t="s">
        <v>3</v>
      </c>
    </row>
    <row r="553" spans="16384:16384" hidden="1" x14ac:dyDescent="0.25">
      <c r="XFD553" t="s">
        <v>3</v>
      </c>
    </row>
    <row r="554" spans="16384:16384" hidden="1" x14ac:dyDescent="0.25">
      <c r="XFD554" t="s">
        <v>3</v>
      </c>
    </row>
    <row r="555" spans="16384:16384" hidden="1" x14ac:dyDescent="0.25">
      <c r="XFD555" t="s">
        <v>3</v>
      </c>
    </row>
    <row r="556" spans="16384:16384" hidden="1" x14ac:dyDescent="0.25">
      <c r="XFD556" t="s">
        <v>3</v>
      </c>
    </row>
    <row r="557" spans="16384:16384" hidden="1" x14ac:dyDescent="0.25">
      <c r="XFD557" t="s">
        <v>3</v>
      </c>
    </row>
    <row r="558" spans="16384:16384" hidden="1" x14ac:dyDescent="0.25">
      <c r="XFD558" t="s">
        <v>3</v>
      </c>
    </row>
    <row r="559" spans="16384:16384" hidden="1" x14ac:dyDescent="0.25">
      <c r="XFD559" t="s">
        <v>3</v>
      </c>
    </row>
    <row r="560" spans="16384:16384" hidden="1" x14ac:dyDescent="0.25">
      <c r="XFD560" t="s">
        <v>3</v>
      </c>
    </row>
    <row r="561" spans="16384:16384" hidden="1" x14ac:dyDescent="0.25">
      <c r="XFD561" t="s">
        <v>3</v>
      </c>
    </row>
    <row r="562" spans="16384:16384" hidden="1" x14ac:dyDescent="0.25">
      <c r="XFD562" t="s">
        <v>3</v>
      </c>
    </row>
    <row r="563" spans="16384:16384" hidden="1" x14ac:dyDescent="0.25">
      <c r="XFD563" t="s">
        <v>3</v>
      </c>
    </row>
    <row r="564" spans="16384:16384" hidden="1" x14ac:dyDescent="0.25">
      <c r="XFD564" t="s">
        <v>3</v>
      </c>
    </row>
    <row r="565" spans="16384:16384" hidden="1" x14ac:dyDescent="0.25">
      <c r="XFD565" t="s">
        <v>3</v>
      </c>
    </row>
    <row r="566" spans="16384:16384" hidden="1" x14ac:dyDescent="0.25">
      <c r="XFD566" t="s">
        <v>3</v>
      </c>
    </row>
    <row r="567" spans="16384:16384" hidden="1" x14ac:dyDescent="0.25">
      <c r="XFD567" t="s">
        <v>3</v>
      </c>
    </row>
    <row r="568" spans="16384:16384" hidden="1" x14ac:dyDescent="0.25">
      <c r="XFD568" t="s">
        <v>3</v>
      </c>
    </row>
    <row r="569" spans="16384:16384" hidden="1" x14ac:dyDescent="0.25">
      <c r="XFD569" t="s">
        <v>3</v>
      </c>
    </row>
    <row r="570" spans="16384:16384" hidden="1" x14ac:dyDescent="0.25">
      <c r="XFD570" t="s">
        <v>3</v>
      </c>
    </row>
    <row r="571" spans="16384:16384" hidden="1" x14ac:dyDescent="0.25">
      <c r="XFD571" t="s">
        <v>3</v>
      </c>
    </row>
    <row r="572" spans="16384:16384" hidden="1" x14ac:dyDescent="0.25">
      <c r="XFD572" t="s">
        <v>3</v>
      </c>
    </row>
    <row r="573" spans="16384:16384" hidden="1" x14ac:dyDescent="0.25">
      <c r="XFD573" t="s">
        <v>3</v>
      </c>
    </row>
    <row r="574" spans="16384:16384" hidden="1" x14ac:dyDescent="0.25">
      <c r="XFD574" t="s">
        <v>3</v>
      </c>
    </row>
    <row r="575" spans="16384:16384" hidden="1" x14ac:dyDescent="0.25">
      <c r="XFD575" t="s">
        <v>3</v>
      </c>
    </row>
    <row r="576" spans="16384:16384" hidden="1" x14ac:dyDescent="0.25">
      <c r="XFD576" t="s">
        <v>3</v>
      </c>
    </row>
    <row r="577" spans="16384:16384" hidden="1" x14ac:dyDescent="0.25">
      <c r="XFD577" t="s">
        <v>3</v>
      </c>
    </row>
    <row r="578" spans="16384:16384" hidden="1" x14ac:dyDescent="0.25">
      <c r="XFD578" t="s">
        <v>3</v>
      </c>
    </row>
    <row r="579" spans="16384:16384" hidden="1" x14ac:dyDescent="0.25">
      <c r="XFD579" t="s">
        <v>3</v>
      </c>
    </row>
    <row r="580" spans="16384:16384" hidden="1" x14ac:dyDescent="0.25">
      <c r="XFD580" t="s">
        <v>3</v>
      </c>
    </row>
    <row r="581" spans="16384:16384" hidden="1" x14ac:dyDescent="0.25">
      <c r="XFD581" t="s">
        <v>3</v>
      </c>
    </row>
    <row r="582" spans="16384:16384" hidden="1" x14ac:dyDescent="0.25">
      <c r="XFD582" t="s">
        <v>3</v>
      </c>
    </row>
    <row r="583" spans="16384:16384" hidden="1" x14ac:dyDescent="0.25">
      <c r="XFD583" t="s">
        <v>3</v>
      </c>
    </row>
    <row r="584" spans="16384:16384" hidden="1" x14ac:dyDescent="0.25">
      <c r="XFD584" t="s">
        <v>3</v>
      </c>
    </row>
    <row r="585" spans="16384:16384" hidden="1" x14ac:dyDescent="0.25">
      <c r="XFD585" t="s">
        <v>3</v>
      </c>
    </row>
    <row r="586" spans="16384:16384" hidden="1" x14ac:dyDescent="0.25">
      <c r="XFD586" t="s">
        <v>3</v>
      </c>
    </row>
    <row r="587" spans="16384:16384" hidden="1" x14ac:dyDescent="0.25">
      <c r="XFD587" t="s">
        <v>3</v>
      </c>
    </row>
    <row r="588" spans="16384:16384" hidden="1" x14ac:dyDescent="0.25">
      <c r="XFD588" t="s">
        <v>3</v>
      </c>
    </row>
    <row r="589" spans="16384:16384" hidden="1" x14ac:dyDescent="0.25">
      <c r="XFD589" t="s">
        <v>3</v>
      </c>
    </row>
    <row r="590" spans="16384:16384" hidden="1" x14ac:dyDescent="0.25">
      <c r="XFD590" t="s">
        <v>3</v>
      </c>
    </row>
    <row r="591" spans="16384:16384" hidden="1" x14ac:dyDescent="0.25">
      <c r="XFD591" t="s">
        <v>3</v>
      </c>
    </row>
    <row r="592" spans="16384:16384" hidden="1" x14ac:dyDescent="0.25">
      <c r="XFD592" t="s">
        <v>3</v>
      </c>
    </row>
    <row r="593" spans="16384:16384" hidden="1" x14ac:dyDescent="0.25">
      <c r="XFD593" t="s">
        <v>3</v>
      </c>
    </row>
    <row r="594" spans="16384:16384" hidden="1" x14ac:dyDescent="0.25">
      <c r="XFD594" t="s">
        <v>3</v>
      </c>
    </row>
    <row r="595" spans="16384:16384" hidden="1" x14ac:dyDescent="0.25">
      <c r="XFD595" t="s">
        <v>3</v>
      </c>
    </row>
    <row r="596" spans="16384:16384" hidden="1" x14ac:dyDescent="0.25">
      <c r="XFD596" t="s">
        <v>3</v>
      </c>
    </row>
    <row r="597" spans="16384:16384" hidden="1" x14ac:dyDescent="0.25">
      <c r="XFD597" t="s">
        <v>3</v>
      </c>
    </row>
    <row r="598" spans="16384:16384" hidden="1" x14ac:dyDescent="0.25">
      <c r="XFD598" t="s">
        <v>3</v>
      </c>
    </row>
    <row r="599" spans="16384:16384" hidden="1" x14ac:dyDescent="0.25">
      <c r="XFD599" t="s">
        <v>3</v>
      </c>
    </row>
    <row r="600" spans="16384:16384" hidden="1" x14ac:dyDescent="0.25">
      <c r="XFD600" t="s">
        <v>3</v>
      </c>
    </row>
    <row r="601" spans="16384:16384" hidden="1" x14ac:dyDescent="0.25">
      <c r="XFD601" t="s">
        <v>3</v>
      </c>
    </row>
    <row r="602" spans="16384:16384" hidden="1" x14ac:dyDescent="0.25">
      <c r="XFD602" t="s">
        <v>3</v>
      </c>
    </row>
    <row r="603" spans="16384:16384" hidden="1" x14ac:dyDescent="0.25">
      <c r="XFD603" t="s">
        <v>3</v>
      </c>
    </row>
    <row r="604" spans="16384:16384" hidden="1" x14ac:dyDescent="0.25">
      <c r="XFD604" t="s">
        <v>3</v>
      </c>
    </row>
    <row r="605" spans="16384:16384" hidden="1" x14ac:dyDescent="0.25">
      <c r="XFD605" t="s">
        <v>3</v>
      </c>
    </row>
    <row r="606" spans="16384:16384" hidden="1" x14ac:dyDescent="0.25">
      <c r="XFD606" t="s">
        <v>3</v>
      </c>
    </row>
    <row r="607" spans="16384:16384" hidden="1" x14ac:dyDescent="0.25">
      <c r="XFD607" t="s">
        <v>3</v>
      </c>
    </row>
    <row r="608" spans="16384:16384" hidden="1" x14ac:dyDescent="0.25">
      <c r="XFD608" t="s">
        <v>3</v>
      </c>
    </row>
    <row r="609" spans="16384:16384" hidden="1" x14ac:dyDescent="0.25">
      <c r="XFD609" t="s">
        <v>3</v>
      </c>
    </row>
    <row r="610" spans="16384:16384" hidden="1" x14ac:dyDescent="0.25">
      <c r="XFD610" t="s">
        <v>3</v>
      </c>
    </row>
    <row r="611" spans="16384:16384" hidden="1" x14ac:dyDescent="0.25">
      <c r="XFD611" t="s">
        <v>3</v>
      </c>
    </row>
    <row r="612" spans="16384:16384" hidden="1" x14ac:dyDescent="0.25">
      <c r="XFD612" t="s">
        <v>3</v>
      </c>
    </row>
    <row r="613" spans="16384:16384" hidden="1" x14ac:dyDescent="0.25">
      <c r="XFD613" t="s">
        <v>3</v>
      </c>
    </row>
    <row r="614" spans="16384:16384" hidden="1" x14ac:dyDescent="0.25">
      <c r="XFD614" t="s">
        <v>3</v>
      </c>
    </row>
    <row r="615" spans="16384:16384" hidden="1" x14ac:dyDescent="0.25">
      <c r="XFD615" t="s">
        <v>3</v>
      </c>
    </row>
    <row r="616" spans="16384:16384" hidden="1" x14ac:dyDescent="0.25">
      <c r="XFD616" t="s">
        <v>3</v>
      </c>
    </row>
    <row r="617" spans="16384:16384" hidden="1" x14ac:dyDescent="0.25">
      <c r="XFD617" t="s">
        <v>3</v>
      </c>
    </row>
    <row r="618" spans="16384:16384" hidden="1" x14ac:dyDescent="0.25">
      <c r="XFD618" t="s">
        <v>3</v>
      </c>
    </row>
    <row r="619" spans="16384:16384" hidden="1" x14ac:dyDescent="0.25">
      <c r="XFD619" t="s">
        <v>3</v>
      </c>
    </row>
    <row r="620" spans="16384:16384" hidden="1" x14ac:dyDescent="0.25">
      <c r="XFD620" t="s">
        <v>3</v>
      </c>
    </row>
    <row r="621" spans="16384:16384" hidden="1" x14ac:dyDescent="0.25">
      <c r="XFD621" t="s">
        <v>3</v>
      </c>
    </row>
    <row r="622" spans="16384:16384" hidden="1" x14ac:dyDescent="0.25">
      <c r="XFD622" t="s">
        <v>3</v>
      </c>
    </row>
    <row r="623" spans="16384:16384" hidden="1" x14ac:dyDescent="0.25">
      <c r="XFD623" t="s">
        <v>3</v>
      </c>
    </row>
    <row r="624" spans="16384:16384" hidden="1" x14ac:dyDescent="0.25">
      <c r="XFD624" t="s">
        <v>3</v>
      </c>
    </row>
    <row r="625" spans="16384:16384" hidden="1" x14ac:dyDescent="0.25">
      <c r="XFD625" t="s">
        <v>3</v>
      </c>
    </row>
    <row r="626" spans="16384:16384" hidden="1" x14ac:dyDescent="0.25">
      <c r="XFD626" t="s">
        <v>3</v>
      </c>
    </row>
    <row r="627" spans="16384:16384" hidden="1" x14ac:dyDescent="0.25">
      <c r="XFD627" t="s">
        <v>3</v>
      </c>
    </row>
    <row r="628" spans="16384:16384" hidden="1" x14ac:dyDescent="0.25">
      <c r="XFD628" t="s">
        <v>3</v>
      </c>
    </row>
    <row r="629" spans="16384:16384" hidden="1" x14ac:dyDescent="0.25">
      <c r="XFD629" t="s">
        <v>3</v>
      </c>
    </row>
    <row r="630" spans="16384:16384" hidden="1" x14ac:dyDescent="0.25">
      <c r="XFD630" t="s">
        <v>3</v>
      </c>
    </row>
    <row r="631" spans="16384:16384" hidden="1" x14ac:dyDescent="0.25">
      <c r="XFD631" t="s">
        <v>3</v>
      </c>
    </row>
    <row r="632" spans="16384:16384" hidden="1" x14ac:dyDescent="0.25">
      <c r="XFD632" t="s">
        <v>3</v>
      </c>
    </row>
    <row r="633" spans="16384:16384" hidden="1" x14ac:dyDescent="0.25">
      <c r="XFD633" t="s">
        <v>3</v>
      </c>
    </row>
    <row r="634" spans="16384:16384" hidden="1" x14ac:dyDescent="0.25">
      <c r="XFD634" t="s">
        <v>3</v>
      </c>
    </row>
    <row r="635" spans="16384:16384" hidden="1" x14ac:dyDescent="0.25">
      <c r="XFD635" t="s">
        <v>3</v>
      </c>
    </row>
    <row r="636" spans="16384:16384" hidden="1" x14ac:dyDescent="0.25">
      <c r="XFD636" t="s">
        <v>3</v>
      </c>
    </row>
    <row r="637" spans="16384:16384" hidden="1" x14ac:dyDescent="0.25">
      <c r="XFD637" t="s">
        <v>3</v>
      </c>
    </row>
    <row r="638" spans="16384:16384" hidden="1" x14ac:dyDescent="0.25">
      <c r="XFD638" t="s">
        <v>3</v>
      </c>
    </row>
    <row r="639" spans="16384:16384" hidden="1" x14ac:dyDescent="0.25">
      <c r="XFD639" t="s">
        <v>3</v>
      </c>
    </row>
    <row r="640" spans="16384:16384" hidden="1" x14ac:dyDescent="0.25">
      <c r="XFD640" t="s">
        <v>3</v>
      </c>
    </row>
    <row r="641" spans="16384:16384" hidden="1" x14ac:dyDescent="0.25">
      <c r="XFD641" t="s">
        <v>3</v>
      </c>
    </row>
    <row r="642" spans="16384:16384" hidden="1" x14ac:dyDescent="0.25">
      <c r="XFD642" t="s">
        <v>3</v>
      </c>
    </row>
    <row r="643" spans="16384:16384" hidden="1" x14ac:dyDescent="0.25">
      <c r="XFD643" t="s">
        <v>3</v>
      </c>
    </row>
    <row r="644" spans="16384:16384" hidden="1" x14ac:dyDescent="0.25">
      <c r="XFD644" t="s">
        <v>3</v>
      </c>
    </row>
    <row r="645" spans="16384:16384" hidden="1" x14ac:dyDescent="0.25">
      <c r="XFD645" t="s">
        <v>3</v>
      </c>
    </row>
    <row r="646" spans="16384:16384" hidden="1" x14ac:dyDescent="0.25">
      <c r="XFD646" t="s">
        <v>3</v>
      </c>
    </row>
    <row r="647" spans="16384:16384" hidden="1" x14ac:dyDescent="0.25">
      <c r="XFD647" t="s">
        <v>3</v>
      </c>
    </row>
    <row r="648" spans="16384:16384" hidden="1" x14ac:dyDescent="0.25">
      <c r="XFD648" t="s">
        <v>3</v>
      </c>
    </row>
    <row r="649" spans="16384:16384" hidden="1" x14ac:dyDescent="0.25">
      <c r="XFD649" t="s">
        <v>3</v>
      </c>
    </row>
    <row r="650" spans="16384:16384" hidden="1" x14ac:dyDescent="0.25">
      <c r="XFD650" t="s">
        <v>3</v>
      </c>
    </row>
    <row r="651" spans="16384:16384" hidden="1" x14ac:dyDescent="0.25">
      <c r="XFD651" t="s">
        <v>3</v>
      </c>
    </row>
    <row r="652" spans="16384:16384" hidden="1" x14ac:dyDescent="0.25">
      <c r="XFD652" t="s">
        <v>3</v>
      </c>
    </row>
    <row r="653" spans="16384:16384" hidden="1" x14ac:dyDescent="0.25">
      <c r="XFD653" t="s">
        <v>3</v>
      </c>
    </row>
    <row r="654" spans="16384:16384" hidden="1" x14ac:dyDescent="0.25">
      <c r="XFD654" t="s">
        <v>3</v>
      </c>
    </row>
    <row r="655" spans="16384:16384" hidden="1" x14ac:dyDescent="0.25">
      <c r="XFD655" t="s">
        <v>3</v>
      </c>
    </row>
    <row r="656" spans="16384:16384" hidden="1" x14ac:dyDescent="0.25">
      <c r="XFD656" t="s">
        <v>3</v>
      </c>
    </row>
    <row r="657" spans="16384:16384" hidden="1" x14ac:dyDescent="0.25">
      <c r="XFD657" t="s">
        <v>3</v>
      </c>
    </row>
    <row r="658" spans="16384:16384" hidden="1" x14ac:dyDescent="0.25">
      <c r="XFD658" t="s">
        <v>3</v>
      </c>
    </row>
    <row r="659" spans="16384:16384" hidden="1" x14ac:dyDescent="0.25">
      <c r="XFD659" t="s">
        <v>3</v>
      </c>
    </row>
    <row r="660" spans="16384:16384" hidden="1" x14ac:dyDescent="0.25">
      <c r="XFD660" t="s">
        <v>3</v>
      </c>
    </row>
    <row r="661" spans="16384:16384" hidden="1" x14ac:dyDescent="0.25">
      <c r="XFD661" t="s">
        <v>3</v>
      </c>
    </row>
    <row r="662" spans="16384:16384" hidden="1" x14ac:dyDescent="0.25">
      <c r="XFD662" t="s">
        <v>3</v>
      </c>
    </row>
    <row r="663" spans="16384:16384" hidden="1" x14ac:dyDescent="0.25">
      <c r="XFD663" t="s">
        <v>3</v>
      </c>
    </row>
    <row r="664" spans="16384:16384" hidden="1" x14ac:dyDescent="0.25">
      <c r="XFD664" t="s">
        <v>3</v>
      </c>
    </row>
    <row r="665" spans="16384:16384" hidden="1" x14ac:dyDescent="0.25">
      <c r="XFD665" t="s">
        <v>3</v>
      </c>
    </row>
    <row r="666" spans="16384:16384" hidden="1" x14ac:dyDescent="0.25">
      <c r="XFD666" t="s">
        <v>3</v>
      </c>
    </row>
    <row r="667" spans="16384:16384" hidden="1" x14ac:dyDescent="0.25">
      <c r="XFD667" t="s">
        <v>3</v>
      </c>
    </row>
    <row r="668" spans="16384:16384" hidden="1" x14ac:dyDescent="0.25">
      <c r="XFD668" t="s">
        <v>3</v>
      </c>
    </row>
    <row r="669" spans="16384:16384" hidden="1" x14ac:dyDescent="0.25">
      <c r="XFD669" t="s">
        <v>3</v>
      </c>
    </row>
    <row r="670" spans="16384:16384" hidden="1" x14ac:dyDescent="0.25">
      <c r="XFD670" t="s">
        <v>3</v>
      </c>
    </row>
    <row r="671" spans="16384:16384" hidden="1" x14ac:dyDescent="0.25">
      <c r="XFD671" t="s">
        <v>3</v>
      </c>
    </row>
    <row r="672" spans="16384:16384" hidden="1" x14ac:dyDescent="0.25">
      <c r="XFD672" t="s">
        <v>3</v>
      </c>
    </row>
    <row r="673" spans="16384:16384" hidden="1" x14ac:dyDescent="0.25">
      <c r="XFD673" t="s">
        <v>3</v>
      </c>
    </row>
    <row r="674" spans="16384:16384" hidden="1" x14ac:dyDescent="0.25">
      <c r="XFD674" t="s">
        <v>3</v>
      </c>
    </row>
    <row r="675" spans="16384:16384" hidden="1" x14ac:dyDescent="0.25">
      <c r="XFD675" t="s">
        <v>3</v>
      </c>
    </row>
    <row r="676" spans="16384:16384" hidden="1" x14ac:dyDescent="0.25">
      <c r="XFD676" t="s">
        <v>3</v>
      </c>
    </row>
    <row r="677" spans="16384:16384" hidden="1" x14ac:dyDescent="0.25">
      <c r="XFD677" t="s">
        <v>3</v>
      </c>
    </row>
    <row r="678" spans="16384:16384" hidden="1" x14ac:dyDescent="0.25">
      <c r="XFD678" t="s">
        <v>3</v>
      </c>
    </row>
    <row r="679" spans="16384:16384" hidden="1" x14ac:dyDescent="0.25">
      <c r="XFD679" t="s">
        <v>3</v>
      </c>
    </row>
    <row r="680" spans="16384:16384" hidden="1" x14ac:dyDescent="0.25">
      <c r="XFD680" t="s">
        <v>3</v>
      </c>
    </row>
    <row r="681" spans="16384:16384" hidden="1" x14ac:dyDescent="0.25">
      <c r="XFD681" t="s">
        <v>3</v>
      </c>
    </row>
    <row r="682" spans="16384:16384" hidden="1" x14ac:dyDescent="0.25">
      <c r="XFD682" t="s">
        <v>3</v>
      </c>
    </row>
    <row r="683" spans="16384:16384" hidden="1" x14ac:dyDescent="0.25">
      <c r="XFD683" t="s">
        <v>3</v>
      </c>
    </row>
    <row r="684" spans="16384:16384" hidden="1" x14ac:dyDescent="0.25">
      <c r="XFD684" t="s">
        <v>3</v>
      </c>
    </row>
    <row r="685" spans="16384:16384" hidden="1" x14ac:dyDescent="0.25">
      <c r="XFD685" t="s">
        <v>3</v>
      </c>
    </row>
    <row r="686" spans="16384:16384" hidden="1" x14ac:dyDescent="0.25">
      <c r="XFD686" t="s">
        <v>3</v>
      </c>
    </row>
    <row r="687" spans="16384:16384" hidden="1" x14ac:dyDescent="0.25">
      <c r="XFD687" t="s">
        <v>3</v>
      </c>
    </row>
    <row r="688" spans="16384:16384" hidden="1" x14ac:dyDescent="0.25"/>
    <row r="689" spans="16384:16384" hidden="1" x14ac:dyDescent="0.25">
      <c r="XFD689" t="s">
        <v>3</v>
      </c>
    </row>
    <row r="690" spans="16384:16384" hidden="1" x14ac:dyDescent="0.25">
      <c r="XFD690" t="s">
        <v>3</v>
      </c>
    </row>
    <row r="691" spans="16384:16384" hidden="1" x14ac:dyDescent="0.25">
      <c r="XFD691" t="s">
        <v>3</v>
      </c>
    </row>
    <row r="692" spans="16384:16384" hidden="1" x14ac:dyDescent="0.25">
      <c r="XFD692" t="s">
        <v>3</v>
      </c>
    </row>
    <row r="693" spans="16384:16384" hidden="1" x14ac:dyDescent="0.25">
      <c r="XFD693" t="s">
        <v>3</v>
      </c>
    </row>
    <row r="694" spans="16384:16384" hidden="1" x14ac:dyDescent="0.25">
      <c r="XFD694" t="s">
        <v>3</v>
      </c>
    </row>
    <row r="695" spans="16384:16384" hidden="1" x14ac:dyDescent="0.25">
      <c r="XFD695" t="s">
        <v>3</v>
      </c>
    </row>
    <row r="696" spans="16384:16384" hidden="1" x14ac:dyDescent="0.25">
      <c r="XFD696" t="s">
        <v>3</v>
      </c>
    </row>
    <row r="697" spans="16384:16384" hidden="1" x14ac:dyDescent="0.25">
      <c r="XFD697" t="s">
        <v>3</v>
      </c>
    </row>
    <row r="698" spans="16384:16384" hidden="1" x14ac:dyDescent="0.25">
      <c r="XFD698" t="s">
        <v>3</v>
      </c>
    </row>
    <row r="699" spans="16384:16384" hidden="1" x14ac:dyDescent="0.25">
      <c r="XFD699" t="s">
        <v>3</v>
      </c>
    </row>
    <row r="700" spans="16384:16384" hidden="1" x14ac:dyDescent="0.25">
      <c r="XFD700" t="s">
        <v>3</v>
      </c>
    </row>
    <row r="701" spans="16384:16384" hidden="1" x14ac:dyDescent="0.25">
      <c r="XFD701" t="s">
        <v>3</v>
      </c>
    </row>
    <row r="702" spans="16384:16384" hidden="1" x14ac:dyDescent="0.25">
      <c r="XFD702" t="s">
        <v>3</v>
      </c>
    </row>
    <row r="703" spans="16384:16384" hidden="1" x14ac:dyDescent="0.25">
      <c r="XFD703" t="s">
        <v>3</v>
      </c>
    </row>
    <row r="704" spans="16384:16384" hidden="1" x14ac:dyDescent="0.25">
      <c r="XFD704" t="s">
        <v>3</v>
      </c>
    </row>
    <row r="705" spans="16384:16384" hidden="1" x14ac:dyDescent="0.25">
      <c r="XFD705" t="s">
        <v>3</v>
      </c>
    </row>
    <row r="706" spans="16384:16384" hidden="1" x14ac:dyDescent="0.25">
      <c r="XFD706" t="s">
        <v>3</v>
      </c>
    </row>
    <row r="707" spans="16384:16384" hidden="1" x14ac:dyDescent="0.25">
      <c r="XFD707" t="s">
        <v>3</v>
      </c>
    </row>
    <row r="708" spans="16384:16384" hidden="1" x14ac:dyDescent="0.25">
      <c r="XFD708" t="s">
        <v>3</v>
      </c>
    </row>
    <row r="709" spans="16384:16384" hidden="1" x14ac:dyDescent="0.25">
      <c r="XFD709" t="s">
        <v>3</v>
      </c>
    </row>
    <row r="710" spans="16384:16384" hidden="1" x14ac:dyDescent="0.25">
      <c r="XFD710" t="s">
        <v>3</v>
      </c>
    </row>
    <row r="711" spans="16384:16384" hidden="1" x14ac:dyDescent="0.25">
      <c r="XFD711" t="s">
        <v>3</v>
      </c>
    </row>
    <row r="712" spans="16384:16384" hidden="1" x14ac:dyDescent="0.25">
      <c r="XFD712" t="s">
        <v>3</v>
      </c>
    </row>
    <row r="713" spans="16384:16384" hidden="1" x14ac:dyDescent="0.25">
      <c r="XFD713" t="s">
        <v>3</v>
      </c>
    </row>
    <row r="714" spans="16384:16384" hidden="1" x14ac:dyDescent="0.25">
      <c r="XFD714" t="s">
        <v>3</v>
      </c>
    </row>
    <row r="715" spans="16384:16384" hidden="1" x14ac:dyDescent="0.25">
      <c r="XFD715" t="s">
        <v>3</v>
      </c>
    </row>
    <row r="716" spans="16384:16384" hidden="1" x14ac:dyDescent="0.25">
      <c r="XFD716" t="s">
        <v>3</v>
      </c>
    </row>
    <row r="717" spans="16384:16384" hidden="1" x14ac:dyDescent="0.25">
      <c r="XFD717" t="s">
        <v>3</v>
      </c>
    </row>
    <row r="718" spans="16384:16384" hidden="1" x14ac:dyDescent="0.25">
      <c r="XFD718" t="s">
        <v>3</v>
      </c>
    </row>
    <row r="719" spans="16384:16384" hidden="1" x14ac:dyDescent="0.25">
      <c r="XFD719" t="s">
        <v>3</v>
      </c>
    </row>
    <row r="720" spans="16384:16384" hidden="1" x14ac:dyDescent="0.25">
      <c r="XFD720" t="s">
        <v>3</v>
      </c>
    </row>
    <row r="721" spans="16384:16384" hidden="1" x14ac:dyDescent="0.25">
      <c r="XFD721" t="s">
        <v>3</v>
      </c>
    </row>
    <row r="722" spans="16384:16384" hidden="1" x14ac:dyDescent="0.25">
      <c r="XFD722" t="s">
        <v>3</v>
      </c>
    </row>
    <row r="723" spans="16384:16384" hidden="1" x14ac:dyDescent="0.25">
      <c r="XFD723" t="s">
        <v>3</v>
      </c>
    </row>
    <row r="724" spans="16384:16384" hidden="1" x14ac:dyDescent="0.25">
      <c r="XFD724" t="s">
        <v>3</v>
      </c>
    </row>
    <row r="725" spans="16384:16384" hidden="1" x14ac:dyDescent="0.25">
      <c r="XFD725" t="s">
        <v>3</v>
      </c>
    </row>
    <row r="726" spans="16384:16384" hidden="1" x14ac:dyDescent="0.25">
      <c r="XFD726" t="s">
        <v>3</v>
      </c>
    </row>
    <row r="727" spans="16384:16384" hidden="1" x14ac:dyDescent="0.25">
      <c r="XFD727" t="s">
        <v>3</v>
      </c>
    </row>
    <row r="728" spans="16384:16384" hidden="1" x14ac:dyDescent="0.25">
      <c r="XFD728" t="s">
        <v>3</v>
      </c>
    </row>
    <row r="729" spans="16384:16384" hidden="1" x14ac:dyDescent="0.25">
      <c r="XFD729" t="s">
        <v>3</v>
      </c>
    </row>
    <row r="730" spans="16384:16384" hidden="1" x14ac:dyDescent="0.25">
      <c r="XFD730" t="s">
        <v>3</v>
      </c>
    </row>
    <row r="731" spans="16384:16384" hidden="1" x14ac:dyDescent="0.25">
      <c r="XFD731" t="s">
        <v>3</v>
      </c>
    </row>
    <row r="732" spans="16384:16384" hidden="1" x14ac:dyDescent="0.25">
      <c r="XFD732" t="s">
        <v>3</v>
      </c>
    </row>
    <row r="733" spans="16384:16384" hidden="1" x14ac:dyDescent="0.25">
      <c r="XFD733" t="s">
        <v>3</v>
      </c>
    </row>
    <row r="734" spans="16384:16384" hidden="1" x14ac:dyDescent="0.25">
      <c r="XFD734" t="s">
        <v>3</v>
      </c>
    </row>
    <row r="735" spans="16384:16384" hidden="1" x14ac:dyDescent="0.25">
      <c r="XFD735" t="s">
        <v>3</v>
      </c>
    </row>
    <row r="736" spans="16384:16384" hidden="1" x14ac:dyDescent="0.25">
      <c r="XFD736" t="s">
        <v>3</v>
      </c>
    </row>
    <row r="737" spans="16384:16384" hidden="1" x14ac:dyDescent="0.25">
      <c r="XFD737" t="s">
        <v>3</v>
      </c>
    </row>
    <row r="738" spans="16384:16384" hidden="1" x14ac:dyDescent="0.25">
      <c r="XFD738" t="s">
        <v>3</v>
      </c>
    </row>
    <row r="739" spans="16384:16384" hidden="1" x14ac:dyDescent="0.25">
      <c r="XFD739" t="s">
        <v>3</v>
      </c>
    </row>
    <row r="740" spans="16384:16384" hidden="1" x14ac:dyDescent="0.25">
      <c r="XFD740" t="s">
        <v>3</v>
      </c>
    </row>
    <row r="741" spans="16384:16384" hidden="1" x14ac:dyDescent="0.25">
      <c r="XFD741" t="s">
        <v>3</v>
      </c>
    </row>
    <row r="742" spans="16384:16384" hidden="1" x14ac:dyDescent="0.25">
      <c r="XFD742" t="s">
        <v>3</v>
      </c>
    </row>
    <row r="743" spans="16384:16384" hidden="1" x14ac:dyDescent="0.25">
      <c r="XFD743" t="s">
        <v>3</v>
      </c>
    </row>
    <row r="744" spans="16384:16384" hidden="1" x14ac:dyDescent="0.25">
      <c r="XFD744" t="s">
        <v>3</v>
      </c>
    </row>
    <row r="745" spans="16384:16384" hidden="1" x14ac:dyDescent="0.25">
      <c r="XFD745" t="s">
        <v>3</v>
      </c>
    </row>
    <row r="746" spans="16384:16384" hidden="1" x14ac:dyDescent="0.25">
      <c r="XFD746" t="s">
        <v>3</v>
      </c>
    </row>
    <row r="747" spans="16384:16384" hidden="1" x14ac:dyDescent="0.25">
      <c r="XFD747" t="s">
        <v>3</v>
      </c>
    </row>
    <row r="748" spans="16384:16384" hidden="1" x14ac:dyDescent="0.25">
      <c r="XFD748" t="s">
        <v>3</v>
      </c>
    </row>
    <row r="749" spans="16384:16384" hidden="1" x14ac:dyDescent="0.25">
      <c r="XFD749" t="s">
        <v>3</v>
      </c>
    </row>
    <row r="750" spans="16384:16384" hidden="1" x14ac:dyDescent="0.25">
      <c r="XFD750" t="s">
        <v>3</v>
      </c>
    </row>
    <row r="751" spans="16384:16384" hidden="1" x14ac:dyDescent="0.25">
      <c r="XFD751" t="s">
        <v>3</v>
      </c>
    </row>
    <row r="752" spans="16384:16384" hidden="1" x14ac:dyDescent="0.25">
      <c r="XFD752" t="s">
        <v>3</v>
      </c>
    </row>
    <row r="753" spans="16384:16384" hidden="1" x14ac:dyDescent="0.25">
      <c r="XFD753" t="s">
        <v>3</v>
      </c>
    </row>
    <row r="754" spans="16384:16384" hidden="1" x14ac:dyDescent="0.25">
      <c r="XFD754" t="s">
        <v>3</v>
      </c>
    </row>
    <row r="755" spans="16384:16384" hidden="1" x14ac:dyDescent="0.25">
      <c r="XFD755" t="s">
        <v>3</v>
      </c>
    </row>
    <row r="756" spans="16384:16384" hidden="1" x14ac:dyDescent="0.25">
      <c r="XFD756" t="s">
        <v>3</v>
      </c>
    </row>
    <row r="757" spans="16384:16384" hidden="1" x14ac:dyDescent="0.25">
      <c r="XFD757" t="s">
        <v>3</v>
      </c>
    </row>
    <row r="758" spans="16384:16384" hidden="1" x14ac:dyDescent="0.25">
      <c r="XFD758" t="s">
        <v>3</v>
      </c>
    </row>
    <row r="759" spans="16384:16384" hidden="1" x14ac:dyDescent="0.25">
      <c r="XFD759" t="s">
        <v>3</v>
      </c>
    </row>
    <row r="760" spans="16384:16384" hidden="1" x14ac:dyDescent="0.25">
      <c r="XFD760" t="s">
        <v>3</v>
      </c>
    </row>
    <row r="761" spans="16384:16384" hidden="1" x14ac:dyDescent="0.25">
      <c r="XFD761" t="s">
        <v>3</v>
      </c>
    </row>
    <row r="762" spans="16384:16384" hidden="1" x14ac:dyDescent="0.25">
      <c r="XFD762" t="s">
        <v>3</v>
      </c>
    </row>
    <row r="763" spans="16384:16384" hidden="1" x14ac:dyDescent="0.25">
      <c r="XFD763" t="s">
        <v>3</v>
      </c>
    </row>
    <row r="764" spans="16384:16384" hidden="1" x14ac:dyDescent="0.25">
      <c r="XFD764" t="s">
        <v>3</v>
      </c>
    </row>
    <row r="765" spans="16384:16384" hidden="1" x14ac:dyDescent="0.25">
      <c r="XFD765" t="s">
        <v>3</v>
      </c>
    </row>
    <row r="766" spans="16384:16384" hidden="1" x14ac:dyDescent="0.25">
      <c r="XFD766" t="s">
        <v>3</v>
      </c>
    </row>
    <row r="767" spans="16384:16384" hidden="1" x14ac:dyDescent="0.25">
      <c r="XFD767" t="s">
        <v>3</v>
      </c>
    </row>
    <row r="768" spans="16384:16384" hidden="1" x14ac:dyDescent="0.25">
      <c r="XFD768" t="s">
        <v>3</v>
      </c>
    </row>
    <row r="769" spans="16384:16384" hidden="1" x14ac:dyDescent="0.25">
      <c r="XFD769" t="s">
        <v>3</v>
      </c>
    </row>
    <row r="770" spans="16384:16384" hidden="1" x14ac:dyDescent="0.25">
      <c r="XFD770" t="s">
        <v>4</v>
      </c>
    </row>
    <row r="771" spans="16384:16384" hidden="1" x14ac:dyDescent="0.25">
      <c r="XFD771" t="s">
        <v>3</v>
      </c>
    </row>
    <row r="772" spans="16384:16384" hidden="1" x14ac:dyDescent="0.25">
      <c r="XFD772" t="s">
        <v>3</v>
      </c>
    </row>
    <row r="773" spans="16384:16384" hidden="1" x14ac:dyDescent="0.25">
      <c r="XFD773" t="s">
        <v>3</v>
      </c>
    </row>
    <row r="774" spans="16384:16384" hidden="1" x14ac:dyDescent="0.25">
      <c r="XFD774" t="s">
        <v>3</v>
      </c>
    </row>
    <row r="775" spans="16384:16384" hidden="1" x14ac:dyDescent="0.25">
      <c r="XFD775" t="s">
        <v>3</v>
      </c>
    </row>
    <row r="776" spans="16384:16384" hidden="1" x14ac:dyDescent="0.25">
      <c r="XFD776" t="s">
        <v>3</v>
      </c>
    </row>
    <row r="777" spans="16384:16384" hidden="1" x14ac:dyDescent="0.25">
      <c r="XFD777" t="s">
        <v>3</v>
      </c>
    </row>
    <row r="778" spans="16384:16384" hidden="1" x14ac:dyDescent="0.25">
      <c r="XFD778" t="s">
        <v>3</v>
      </c>
    </row>
    <row r="779" spans="16384:16384" hidden="1" x14ac:dyDescent="0.25">
      <c r="XFD779" t="s">
        <v>3</v>
      </c>
    </row>
    <row r="780" spans="16384:16384" hidden="1" x14ac:dyDescent="0.25">
      <c r="XFD780" t="s">
        <v>3</v>
      </c>
    </row>
    <row r="781" spans="16384:16384" hidden="1" x14ac:dyDescent="0.25">
      <c r="XFD781" t="s">
        <v>3</v>
      </c>
    </row>
    <row r="782" spans="16384:16384" hidden="1" x14ac:dyDescent="0.25">
      <c r="XFD782" t="s">
        <v>3</v>
      </c>
    </row>
    <row r="783" spans="16384:16384" hidden="1" x14ac:dyDescent="0.25">
      <c r="XFD783" t="s">
        <v>3</v>
      </c>
    </row>
    <row r="784" spans="16384:16384" hidden="1" x14ac:dyDescent="0.25">
      <c r="XFD784" t="s">
        <v>3</v>
      </c>
    </row>
    <row r="785" spans="16384:16384" hidden="1" x14ac:dyDescent="0.25">
      <c r="XFD785" t="s">
        <v>3</v>
      </c>
    </row>
    <row r="786" spans="16384:16384" hidden="1" x14ac:dyDescent="0.25">
      <c r="XFD786" t="s">
        <v>3</v>
      </c>
    </row>
    <row r="787" spans="16384:16384" hidden="1" x14ac:dyDescent="0.25">
      <c r="XFD787" t="s">
        <v>3</v>
      </c>
    </row>
    <row r="788" spans="16384:16384" hidden="1" x14ac:dyDescent="0.25">
      <c r="XFD788" t="s">
        <v>3</v>
      </c>
    </row>
    <row r="789" spans="16384:16384" hidden="1" x14ac:dyDescent="0.25">
      <c r="XFD789" t="s">
        <v>3</v>
      </c>
    </row>
    <row r="790" spans="16384:16384" hidden="1" x14ac:dyDescent="0.25">
      <c r="XFD790" t="s">
        <v>3</v>
      </c>
    </row>
    <row r="791" spans="16384:16384" hidden="1" x14ac:dyDescent="0.25">
      <c r="XFD791" t="s">
        <v>3</v>
      </c>
    </row>
    <row r="792" spans="16384:16384" hidden="1" x14ac:dyDescent="0.25">
      <c r="XFD792" t="s">
        <v>3</v>
      </c>
    </row>
    <row r="793" spans="16384:16384" hidden="1" x14ac:dyDescent="0.25">
      <c r="XFD793" t="s">
        <v>3</v>
      </c>
    </row>
    <row r="794" spans="16384:16384" hidden="1" x14ac:dyDescent="0.25">
      <c r="XFD794" t="s">
        <v>3</v>
      </c>
    </row>
    <row r="795" spans="16384:16384" hidden="1" x14ac:dyDescent="0.25">
      <c r="XFD795" t="s">
        <v>3</v>
      </c>
    </row>
    <row r="796" spans="16384:16384" hidden="1" x14ac:dyDescent="0.25">
      <c r="XFD796" t="s">
        <v>3</v>
      </c>
    </row>
    <row r="797" spans="16384:16384" hidden="1" x14ac:dyDescent="0.25">
      <c r="XFD797" t="s">
        <v>3</v>
      </c>
    </row>
    <row r="798" spans="16384:16384" hidden="1" x14ac:dyDescent="0.25">
      <c r="XFD798" t="s">
        <v>3</v>
      </c>
    </row>
    <row r="799" spans="16384:16384" hidden="1" x14ac:dyDescent="0.25">
      <c r="XFD799" t="s">
        <v>3</v>
      </c>
    </row>
    <row r="800" spans="16384:16384" hidden="1" x14ac:dyDescent="0.25">
      <c r="XFD800" t="s">
        <v>3</v>
      </c>
    </row>
    <row r="801" spans="16384:16384" hidden="1" x14ac:dyDescent="0.25">
      <c r="XFD801" t="s">
        <v>3</v>
      </c>
    </row>
    <row r="802" spans="16384:16384" hidden="1" x14ac:dyDescent="0.25">
      <c r="XFD802" t="s">
        <v>3</v>
      </c>
    </row>
    <row r="803" spans="16384:16384" hidden="1" x14ac:dyDescent="0.25">
      <c r="XFD803" t="s">
        <v>3</v>
      </c>
    </row>
    <row r="804" spans="16384:16384" hidden="1" x14ac:dyDescent="0.25">
      <c r="XFD804" t="s">
        <v>3</v>
      </c>
    </row>
    <row r="805" spans="16384:16384" hidden="1" x14ac:dyDescent="0.25">
      <c r="XFD805" t="s">
        <v>3</v>
      </c>
    </row>
    <row r="806" spans="16384:16384" hidden="1" x14ac:dyDescent="0.25">
      <c r="XFD806" t="s">
        <v>3</v>
      </c>
    </row>
    <row r="807" spans="16384:16384" hidden="1" x14ac:dyDescent="0.25">
      <c r="XFD807" t="s">
        <v>3</v>
      </c>
    </row>
    <row r="808" spans="16384:16384" hidden="1" x14ac:dyDescent="0.25">
      <c r="XFD808" t="s">
        <v>3</v>
      </c>
    </row>
    <row r="809" spans="16384:16384" hidden="1" x14ac:dyDescent="0.25">
      <c r="XFD809" t="s">
        <v>3</v>
      </c>
    </row>
    <row r="810" spans="16384:16384" hidden="1" x14ac:dyDescent="0.25">
      <c r="XFD810" t="s">
        <v>3</v>
      </c>
    </row>
    <row r="811" spans="16384:16384" hidden="1" x14ac:dyDescent="0.25">
      <c r="XFD811" t="s">
        <v>3</v>
      </c>
    </row>
    <row r="812" spans="16384:16384" hidden="1" x14ac:dyDescent="0.25">
      <c r="XFD812" t="s">
        <v>3</v>
      </c>
    </row>
    <row r="813" spans="16384:16384" hidden="1" x14ac:dyDescent="0.25">
      <c r="XFD813" t="s">
        <v>3</v>
      </c>
    </row>
    <row r="814" spans="16384:16384" hidden="1" x14ac:dyDescent="0.25">
      <c r="XFD814" t="s">
        <v>3</v>
      </c>
    </row>
    <row r="815" spans="16384:16384" hidden="1" x14ac:dyDescent="0.25">
      <c r="XFD815" t="s">
        <v>3</v>
      </c>
    </row>
    <row r="816" spans="16384:16384" hidden="1" x14ac:dyDescent="0.25">
      <c r="XFD816" t="s">
        <v>3</v>
      </c>
    </row>
    <row r="817" spans="16384:16384" hidden="1" x14ac:dyDescent="0.25">
      <c r="XFD817" t="s">
        <v>3</v>
      </c>
    </row>
    <row r="818" spans="16384:16384" hidden="1" x14ac:dyDescent="0.25">
      <c r="XFD818" t="s">
        <v>3</v>
      </c>
    </row>
    <row r="819" spans="16384:16384" hidden="1" x14ac:dyDescent="0.25">
      <c r="XFD819" t="s">
        <v>3</v>
      </c>
    </row>
    <row r="820" spans="16384:16384" hidden="1" x14ac:dyDescent="0.25">
      <c r="XFD820" t="s">
        <v>3</v>
      </c>
    </row>
    <row r="821" spans="16384:16384" hidden="1" x14ac:dyDescent="0.25">
      <c r="XFD821" t="s">
        <v>3</v>
      </c>
    </row>
    <row r="822" spans="16384:16384" hidden="1" x14ac:dyDescent="0.25">
      <c r="XFD822" t="s">
        <v>3</v>
      </c>
    </row>
    <row r="823" spans="16384:16384" hidden="1" x14ac:dyDescent="0.25">
      <c r="XFD823" t="s">
        <v>3</v>
      </c>
    </row>
    <row r="824" spans="16384:16384" hidden="1" x14ac:dyDescent="0.25">
      <c r="XFD824" t="s">
        <v>3</v>
      </c>
    </row>
    <row r="825" spans="16384:16384" hidden="1" x14ac:dyDescent="0.25">
      <c r="XFD825" t="s">
        <v>3</v>
      </c>
    </row>
    <row r="826" spans="16384:16384" hidden="1" x14ac:dyDescent="0.25">
      <c r="XFD826" t="s">
        <v>3</v>
      </c>
    </row>
    <row r="827" spans="16384:16384" hidden="1" x14ac:dyDescent="0.25">
      <c r="XFD827" t="s">
        <v>3</v>
      </c>
    </row>
    <row r="828" spans="16384:16384" hidden="1" x14ac:dyDescent="0.25">
      <c r="XFD828" t="s">
        <v>3</v>
      </c>
    </row>
    <row r="829" spans="16384:16384" hidden="1" x14ac:dyDescent="0.25">
      <c r="XFD829" t="s">
        <v>3</v>
      </c>
    </row>
    <row r="830" spans="16384:16384" hidden="1" x14ac:dyDescent="0.25">
      <c r="XFD830" t="s">
        <v>3</v>
      </c>
    </row>
    <row r="831" spans="16384:16384" hidden="1" x14ac:dyDescent="0.25"/>
    <row r="832" spans="16384:16384" hidden="1" x14ac:dyDescent="0.25">
      <c r="XFD832" t="s">
        <v>3</v>
      </c>
    </row>
    <row r="833" spans="16384:16384" hidden="1" x14ac:dyDescent="0.25">
      <c r="XFD833" t="s">
        <v>3</v>
      </c>
    </row>
    <row r="834" spans="16384:16384" hidden="1" x14ac:dyDescent="0.25">
      <c r="XFD834" t="s">
        <v>3</v>
      </c>
    </row>
    <row r="835" spans="16384:16384" hidden="1" x14ac:dyDescent="0.25">
      <c r="XFD835" t="s">
        <v>3</v>
      </c>
    </row>
    <row r="836" spans="16384:16384" hidden="1" x14ac:dyDescent="0.25">
      <c r="XFD836" t="s">
        <v>3</v>
      </c>
    </row>
    <row r="837" spans="16384:16384" hidden="1" x14ac:dyDescent="0.25">
      <c r="XFD837" t="s">
        <v>3</v>
      </c>
    </row>
    <row r="838" spans="16384:16384" hidden="1" x14ac:dyDescent="0.25">
      <c r="XFD838" t="s">
        <v>3</v>
      </c>
    </row>
    <row r="839" spans="16384:16384" hidden="1" x14ac:dyDescent="0.25">
      <c r="XFD839" t="s">
        <v>3</v>
      </c>
    </row>
    <row r="840" spans="16384:16384" hidden="1" x14ac:dyDescent="0.25">
      <c r="XFD840" t="s">
        <v>3</v>
      </c>
    </row>
    <row r="841" spans="16384:16384" hidden="1" x14ac:dyDescent="0.25">
      <c r="XFD841" t="s">
        <v>3</v>
      </c>
    </row>
    <row r="842" spans="16384:16384" hidden="1" x14ac:dyDescent="0.25">
      <c r="XFD842" t="s">
        <v>3</v>
      </c>
    </row>
    <row r="843" spans="16384:16384" hidden="1" x14ac:dyDescent="0.25">
      <c r="XFD843" t="s">
        <v>3</v>
      </c>
    </row>
    <row r="844" spans="16384:16384" hidden="1" x14ac:dyDescent="0.25">
      <c r="XFD844" t="s">
        <v>3</v>
      </c>
    </row>
    <row r="845" spans="16384:16384" hidden="1" x14ac:dyDescent="0.25">
      <c r="XFD845" t="s">
        <v>3</v>
      </c>
    </row>
    <row r="846" spans="16384:16384" hidden="1" x14ac:dyDescent="0.25">
      <c r="XFD846" t="s">
        <v>3</v>
      </c>
    </row>
    <row r="847" spans="16384:16384" hidden="1" x14ac:dyDescent="0.25">
      <c r="XFD847" t="s">
        <v>3</v>
      </c>
    </row>
    <row r="848" spans="16384:16384" hidden="1" x14ac:dyDescent="0.25">
      <c r="XFD848" t="s">
        <v>3</v>
      </c>
    </row>
    <row r="849" spans="16384:16384" hidden="1" x14ac:dyDescent="0.25">
      <c r="XFD849" t="s">
        <v>3</v>
      </c>
    </row>
    <row r="850" spans="16384:16384" hidden="1" x14ac:dyDescent="0.25">
      <c r="XFD850" t="s">
        <v>3</v>
      </c>
    </row>
    <row r="851" spans="16384:16384" hidden="1" x14ac:dyDescent="0.25">
      <c r="XFD851" t="s">
        <v>3</v>
      </c>
    </row>
    <row r="852" spans="16384:16384" hidden="1" x14ac:dyDescent="0.25">
      <c r="XFD852" t="s">
        <v>3</v>
      </c>
    </row>
    <row r="853" spans="16384:16384" hidden="1" x14ac:dyDescent="0.25">
      <c r="XFD853" t="s">
        <v>3</v>
      </c>
    </row>
    <row r="854" spans="16384:16384" hidden="1" x14ac:dyDescent="0.25">
      <c r="XFD854" t="s">
        <v>3</v>
      </c>
    </row>
    <row r="855" spans="16384:16384" hidden="1" x14ac:dyDescent="0.25">
      <c r="XFD855" t="s">
        <v>3</v>
      </c>
    </row>
    <row r="856" spans="16384:16384" hidden="1" x14ac:dyDescent="0.25">
      <c r="XFD856" t="s">
        <v>3</v>
      </c>
    </row>
    <row r="857" spans="16384:16384" hidden="1" x14ac:dyDescent="0.25">
      <c r="XFD857" t="s">
        <v>3</v>
      </c>
    </row>
    <row r="858" spans="16384:16384" hidden="1" x14ac:dyDescent="0.25">
      <c r="XFD858" t="s">
        <v>3</v>
      </c>
    </row>
    <row r="859" spans="16384:16384" hidden="1" x14ac:dyDescent="0.25">
      <c r="XFD859" t="s">
        <v>3</v>
      </c>
    </row>
    <row r="860" spans="16384:16384" hidden="1" x14ac:dyDescent="0.25">
      <c r="XFD860" t="s">
        <v>3</v>
      </c>
    </row>
    <row r="861" spans="16384:16384" hidden="1" x14ac:dyDescent="0.25">
      <c r="XFD861" t="s">
        <v>3</v>
      </c>
    </row>
    <row r="862" spans="16384:16384" hidden="1" x14ac:dyDescent="0.25">
      <c r="XFD862" t="s">
        <v>3</v>
      </c>
    </row>
    <row r="863" spans="16384:16384" hidden="1" x14ac:dyDescent="0.25">
      <c r="XFD863" t="s">
        <v>3</v>
      </c>
    </row>
    <row r="864" spans="16384:16384" hidden="1" x14ac:dyDescent="0.25">
      <c r="XFD864" t="s">
        <v>3</v>
      </c>
    </row>
    <row r="865" spans="16384:16384" hidden="1" x14ac:dyDescent="0.25">
      <c r="XFD865" t="s">
        <v>3</v>
      </c>
    </row>
    <row r="866" spans="16384:16384" hidden="1" x14ac:dyDescent="0.25">
      <c r="XFD866" t="s">
        <v>3</v>
      </c>
    </row>
    <row r="867" spans="16384:16384" hidden="1" x14ac:dyDescent="0.25">
      <c r="XFD867" t="s">
        <v>3</v>
      </c>
    </row>
    <row r="868" spans="16384:16384" hidden="1" x14ac:dyDescent="0.25">
      <c r="XFD868" t="s">
        <v>3</v>
      </c>
    </row>
    <row r="869" spans="16384:16384" hidden="1" x14ac:dyDescent="0.25">
      <c r="XFD869" t="s">
        <v>3</v>
      </c>
    </row>
    <row r="870" spans="16384:16384" hidden="1" x14ac:dyDescent="0.25">
      <c r="XFD870" t="s">
        <v>3</v>
      </c>
    </row>
    <row r="871" spans="16384:16384" hidden="1" x14ac:dyDescent="0.25">
      <c r="XFD871" t="s">
        <v>3</v>
      </c>
    </row>
    <row r="872" spans="16384:16384" hidden="1" x14ac:dyDescent="0.25">
      <c r="XFD872" t="s">
        <v>3</v>
      </c>
    </row>
    <row r="873" spans="16384:16384" hidden="1" x14ac:dyDescent="0.25">
      <c r="XFD873" t="s">
        <v>3</v>
      </c>
    </row>
    <row r="874" spans="16384:16384" hidden="1" x14ac:dyDescent="0.25">
      <c r="XFD874" t="s">
        <v>3</v>
      </c>
    </row>
    <row r="875" spans="16384:16384" hidden="1" x14ac:dyDescent="0.25">
      <c r="XFD875" t="s">
        <v>3</v>
      </c>
    </row>
    <row r="876" spans="16384:16384" hidden="1" x14ac:dyDescent="0.25">
      <c r="XFD876" t="s">
        <v>3</v>
      </c>
    </row>
    <row r="877" spans="16384:16384" hidden="1" x14ac:dyDescent="0.25">
      <c r="XFD877" t="s">
        <v>3</v>
      </c>
    </row>
    <row r="878" spans="16384:16384" hidden="1" x14ac:dyDescent="0.25">
      <c r="XFD878" t="s">
        <v>3</v>
      </c>
    </row>
    <row r="879" spans="16384:16384" hidden="1" x14ac:dyDescent="0.25">
      <c r="XFD879" t="s">
        <v>3</v>
      </c>
    </row>
    <row r="880" spans="16384:16384" hidden="1" x14ac:dyDescent="0.25">
      <c r="XFD880" t="s">
        <v>3</v>
      </c>
    </row>
    <row r="881" spans="16384:16384" hidden="1" x14ac:dyDescent="0.25">
      <c r="XFD881" t="s">
        <v>3</v>
      </c>
    </row>
    <row r="882" spans="16384:16384" hidden="1" x14ac:dyDescent="0.25">
      <c r="XFD882" t="s">
        <v>3</v>
      </c>
    </row>
    <row r="883" spans="16384:16384" hidden="1" x14ac:dyDescent="0.25">
      <c r="XFD883" t="s">
        <v>3</v>
      </c>
    </row>
    <row r="884" spans="16384:16384" hidden="1" x14ac:dyDescent="0.25">
      <c r="XFD884" t="s">
        <v>3</v>
      </c>
    </row>
    <row r="885" spans="16384:16384" hidden="1" x14ac:dyDescent="0.25">
      <c r="XFD885" t="s">
        <v>3</v>
      </c>
    </row>
    <row r="886" spans="16384:16384" hidden="1" x14ac:dyDescent="0.25">
      <c r="XFD886" t="s">
        <v>3</v>
      </c>
    </row>
    <row r="887" spans="16384:16384" hidden="1" x14ac:dyDescent="0.25">
      <c r="XFD887" t="s">
        <v>3</v>
      </c>
    </row>
    <row r="888" spans="16384:16384" hidden="1" x14ac:dyDescent="0.25">
      <c r="XFD888" t="s">
        <v>3</v>
      </c>
    </row>
    <row r="889" spans="16384:16384" hidden="1" x14ac:dyDescent="0.25">
      <c r="XFD889" t="s">
        <v>3</v>
      </c>
    </row>
    <row r="890" spans="16384:16384" hidden="1" x14ac:dyDescent="0.25">
      <c r="XFD890" t="s">
        <v>3</v>
      </c>
    </row>
    <row r="891" spans="16384:16384" hidden="1" x14ac:dyDescent="0.25">
      <c r="XFD891" t="s">
        <v>3</v>
      </c>
    </row>
    <row r="892" spans="16384:16384" hidden="1" x14ac:dyDescent="0.25">
      <c r="XFD892" t="s">
        <v>3</v>
      </c>
    </row>
    <row r="893" spans="16384:16384" hidden="1" x14ac:dyDescent="0.25">
      <c r="XFD893" t="s">
        <v>3</v>
      </c>
    </row>
    <row r="894" spans="16384:16384" hidden="1" x14ac:dyDescent="0.25">
      <c r="XFD894" t="s">
        <v>3</v>
      </c>
    </row>
    <row r="895" spans="16384:16384" hidden="1" x14ac:dyDescent="0.25">
      <c r="XFD895" t="s">
        <v>3</v>
      </c>
    </row>
    <row r="896" spans="16384:16384" hidden="1" x14ac:dyDescent="0.25">
      <c r="XFD896" t="s">
        <v>3</v>
      </c>
    </row>
    <row r="897" spans="16384:16384" hidden="1" x14ac:dyDescent="0.25">
      <c r="XFD897" t="s">
        <v>3</v>
      </c>
    </row>
    <row r="898" spans="16384:16384" hidden="1" x14ac:dyDescent="0.25">
      <c r="XFD898" t="s">
        <v>3</v>
      </c>
    </row>
    <row r="899" spans="16384:16384" hidden="1" x14ac:dyDescent="0.25">
      <c r="XFD899" t="s">
        <v>3</v>
      </c>
    </row>
    <row r="900" spans="16384:16384" hidden="1" x14ac:dyDescent="0.25">
      <c r="XFD900" t="s">
        <v>3</v>
      </c>
    </row>
    <row r="901" spans="16384:16384" hidden="1" x14ac:dyDescent="0.25">
      <c r="XFD901" t="s">
        <v>3</v>
      </c>
    </row>
    <row r="902" spans="16384:16384" hidden="1" x14ac:dyDescent="0.25">
      <c r="XFD902" t="s">
        <v>3</v>
      </c>
    </row>
    <row r="903" spans="16384:16384" hidden="1" x14ac:dyDescent="0.25">
      <c r="XFD903" t="s">
        <v>3</v>
      </c>
    </row>
    <row r="904" spans="16384:16384" hidden="1" x14ac:dyDescent="0.25">
      <c r="XFD904" t="s">
        <v>3</v>
      </c>
    </row>
    <row r="905" spans="16384:16384" hidden="1" x14ac:dyDescent="0.25">
      <c r="XFD905" t="s">
        <v>3</v>
      </c>
    </row>
    <row r="906" spans="16384:16384" hidden="1" x14ac:dyDescent="0.25">
      <c r="XFD906" t="s">
        <v>3</v>
      </c>
    </row>
    <row r="907" spans="16384:16384" hidden="1" x14ac:dyDescent="0.25">
      <c r="XFD907" t="s">
        <v>3</v>
      </c>
    </row>
    <row r="908" spans="16384:16384" hidden="1" x14ac:dyDescent="0.25">
      <c r="XFD908" t="s">
        <v>3</v>
      </c>
    </row>
    <row r="909" spans="16384:16384" hidden="1" x14ac:dyDescent="0.25">
      <c r="XFD909" t="s">
        <v>3</v>
      </c>
    </row>
    <row r="910" spans="16384:16384" hidden="1" x14ac:dyDescent="0.25">
      <c r="XFD910" t="s">
        <v>3</v>
      </c>
    </row>
    <row r="911" spans="16384:16384" hidden="1" x14ac:dyDescent="0.25">
      <c r="XFD911" t="s">
        <v>3</v>
      </c>
    </row>
    <row r="912" spans="16384:16384" hidden="1" x14ac:dyDescent="0.25">
      <c r="XFD912" t="s">
        <v>3</v>
      </c>
    </row>
    <row r="913" spans="16384:16384" hidden="1" x14ac:dyDescent="0.25">
      <c r="XFD913" t="s">
        <v>3</v>
      </c>
    </row>
    <row r="914" spans="16384:16384" hidden="1" x14ac:dyDescent="0.25">
      <c r="XFD914" t="s">
        <v>3</v>
      </c>
    </row>
    <row r="915" spans="16384:16384" hidden="1" x14ac:dyDescent="0.25">
      <c r="XFD915" t="s">
        <v>3</v>
      </c>
    </row>
    <row r="916" spans="16384:16384" hidden="1" x14ac:dyDescent="0.25">
      <c r="XFD916" t="s">
        <v>3</v>
      </c>
    </row>
    <row r="917" spans="16384:16384" hidden="1" x14ac:dyDescent="0.25">
      <c r="XFD917" t="s">
        <v>3</v>
      </c>
    </row>
    <row r="918" spans="16384:16384" hidden="1" x14ac:dyDescent="0.25">
      <c r="XFD918" t="s">
        <v>3</v>
      </c>
    </row>
    <row r="919" spans="16384:16384" hidden="1" x14ac:dyDescent="0.25">
      <c r="XFD919" t="s">
        <v>3</v>
      </c>
    </row>
    <row r="920" spans="16384:16384" hidden="1" x14ac:dyDescent="0.25">
      <c r="XFD920" t="s">
        <v>3</v>
      </c>
    </row>
    <row r="921" spans="16384:16384" hidden="1" x14ac:dyDescent="0.25">
      <c r="XFD921" t="s">
        <v>3</v>
      </c>
    </row>
    <row r="922" spans="16384:16384" hidden="1" x14ac:dyDescent="0.25">
      <c r="XFD922" t="s">
        <v>3</v>
      </c>
    </row>
    <row r="923" spans="16384:16384" hidden="1" x14ac:dyDescent="0.25">
      <c r="XFD923" t="s">
        <v>3</v>
      </c>
    </row>
    <row r="924" spans="16384:16384" hidden="1" x14ac:dyDescent="0.25">
      <c r="XFD924" t="s">
        <v>3</v>
      </c>
    </row>
    <row r="925" spans="16384:16384" hidden="1" x14ac:dyDescent="0.25">
      <c r="XFD925" t="s">
        <v>3</v>
      </c>
    </row>
    <row r="926" spans="16384:16384" hidden="1" x14ac:dyDescent="0.25">
      <c r="XFD926" t="s">
        <v>3</v>
      </c>
    </row>
    <row r="927" spans="16384:16384" hidden="1" x14ac:dyDescent="0.25">
      <c r="XFD927" t="s">
        <v>3</v>
      </c>
    </row>
    <row r="928" spans="16384:16384" hidden="1" x14ac:dyDescent="0.25">
      <c r="XFD928" t="s">
        <v>3</v>
      </c>
    </row>
    <row r="929" spans="16384:16384" hidden="1" x14ac:dyDescent="0.25">
      <c r="XFD929" t="s">
        <v>3</v>
      </c>
    </row>
    <row r="930" spans="16384:16384" hidden="1" x14ac:dyDescent="0.25">
      <c r="XFD930" t="s">
        <v>3</v>
      </c>
    </row>
    <row r="931" spans="16384:16384" hidden="1" x14ac:dyDescent="0.25">
      <c r="XFD931" t="s">
        <v>3</v>
      </c>
    </row>
    <row r="932" spans="16384:16384" hidden="1" x14ac:dyDescent="0.25">
      <c r="XFD932" t="s">
        <v>3</v>
      </c>
    </row>
    <row r="933" spans="16384:16384" hidden="1" x14ac:dyDescent="0.25">
      <c r="XFD933" t="s">
        <v>3</v>
      </c>
    </row>
    <row r="934" spans="16384:16384" hidden="1" x14ac:dyDescent="0.25">
      <c r="XFD934" t="s">
        <v>3</v>
      </c>
    </row>
    <row r="935" spans="16384:16384" hidden="1" x14ac:dyDescent="0.25">
      <c r="XFD935" t="s">
        <v>3</v>
      </c>
    </row>
    <row r="936" spans="16384:16384" hidden="1" x14ac:dyDescent="0.25">
      <c r="XFD936" t="s">
        <v>3</v>
      </c>
    </row>
    <row r="937" spans="16384:16384" hidden="1" x14ac:dyDescent="0.25">
      <c r="XFD937" t="s">
        <v>3</v>
      </c>
    </row>
    <row r="938" spans="16384:16384" hidden="1" x14ac:dyDescent="0.25">
      <c r="XFD938" t="s">
        <v>3</v>
      </c>
    </row>
    <row r="939" spans="16384:16384" hidden="1" x14ac:dyDescent="0.25">
      <c r="XFD939" t="s">
        <v>3</v>
      </c>
    </row>
    <row r="940" spans="16384:16384" hidden="1" x14ac:dyDescent="0.25">
      <c r="XFD940" t="s">
        <v>3</v>
      </c>
    </row>
    <row r="941" spans="16384:16384" hidden="1" x14ac:dyDescent="0.25">
      <c r="XFD941" t="s">
        <v>3</v>
      </c>
    </row>
    <row r="942" spans="16384:16384" hidden="1" x14ac:dyDescent="0.25">
      <c r="XFD942" t="s">
        <v>3</v>
      </c>
    </row>
    <row r="943" spans="16384:16384" hidden="1" x14ac:dyDescent="0.25">
      <c r="XFD943" t="s">
        <v>3</v>
      </c>
    </row>
    <row r="944" spans="16384:16384" hidden="1" x14ac:dyDescent="0.25">
      <c r="XFD944" t="s">
        <v>3</v>
      </c>
    </row>
    <row r="945" spans="16384:16384" hidden="1" x14ac:dyDescent="0.25">
      <c r="XFD945" t="s">
        <v>3</v>
      </c>
    </row>
    <row r="946" spans="16384:16384" hidden="1" x14ac:dyDescent="0.25">
      <c r="XFD946" t="s">
        <v>384</v>
      </c>
    </row>
    <row r="947" spans="16384:16384" hidden="1" x14ac:dyDescent="0.25">
      <c r="XFD947" t="s">
        <v>384</v>
      </c>
    </row>
    <row r="948" spans="16384:16384" hidden="1" x14ac:dyDescent="0.25">
      <c r="XFD948" t="s">
        <v>384</v>
      </c>
    </row>
    <row r="949" spans="16384:16384" hidden="1" x14ac:dyDescent="0.25">
      <c r="XFD949" t="s">
        <v>384</v>
      </c>
    </row>
    <row r="950" spans="16384:16384" hidden="1" x14ac:dyDescent="0.25">
      <c r="XFD950" t="s">
        <v>384</v>
      </c>
    </row>
    <row r="951" spans="16384:16384" hidden="1" x14ac:dyDescent="0.25">
      <c r="XFD951" t="s">
        <v>384</v>
      </c>
    </row>
    <row r="952" spans="16384:16384" hidden="1" x14ac:dyDescent="0.25">
      <c r="XFD952" t="s">
        <v>384</v>
      </c>
    </row>
    <row r="953" spans="16384:16384" hidden="1" x14ac:dyDescent="0.25">
      <c r="XFD953" t="s">
        <v>384</v>
      </c>
    </row>
    <row r="954" spans="16384:16384" hidden="1" x14ac:dyDescent="0.25">
      <c r="XFD954" t="s">
        <v>384</v>
      </c>
    </row>
    <row r="955" spans="16384:16384" hidden="1" x14ac:dyDescent="0.25">
      <c r="XFD955" t="s">
        <v>384</v>
      </c>
    </row>
    <row r="956" spans="16384:16384" hidden="1" x14ac:dyDescent="0.25">
      <c r="XFD956" t="s">
        <v>384</v>
      </c>
    </row>
    <row r="957" spans="16384:16384" hidden="1" x14ac:dyDescent="0.25">
      <c r="XFD957" t="s">
        <v>384</v>
      </c>
    </row>
    <row r="958" spans="16384:16384" hidden="1" x14ac:dyDescent="0.25">
      <c r="XFD958" t="s">
        <v>384</v>
      </c>
    </row>
    <row r="959" spans="16384:16384" hidden="1" x14ac:dyDescent="0.25">
      <c r="XFD959" t="s">
        <v>384</v>
      </c>
    </row>
    <row r="960" spans="16384:16384" hidden="1" x14ac:dyDescent="0.25">
      <c r="XFD960" t="s">
        <v>384</v>
      </c>
    </row>
    <row r="961" spans="16384:16384" hidden="1" x14ac:dyDescent="0.25">
      <c r="XFD961" t="s">
        <v>384</v>
      </c>
    </row>
    <row r="962" spans="16384:16384" hidden="1" x14ac:dyDescent="0.25">
      <c r="XFD962" t="s">
        <v>384</v>
      </c>
    </row>
    <row r="963" spans="16384:16384" hidden="1" x14ac:dyDescent="0.25">
      <c r="XFD963" t="s">
        <v>384</v>
      </c>
    </row>
    <row r="964" spans="16384:16384" hidden="1" x14ac:dyDescent="0.25">
      <c r="XFD964" t="s">
        <v>384</v>
      </c>
    </row>
    <row r="965" spans="16384:16384" hidden="1" x14ac:dyDescent="0.25">
      <c r="XFD965" t="s">
        <v>384</v>
      </c>
    </row>
    <row r="966" spans="16384:16384" hidden="1" x14ac:dyDescent="0.25">
      <c r="XFD966" t="s">
        <v>384</v>
      </c>
    </row>
    <row r="967" spans="16384:16384" hidden="1" x14ac:dyDescent="0.25">
      <c r="XFD967" t="s">
        <v>384</v>
      </c>
    </row>
    <row r="968" spans="16384:16384" hidden="1" x14ac:dyDescent="0.25">
      <c r="XFD968" t="s">
        <v>384</v>
      </c>
    </row>
    <row r="969" spans="16384:16384" hidden="1" x14ac:dyDescent="0.25">
      <c r="XFD969" t="s">
        <v>384</v>
      </c>
    </row>
    <row r="970" spans="16384:16384" hidden="1" x14ac:dyDescent="0.25">
      <c r="XFD970" t="s">
        <v>384</v>
      </c>
    </row>
    <row r="971" spans="16384:16384" hidden="1" x14ac:dyDescent="0.25">
      <c r="XFD971" t="s">
        <v>384</v>
      </c>
    </row>
    <row r="972" spans="16384:16384" hidden="1" x14ac:dyDescent="0.25">
      <c r="XFD972" t="s">
        <v>384</v>
      </c>
    </row>
    <row r="973" spans="16384:16384" hidden="1" x14ac:dyDescent="0.25">
      <c r="XFD973" t="s">
        <v>384</v>
      </c>
    </row>
    <row r="974" spans="16384:16384" hidden="1" x14ac:dyDescent="0.25">
      <c r="XFD974" t="s">
        <v>384</v>
      </c>
    </row>
    <row r="975" spans="16384:16384" hidden="1" x14ac:dyDescent="0.25">
      <c r="XFD975" t="s">
        <v>384</v>
      </c>
    </row>
    <row r="976" spans="16384:16384" hidden="1" x14ac:dyDescent="0.25">
      <c r="XFD976" t="s">
        <v>384</v>
      </c>
    </row>
    <row r="977" spans="16384:16384" hidden="1" x14ac:dyDescent="0.25">
      <c r="XFD977" t="s">
        <v>384</v>
      </c>
    </row>
    <row r="978" spans="16384:16384" hidden="1" x14ac:dyDescent="0.25">
      <c r="XFD978" t="s">
        <v>384</v>
      </c>
    </row>
    <row r="979" spans="16384:16384" hidden="1" x14ac:dyDescent="0.25">
      <c r="XFD979" t="s">
        <v>384</v>
      </c>
    </row>
    <row r="980" spans="16384:16384" hidden="1" x14ac:dyDescent="0.25">
      <c r="XFD980" t="s">
        <v>384</v>
      </c>
    </row>
    <row r="981" spans="16384:16384" hidden="1" x14ac:dyDescent="0.25">
      <c r="XFD981" t="s">
        <v>384</v>
      </c>
    </row>
    <row r="982" spans="16384:16384" hidden="1" x14ac:dyDescent="0.25">
      <c r="XFD982" t="s">
        <v>384</v>
      </c>
    </row>
    <row r="983" spans="16384:16384" hidden="1" x14ac:dyDescent="0.25">
      <c r="XFD983" t="s">
        <v>384</v>
      </c>
    </row>
    <row r="984" spans="16384:16384" hidden="1" x14ac:dyDescent="0.25">
      <c r="XFD984" t="s">
        <v>384</v>
      </c>
    </row>
    <row r="985" spans="16384:16384" hidden="1" x14ac:dyDescent="0.25">
      <c r="XFD985" t="s">
        <v>384</v>
      </c>
    </row>
    <row r="986" spans="16384:16384" hidden="1" x14ac:dyDescent="0.25">
      <c r="XFD986" t="s">
        <v>384</v>
      </c>
    </row>
    <row r="987" spans="16384:16384" hidden="1" x14ac:dyDescent="0.25">
      <c r="XFD987" t="s">
        <v>384</v>
      </c>
    </row>
    <row r="988" spans="16384:16384" hidden="1" x14ac:dyDescent="0.25">
      <c r="XFD988" t="s">
        <v>384</v>
      </c>
    </row>
    <row r="989" spans="16384:16384" hidden="1" x14ac:dyDescent="0.25">
      <c r="XFD989" t="s">
        <v>384</v>
      </c>
    </row>
    <row r="990" spans="16384:16384" hidden="1" x14ac:dyDescent="0.25">
      <c r="XFD990" t="s">
        <v>384</v>
      </c>
    </row>
    <row r="991" spans="16384:16384" hidden="1" x14ac:dyDescent="0.25">
      <c r="XFD991" t="s">
        <v>384</v>
      </c>
    </row>
    <row r="992" spans="16384:16384" hidden="1" x14ac:dyDescent="0.25">
      <c r="XFD992" t="s">
        <v>384</v>
      </c>
    </row>
    <row r="993" spans="16384:16384" hidden="1" x14ac:dyDescent="0.25">
      <c r="XFD993" t="s">
        <v>384</v>
      </c>
    </row>
    <row r="994" spans="16384:16384" hidden="1" x14ac:dyDescent="0.25">
      <c r="XFD994" t="s">
        <v>384</v>
      </c>
    </row>
    <row r="995" spans="16384:16384" hidden="1" x14ac:dyDescent="0.25">
      <c r="XFD995" t="s">
        <v>384</v>
      </c>
    </row>
    <row r="996" spans="16384:16384" hidden="1" x14ac:dyDescent="0.25">
      <c r="XFD996" t="s">
        <v>384</v>
      </c>
    </row>
    <row r="997" spans="16384:16384" hidden="1" x14ac:dyDescent="0.25">
      <c r="XFD997" t="s">
        <v>384</v>
      </c>
    </row>
    <row r="998" spans="16384:16384" hidden="1" x14ac:dyDescent="0.25">
      <c r="XFD998" t="s">
        <v>384</v>
      </c>
    </row>
    <row r="999" spans="16384:16384" hidden="1" x14ac:dyDescent="0.25">
      <c r="XFD999" t="s">
        <v>384</v>
      </c>
    </row>
    <row r="1000" spans="16384:16384" hidden="1" x14ac:dyDescent="0.25">
      <c r="XFD1000" t="s">
        <v>384</v>
      </c>
    </row>
    <row r="1001" spans="16384:16384" hidden="1" x14ac:dyDescent="0.25"/>
    <row r="1002" spans="16384:16384" hidden="1" x14ac:dyDescent="0.25">
      <c r="XFD1002" t="s">
        <v>384</v>
      </c>
    </row>
    <row r="1003" spans="16384:16384" hidden="1" x14ac:dyDescent="0.25">
      <c r="XFD1003" t="s">
        <v>384</v>
      </c>
    </row>
    <row r="1004" spans="16384:16384" hidden="1" x14ac:dyDescent="0.25">
      <c r="XFD1004" t="s">
        <v>384</v>
      </c>
    </row>
    <row r="1005" spans="16384:16384" hidden="1" x14ac:dyDescent="0.25">
      <c r="XFD1005" t="s">
        <v>384</v>
      </c>
    </row>
    <row r="1006" spans="16384:16384" hidden="1" x14ac:dyDescent="0.25">
      <c r="XFD1006" t="s">
        <v>384</v>
      </c>
    </row>
    <row r="1007" spans="16384:16384" hidden="1" x14ac:dyDescent="0.25">
      <c r="XFD1007" t="s">
        <v>384</v>
      </c>
    </row>
    <row r="1008" spans="16384:16384" hidden="1" x14ac:dyDescent="0.25">
      <c r="XFD1008" t="s">
        <v>384</v>
      </c>
    </row>
    <row r="1009" spans="16384:16384" hidden="1" x14ac:dyDescent="0.25">
      <c r="XFD1009" t="s">
        <v>384</v>
      </c>
    </row>
    <row r="1010" spans="16384:16384" hidden="1" x14ac:dyDescent="0.25">
      <c r="XFD1010" t="s">
        <v>384</v>
      </c>
    </row>
    <row r="1011" spans="16384:16384" hidden="1" x14ac:dyDescent="0.25">
      <c r="XFD1011" t="s">
        <v>384</v>
      </c>
    </row>
    <row r="1012" spans="16384:16384" hidden="1" x14ac:dyDescent="0.25">
      <c r="XFD1012" t="s">
        <v>384</v>
      </c>
    </row>
    <row r="1013" spans="16384:16384" hidden="1" x14ac:dyDescent="0.25">
      <c r="XFD1013" t="s">
        <v>384</v>
      </c>
    </row>
    <row r="1014" spans="16384:16384" hidden="1" x14ac:dyDescent="0.25">
      <c r="XFD1014" t="s">
        <v>384</v>
      </c>
    </row>
    <row r="1015" spans="16384:16384" hidden="1" x14ac:dyDescent="0.25">
      <c r="XFD1015" t="s">
        <v>384</v>
      </c>
    </row>
    <row r="1016" spans="16384:16384" hidden="1" x14ac:dyDescent="0.25">
      <c r="XFD1016" t="s">
        <v>384</v>
      </c>
    </row>
    <row r="1017" spans="16384:16384" hidden="1" x14ac:dyDescent="0.25">
      <c r="XFD1017" t="s">
        <v>384</v>
      </c>
    </row>
    <row r="1018" spans="16384:16384" hidden="1" x14ac:dyDescent="0.25">
      <c r="XFD1018" t="s">
        <v>384</v>
      </c>
    </row>
    <row r="1019" spans="16384:16384" hidden="1" x14ac:dyDescent="0.25">
      <c r="XFD1019" t="s">
        <v>384</v>
      </c>
    </row>
    <row r="1020" spans="16384:16384" hidden="1" x14ac:dyDescent="0.25">
      <c r="XFD1020" t="s">
        <v>384</v>
      </c>
    </row>
    <row r="1021" spans="16384:16384" hidden="1" x14ac:dyDescent="0.25">
      <c r="XFD1021" t="s">
        <v>384</v>
      </c>
    </row>
    <row r="1022" spans="16384:16384" hidden="1" x14ac:dyDescent="0.25">
      <c r="XFD1022" t="s">
        <v>384</v>
      </c>
    </row>
    <row r="1023" spans="16384:16384" hidden="1" x14ac:dyDescent="0.25">
      <c r="XFD1023" t="s">
        <v>384</v>
      </c>
    </row>
    <row r="1024" spans="16384:16384" hidden="1" x14ac:dyDescent="0.25">
      <c r="XFD1024" t="s">
        <v>384</v>
      </c>
    </row>
    <row r="1025" spans="16384:16384" hidden="1" x14ac:dyDescent="0.25">
      <c r="XFD1025" t="s">
        <v>384</v>
      </c>
    </row>
    <row r="1026" spans="16384:16384" hidden="1" x14ac:dyDescent="0.25">
      <c r="XFD1026" t="s">
        <v>384</v>
      </c>
    </row>
    <row r="1027" spans="16384:16384" hidden="1" x14ac:dyDescent="0.25">
      <c r="XFD1027" t="s">
        <v>384</v>
      </c>
    </row>
    <row r="1028" spans="16384:16384" hidden="1" x14ac:dyDescent="0.25">
      <c r="XFD1028" t="s">
        <v>384</v>
      </c>
    </row>
    <row r="1029" spans="16384:16384" hidden="1" x14ac:dyDescent="0.25">
      <c r="XFD1029" t="s">
        <v>384</v>
      </c>
    </row>
    <row r="1030" spans="16384:16384" hidden="1" x14ac:dyDescent="0.25">
      <c r="XFD1030" t="s">
        <v>384</v>
      </c>
    </row>
    <row r="1031" spans="16384:16384" hidden="1" x14ac:dyDescent="0.25">
      <c r="XFD1031" t="s">
        <v>384</v>
      </c>
    </row>
    <row r="1032" spans="16384:16384" hidden="1" x14ac:dyDescent="0.25">
      <c r="XFD1032" t="s">
        <v>384</v>
      </c>
    </row>
    <row r="1033" spans="16384:16384" hidden="1" x14ac:dyDescent="0.25">
      <c r="XFD1033" t="s">
        <v>384</v>
      </c>
    </row>
    <row r="1034" spans="16384:16384" hidden="1" x14ac:dyDescent="0.25">
      <c r="XFD1034" t="s">
        <v>384</v>
      </c>
    </row>
    <row r="1035" spans="16384:16384" hidden="1" x14ac:dyDescent="0.25">
      <c r="XFD1035" t="s">
        <v>384</v>
      </c>
    </row>
    <row r="1036" spans="16384:16384" hidden="1" x14ac:dyDescent="0.25">
      <c r="XFD1036" t="s">
        <v>384</v>
      </c>
    </row>
    <row r="1037" spans="16384:16384" hidden="1" x14ac:dyDescent="0.25">
      <c r="XFD1037" t="s">
        <v>384</v>
      </c>
    </row>
    <row r="1038" spans="16384:16384" hidden="1" x14ac:dyDescent="0.25">
      <c r="XFD1038" t="s">
        <v>384</v>
      </c>
    </row>
    <row r="1039" spans="16384:16384" hidden="1" x14ac:dyDescent="0.25">
      <c r="XFD1039" t="s">
        <v>384</v>
      </c>
    </row>
    <row r="1040" spans="16384:16384" hidden="1" x14ac:dyDescent="0.25">
      <c r="XFD1040" t="s">
        <v>384</v>
      </c>
    </row>
    <row r="1041" spans="16384:16384" hidden="1" x14ac:dyDescent="0.25">
      <c r="XFD1041" t="s">
        <v>384</v>
      </c>
    </row>
    <row r="1042" spans="16384:16384" hidden="1" x14ac:dyDescent="0.25">
      <c r="XFD1042" t="s">
        <v>384</v>
      </c>
    </row>
    <row r="1043" spans="16384:16384" hidden="1" x14ac:dyDescent="0.25">
      <c r="XFD1043" t="s">
        <v>384</v>
      </c>
    </row>
    <row r="1044" spans="16384:16384" hidden="1" x14ac:dyDescent="0.25">
      <c r="XFD1044" t="s">
        <v>384</v>
      </c>
    </row>
    <row r="1045" spans="16384:16384" hidden="1" x14ac:dyDescent="0.25">
      <c r="XFD1045" t="s">
        <v>384</v>
      </c>
    </row>
    <row r="1046" spans="16384:16384" hidden="1" x14ac:dyDescent="0.25">
      <c r="XFD1046" t="s">
        <v>384</v>
      </c>
    </row>
    <row r="1047" spans="16384:16384" hidden="1" x14ac:dyDescent="0.25">
      <c r="XFD1047" t="s">
        <v>384</v>
      </c>
    </row>
    <row r="1048" spans="16384:16384" hidden="1" x14ac:dyDescent="0.25">
      <c r="XFD1048" t="s">
        <v>384</v>
      </c>
    </row>
    <row r="1049" spans="16384:16384" hidden="1" x14ac:dyDescent="0.25">
      <c r="XFD1049" t="s">
        <v>384</v>
      </c>
    </row>
    <row r="1050" spans="16384:16384" hidden="1" x14ac:dyDescent="0.25">
      <c r="XFD1050" t="s">
        <v>384</v>
      </c>
    </row>
    <row r="1051" spans="16384:16384" hidden="1" x14ac:dyDescent="0.25">
      <c r="XFD1051" t="s">
        <v>384</v>
      </c>
    </row>
    <row r="1052" spans="16384:16384" hidden="1" x14ac:dyDescent="0.25">
      <c r="XFD1052" t="s">
        <v>384</v>
      </c>
    </row>
    <row r="1053" spans="16384:16384" hidden="1" x14ac:dyDescent="0.25">
      <c r="XFD1053" t="s">
        <v>384</v>
      </c>
    </row>
    <row r="1054" spans="16384:16384" hidden="1" x14ac:dyDescent="0.25">
      <c r="XFD1054" t="s">
        <v>384</v>
      </c>
    </row>
    <row r="1055" spans="16384:16384" hidden="1" x14ac:dyDescent="0.25">
      <c r="XFD1055" t="s">
        <v>384</v>
      </c>
    </row>
    <row r="1056" spans="16384:16384" hidden="1" x14ac:dyDescent="0.25">
      <c r="XFD1056" t="s">
        <v>384</v>
      </c>
    </row>
    <row r="1057" spans="16384:16384" hidden="1" x14ac:dyDescent="0.25">
      <c r="XFD1057" t="s">
        <v>384</v>
      </c>
    </row>
    <row r="1058" spans="16384:16384" hidden="1" x14ac:dyDescent="0.25">
      <c r="XFD1058" t="s">
        <v>384</v>
      </c>
    </row>
    <row r="1059" spans="16384:16384" hidden="1" x14ac:dyDescent="0.25">
      <c r="XFD1059" t="s">
        <v>384</v>
      </c>
    </row>
    <row r="1060" spans="16384:16384" hidden="1" x14ac:dyDescent="0.25">
      <c r="XFD1060" t="s">
        <v>384</v>
      </c>
    </row>
    <row r="1061" spans="16384:16384" hidden="1" x14ac:dyDescent="0.25">
      <c r="XFD1061" t="s">
        <v>384</v>
      </c>
    </row>
    <row r="1062" spans="16384:16384" hidden="1" x14ac:dyDescent="0.25">
      <c r="XFD1062" t="s">
        <v>384</v>
      </c>
    </row>
    <row r="1063" spans="16384:16384" hidden="1" x14ac:dyDescent="0.25">
      <c r="XFD1063" t="s">
        <v>384</v>
      </c>
    </row>
    <row r="1064" spans="16384:16384" hidden="1" x14ac:dyDescent="0.25">
      <c r="XFD1064" t="s">
        <v>384</v>
      </c>
    </row>
    <row r="1065" spans="16384:16384" hidden="1" x14ac:dyDescent="0.25">
      <c r="XFD1065" t="s">
        <v>384</v>
      </c>
    </row>
    <row r="1066" spans="16384:16384" hidden="1" x14ac:dyDescent="0.25">
      <c r="XFD1066" t="s">
        <v>384</v>
      </c>
    </row>
    <row r="1067" spans="16384:16384" hidden="1" x14ac:dyDescent="0.25">
      <c r="XFD1067" t="s">
        <v>384</v>
      </c>
    </row>
    <row r="1068" spans="16384:16384" hidden="1" x14ac:dyDescent="0.25">
      <c r="XFD1068" t="s">
        <v>384</v>
      </c>
    </row>
    <row r="1069" spans="16384:16384" hidden="1" x14ac:dyDescent="0.25">
      <c r="XFD1069" t="s">
        <v>384</v>
      </c>
    </row>
    <row r="1070" spans="16384:16384" hidden="1" x14ac:dyDescent="0.25">
      <c r="XFD1070" t="s">
        <v>384</v>
      </c>
    </row>
    <row r="1071" spans="16384:16384" hidden="1" x14ac:dyDescent="0.25">
      <c r="XFD1071" t="s">
        <v>384</v>
      </c>
    </row>
    <row r="1072" spans="16384:16384" hidden="1" x14ac:dyDescent="0.25">
      <c r="XFD1072" t="s">
        <v>384</v>
      </c>
    </row>
    <row r="1073" spans="16384:16384" hidden="1" x14ac:dyDescent="0.25">
      <c r="XFD1073" t="s">
        <v>384</v>
      </c>
    </row>
    <row r="1074" spans="16384:16384" hidden="1" x14ac:dyDescent="0.25">
      <c r="XFD1074" t="s">
        <v>384</v>
      </c>
    </row>
    <row r="1075" spans="16384:16384" hidden="1" x14ac:dyDescent="0.25">
      <c r="XFD1075" t="s">
        <v>384</v>
      </c>
    </row>
    <row r="1076" spans="16384:16384" hidden="1" x14ac:dyDescent="0.25">
      <c r="XFD1076" t="s">
        <v>384</v>
      </c>
    </row>
    <row r="1077" spans="16384:16384" hidden="1" x14ac:dyDescent="0.25">
      <c r="XFD1077" t="s">
        <v>384</v>
      </c>
    </row>
    <row r="1078" spans="16384:16384" hidden="1" x14ac:dyDescent="0.25">
      <c r="XFD1078" t="s">
        <v>384</v>
      </c>
    </row>
    <row r="1079" spans="16384:16384" hidden="1" x14ac:dyDescent="0.25">
      <c r="XFD1079" t="s">
        <v>384</v>
      </c>
    </row>
    <row r="1080" spans="16384:16384" hidden="1" x14ac:dyDescent="0.25">
      <c r="XFD1080" t="s">
        <v>384</v>
      </c>
    </row>
    <row r="1081" spans="16384:16384" hidden="1" x14ac:dyDescent="0.25">
      <c r="XFD1081" t="s">
        <v>384</v>
      </c>
    </row>
    <row r="1082" spans="16384:16384" hidden="1" x14ac:dyDescent="0.25">
      <c r="XFD1082" t="s">
        <v>384</v>
      </c>
    </row>
    <row r="1083" spans="16384:16384" hidden="1" x14ac:dyDescent="0.25">
      <c r="XFD1083" t="s">
        <v>384</v>
      </c>
    </row>
    <row r="1084" spans="16384:16384" hidden="1" x14ac:dyDescent="0.25">
      <c r="XFD1084" t="s">
        <v>384</v>
      </c>
    </row>
    <row r="1085" spans="16384:16384" hidden="1" x14ac:dyDescent="0.25">
      <c r="XFD1085" t="s">
        <v>384</v>
      </c>
    </row>
    <row r="1086" spans="16384:16384" hidden="1" x14ac:dyDescent="0.25">
      <c r="XFD1086" t="s">
        <v>384</v>
      </c>
    </row>
    <row r="1087" spans="16384:16384" hidden="1" x14ac:dyDescent="0.25">
      <c r="XFD1087" t="s">
        <v>384</v>
      </c>
    </row>
    <row r="1088" spans="16384:16384" hidden="1" x14ac:dyDescent="0.25">
      <c r="XFD1088" t="s">
        <v>384</v>
      </c>
    </row>
    <row r="1089" spans="16384:16384" hidden="1" x14ac:dyDescent="0.25">
      <c r="XFD1089" t="s">
        <v>384</v>
      </c>
    </row>
    <row r="1090" spans="16384:16384" hidden="1" x14ac:dyDescent="0.25">
      <c r="XFD1090" t="s">
        <v>384</v>
      </c>
    </row>
    <row r="1091" spans="16384:16384" hidden="1" x14ac:dyDescent="0.25">
      <c r="XFD1091" t="s">
        <v>384</v>
      </c>
    </row>
    <row r="1092" spans="16384:16384" hidden="1" x14ac:dyDescent="0.25">
      <c r="XFD1092" t="s">
        <v>384</v>
      </c>
    </row>
    <row r="1093" spans="16384:16384" hidden="1" x14ac:dyDescent="0.25">
      <c r="XFD1093" t="s">
        <v>384</v>
      </c>
    </row>
    <row r="1094" spans="16384:16384" hidden="1" x14ac:dyDescent="0.25">
      <c r="XFD1094" t="s">
        <v>384</v>
      </c>
    </row>
    <row r="1095" spans="16384:16384" hidden="1" x14ac:dyDescent="0.25">
      <c r="XFD1095" t="s">
        <v>384</v>
      </c>
    </row>
    <row r="1096" spans="16384:16384" hidden="1" x14ac:dyDescent="0.25">
      <c r="XFD1096" t="s">
        <v>384</v>
      </c>
    </row>
    <row r="1097" spans="16384:16384" hidden="1" x14ac:dyDescent="0.25">
      <c r="XFD1097" t="s">
        <v>384</v>
      </c>
    </row>
    <row r="1098" spans="16384:16384" hidden="1" x14ac:dyDescent="0.25">
      <c r="XFD1098" t="s">
        <v>384</v>
      </c>
    </row>
    <row r="1099" spans="16384:16384" hidden="1" x14ac:dyDescent="0.25">
      <c r="XFD1099" t="s">
        <v>384</v>
      </c>
    </row>
    <row r="1100" spans="16384:16384" hidden="1" x14ac:dyDescent="0.25">
      <c r="XFD1100" t="s">
        <v>384</v>
      </c>
    </row>
    <row r="1101" spans="16384:16384" hidden="1" x14ac:dyDescent="0.25">
      <c r="XFD1101" t="s">
        <v>384</v>
      </c>
    </row>
    <row r="1102" spans="16384:16384" hidden="1" x14ac:dyDescent="0.25">
      <c r="XFD1102" t="s">
        <v>384</v>
      </c>
    </row>
    <row r="1103" spans="16384:16384" hidden="1" x14ac:dyDescent="0.25">
      <c r="XFD1103" t="s">
        <v>384</v>
      </c>
    </row>
    <row r="1104" spans="16384:16384" hidden="1" x14ac:dyDescent="0.25">
      <c r="XFD1104" t="s">
        <v>384</v>
      </c>
    </row>
    <row r="1105" spans="16384:16384" hidden="1" x14ac:dyDescent="0.25">
      <c r="XFD1105" t="s">
        <v>384</v>
      </c>
    </row>
    <row r="1106" spans="16384:16384" hidden="1" x14ac:dyDescent="0.25">
      <c r="XFD1106" t="s">
        <v>384</v>
      </c>
    </row>
    <row r="1107" spans="16384:16384" hidden="1" x14ac:dyDescent="0.25">
      <c r="XFD1107" t="s">
        <v>384</v>
      </c>
    </row>
    <row r="1108" spans="16384:16384" hidden="1" x14ac:dyDescent="0.25">
      <c r="XFD1108" t="s">
        <v>384</v>
      </c>
    </row>
    <row r="1109" spans="16384:16384" hidden="1" x14ac:dyDescent="0.25">
      <c r="XFD1109" t="s">
        <v>384</v>
      </c>
    </row>
    <row r="1110" spans="16384:16384" hidden="1" x14ac:dyDescent="0.25">
      <c r="XFD1110" t="s">
        <v>384</v>
      </c>
    </row>
    <row r="1111" spans="16384:16384" hidden="1" x14ac:dyDescent="0.25">
      <c r="XFD1111" t="s">
        <v>384</v>
      </c>
    </row>
    <row r="1112" spans="16384:16384" hidden="1" x14ac:dyDescent="0.25">
      <c r="XFD1112" t="s">
        <v>384</v>
      </c>
    </row>
    <row r="1113" spans="16384:16384" hidden="1" x14ac:dyDescent="0.25">
      <c r="XFD1113" t="s">
        <v>384</v>
      </c>
    </row>
    <row r="1114" spans="16384:16384" hidden="1" x14ac:dyDescent="0.25">
      <c r="XFD1114" t="s">
        <v>384</v>
      </c>
    </row>
    <row r="1115" spans="16384:16384" hidden="1" x14ac:dyDescent="0.25">
      <c r="XFD1115" t="s">
        <v>384</v>
      </c>
    </row>
    <row r="1116" spans="16384:16384" hidden="1" x14ac:dyDescent="0.25">
      <c r="XFD1116" t="s">
        <v>384</v>
      </c>
    </row>
    <row r="1117" spans="16384:16384" hidden="1" x14ac:dyDescent="0.25">
      <c r="XFD1117" t="s">
        <v>384</v>
      </c>
    </row>
    <row r="1118" spans="16384:16384" hidden="1" x14ac:dyDescent="0.25">
      <c r="XFD1118" t="s">
        <v>384</v>
      </c>
    </row>
    <row r="1119" spans="16384:16384" hidden="1" x14ac:dyDescent="0.25">
      <c r="XFD1119" t="s">
        <v>384</v>
      </c>
    </row>
    <row r="1120" spans="16384:16384" hidden="1" x14ac:dyDescent="0.25">
      <c r="XFD1120" t="s">
        <v>384</v>
      </c>
    </row>
    <row r="1121" spans="16384:16384" hidden="1" x14ac:dyDescent="0.25">
      <c r="XFD1121" t="s">
        <v>384</v>
      </c>
    </row>
    <row r="1122" spans="16384:16384" hidden="1" x14ac:dyDescent="0.25">
      <c r="XFD1122" t="s">
        <v>384</v>
      </c>
    </row>
    <row r="1123" spans="16384:16384" hidden="1" x14ac:dyDescent="0.25">
      <c r="XFD1123" t="s">
        <v>384</v>
      </c>
    </row>
    <row r="1124" spans="16384:16384" hidden="1" x14ac:dyDescent="0.25">
      <c r="XFD1124" t="s">
        <v>384</v>
      </c>
    </row>
    <row r="1125" spans="16384:16384" hidden="1" x14ac:dyDescent="0.25">
      <c r="XFD1125" t="s">
        <v>384</v>
      </c>
    </row>
    <row r="1126" spans="16384:16384" hidden="1" x14ac:dyDescent="0.25">
      <c r="XFD1126" t="s">
        <v>384</v>
      </c>
    </row>
    <row r="1127" spans="16384:16384" hidden="1" x14ac:dyDescent="0.25">
      <c r="XFD1127" t="s">
        <v>384</v>
      </c>
    </row>
    <row r="1128" spans="16384:16384" hidden="1" x14ac:dyDescent="0.25">
      <c r="XFD1128" t="s">
        <v>384</v>
      </c>
    </row>
    <row r="1129" spans="16384:16384" hidden="1" x14ac:dyDescent="0.25">
      <c r="XFD1129" t="s">
        <v>384</v>
      </c>
    </row>
    <row r="1130" spans="16384:16384" hidden="1" x14ac:dyDescent="0.25">
      <c r="XFD1130" t="s">
        <v>384</v>
      </c>
    </row>
    <row r="1131" spans="16384:16384" hidden="1" x14ac:dyDescent="0.25">
      <c r="XFD1131" t="s">
        <v>384</v>
      </c>
    </row>
    <row r="1132" spans="16384:16384" hidden="1" x14ac:dyDescent="0.25">
      <c r="XFD1132" t="s">
        <v>384</v>
      </c>
    </row>
    <row r="1133" spans="16384:16384" hidden="1" x14ac:dyDescent="0.25">
      <c r="XFD1133" t="s">
        <v>384</v>
      </c>
    </row>
    <row r="1134" spans="16384:16384" hidden="1" x14ac:dyDescent="0.25">
      <c r="XFD1134" t="s">
        <v>384</v>
      </c>
    </row>
    <row r="1135" spans="16384:16384" hidden="1" x14ac:dyDescent="0.25">
      <c r="XFD1135" t="s">
        <v>384</v>
      </c>
    </row>
    <row r="1136" spans="16384:16384" hidden="1" x14ac:dyDescent="0.25">
      <c r="XFD1136" t="s">
        <v>384</v>
      </c>
    </row>
    <row r="1137" spans="16384:16384" hidden="1" x14ac:dyDescent="0.25">
      <c r="XFD1137" t="s">
        <v>384</v>
      </c>
    </row>
    <row r="1138" spans="16384:16384" hidden="1" x14ac:dyDescent="0.25">
      <c r="XFD1138" t="s">
        <v>384</v>
      </c>
    </row>
    <row r="1139" spans="16384:16384" hidden="1" x14ac:dyDescent="0.25">
      <c r="XFD1139" t="s">
        <v>384</v>
      </c>
    </row>
    <row r="1140" spans="16384:16384" hidden="1" x14ac:dyDescent="0.25">
      <c r="XFD1140" t="s">
        <v>384</v>
      </c>
    </row>
    <row r="1141" spans="16384:16384" hidden="1" x14ac:dyDescent="0.25">
      <c r="XFD1141" t="s">
        <v>384</v>
      </c>
    </row>
    <row r="1142" spans="16384:16384" hidden="1" x14ac:dyDescent="0.25">
      <c r="XFD1142" t="s">
        <v>384</v>
      </c>
    </row>
    <row r="1143" spans="16384:16384" hidden="1" x14ac:dyDescent="0.25">
      <c r="XFD1143" t="s">
        <v>384</v>
      </c>
    </row>
    <row r="1144" spans="16384:16384" hidden="1" x14ac:dyDescent="0.25">
      <c r="XFD1144" t="s">
        <v>384</v>
      </c>
    </row>
    <row r="1145" spans="16384:16384" hidden="1" x14ac:dyDescent="0.25">
      <c r="XFD1145" t="s">
        <v>384</v>
      </c>
    </row>
    <row r="1146" spans="16384:16384" hidden="1" x14ac:dyDescent="0.25">
      <c r="XFD1146" t="s">
        <v>384</v>
      </c>
    </row>
    <row r="1147" spans="16384:16384" hidden="1" x14ac:dyDescent="0.25">
      <c r="XFD1147" t="s">
        <v>384</v>
      </c>
    </row>
    <row r="1148" spans="16384:16384" hidden="1" x14ac:dyDescent="0.25">
      <c r="XFD1148" t="s">
        <v>384</v>
      </c>
    </row>
    <row r="1149" spans="16384:16384" hidden="1" x14ac:dyDescent="0.25">
      <c r="XFD1149" t="s">
        <v>384</v>
      </c>
    </row>
    <row r="1150" spans="16384:16384" hidden="1" x14ac:dyDescent="0.25">
      <c r="XFD1150" t="s">
        <v>384</v>
      </c>
    </row>
    <row r="1151" spans="16384:16384" hidden="1" x14ac:dyDescent="0.25">
      <c r="XFD1151" t="s">
        <v>384</v>
      </c>
    </row>
    <row r="1152" spans="16384:16384" hidden="1" x14ac:dyDescent="0.25">
      <c r="XFD1152" t="s">
        <v>384</v>
      </c>
    </row>
    <row r="1153" spans="16384:16384" hidden="1" x14ac:dyDescent="0.25">
      <c r="XFD1153" t="s">
        <v>384</v>
      </c>
    </row>
    <row r="1154" spans="16384:16384" hidden="1" x14ac:dyDescent="0.25">
      <c r="XFD1154" t="s">
        <v>384</v>
      </c>
    </row>
    <row r="1155" spans="16384:16384" hidden="1" x14ac:dyDescent="0.25">
      <c r="XFD1155" t="s">
        <v>384</v>
      </c>
    </row>
    <row r="1156" spans="16384:16384" hidden="1" x14ac:dyDescent="0.25">
      <c r="XFD1156" t="s">
        <v>384</v>
      </c>
    </row>
    <row r="1157" spans="16384:16384" hidden="1" x14ac:dyDescent="0.25">
      <c r="XFD1157" t="s">
        <v>384</v>
      </c>
    </row>
    <row r="1158" spans="16384:16384" hidden="1" x14ac:dyDescent="0.25">
      <c r="XFD1158" t="s">
        <v>384</v>
      </c>
    </row>
    <row r="1159" spans="16384:16384" hidden="1" x14ac:dyDescent="0.25">
      <c r="XFD1159" t="s">
        <v>384</v>
      </c>
    </row>
    <row r="1160" spans="16384:16384" hidden="1" x14ac:dyDescent="0.25">
      <c r="XFD1160" t="s">
        <v>384</v>
      </c>
    </row>
    <row r="1161" spans="16384:16384" hidden="1" x14ac:dyDescent="0.25">
      <c r="XFD1161" t="s">
        <v>384</v>
      </c>
    </row>
    <row r="1162" spans="16384:16384" hidden="1" x14ac:dyDescent="0.25">
      <c r="XFD1162" t="s">
        <v>384</v>
      </c>
    </row>
    <row r="1163" spans="16384:16384" hidden="1" x14ac:dyDescent="0.25">
      <c r="XFD1163" t="s">
        <v>384</v>
      </c>
    </row>
    <row r="1164" spans="16384:16384" hidden="1" x14ac:dyDescent="0.25">
      <c r="XFD1164" t="s">
        <v>384</v>
      </c>
    </row>
    <row r="1165" spans="16384:16384" hidden="1" x14ac:dyDescent="0.25">
      <c r="XFD1165" t="s">
        <v>384</v>
      </c>
    </row>
    <row r="1166" spans="16384:16384" hidden="1" x14ac:dyDescent="0.25">
      <c r="XFD1166" t="s">
        <v>384</v>
      </c>
    </row>
    <row r="1167" spans="16384:16384" hidden="1" x14ac:dyDescent="0.25">
      <c r="XFD1167" t="s">
        <v>384</v>
      </c>
    </row>
    <row r="1168" spans="16384:16384" hidden="1" x14ac:dyDescent="0.25">
      <c r="XFD1168" t="s">
        <v>384</v>
      </c>
    </row>
    <row r="1169" spans="16384:16384" hidden="1" x14ac:dyDescent="0.25">
      <c r="XFD1169" t="s">
        <v>384</v>
      </c>
    </row>
    <row r="1170" spans="16384:16384" hidden="1" x14ac:dyDescent="0.25">
      <c r="XFD1170" t="s">
        <v>384</v>
      </c>
    </row>
    <row r="1171" spans="16384:16384" hidden="1" x14ac:dyDescent="0.25">
      <c r="XFD1171" t="s">
        <v>384</v>
      </c>
    </row>
    <row r="1172" spans="16384:16384" hidden="1" x14ac:dyDescent="0.25">
      <c r="XFD1172" t="s">
        <v>384</v>
      </c>
    </row>
    <row r="1173" spans="16384:16384" hidden="1" x14ac:dyDescent="0.25">
      <c r="XFD1173" t="s">
        <v>384</v>
      </c>
    </row>
    <row r="1174" spans="16384:16384" hidden="1" x14ac:dyDescent="0.25">
      <c r="XFD1174" t="s">
        <v>384</v>
      </c>
    </row>
    <row r="1175" spans="16384:16384" hidden="1" x14ac:dyDescent="0.25">
      <c r="XFD1175" t="s">
        <v>384</v>
      </c>
    </row>
    <row r="1176" spans="16384:16384" hidden="1" x14ac:dyDescent="0.25">
      <c r="XFD1176" t="s">
        <v>384</v>
      </c>
    </row>
    <row r="1177" spans="16384:16384" hidden="1" x14ac:dyDescent="0.25">
      <c r="XFD1177" t="s">
        <v>384</v>
      </c>
    </row>
    <row r="1178" spans="16384:16384" hidden="1" x14ac:dyDescent="0.25">
      <c r="XFD1178" t="s">
        <v>384</v>
      </c>
    </row>
    <row r="1179" spans="16384:16384" hidden="1" x14ac:dyDescent="0.25">
      <c r="XFD1179" t="s">
        <v>384</v>
      </c>
    </row>
    <row r="1180" spans="16384:16384" hidden="1" x14ac:dyDescent="0.25">
      <c r="XFD1180" t="s">
        <v>384</v>
      </c>
    </row>
    <row r="1181" spans="16384:16384" hidden="1" x14ac:dyDescent="0.25">
      <c r="XFD1181" t="s">
        <v>384</v>
      </c>
    </row>
    <row r="1182" spans="16384:16384" hidden="1" x14ac:dyDescent="0.25">
      <c r="XFD1182" t="s">
        <v>384</v>
      </c>
    </row>
    <row r="1183" spans="16384:16384" hidden="1" x14ac:dyDescent="0.25">
      <c r="XFD1183" t="s">
        <v>384</v>
      </c>
    </row>
    <row r="1184" spans="16384:16384" hidden="1" x14ac:dyDescent="0.25">
      <c r="XFD1184" t="s">
        <v>384</v>
      </c>
    </row>
    <row r="1185" spans="16384:16384" hidden="1" x14ac:dyDescent="0.25">
      <c r="XFD1185" t="s">
        <v>384</v>
      </c>
    </row>
    <row r="1186" spans="16384:16384" hidden="1" x14ac:dyDescent="0.25">
      <c r="XFD1186" t="s">
        <v>384</v>
      </c>
    </row>
    <row r="1187" spans="16384:16384" hidden="1" x14ac:dyDescent="0.25">
      <c r="XFD1187" t="s">
        <v>384</v>
      </c>
    </row>
    <row r="1188" spans="16384:16384" hidden="1" x14ac:dyDescent="0.25">
      <c r="XFD1188" t="s">
        <v>384</v>
      </c>
    </row>
    <row r="1189" spans="16384:16384" hidden="1" x14ac:dyDescent="0.25">
      <c r="XFD1189" t="s">
        <v>384</v>
      </c>
    </row>
    <row r="1190" spans="16384:16384" hidden="1" x14ac:dyDescent="0.25">
      <c r="XFD1190" t="s">
        <v>384</v>
      </c>
    </row>
    <row r="1191" spans="16384:16384" hidden="1" x14ac:dyDescent="0.25">
      <c r="XFD1191" t="s">
        <v>384</v>
      </c>
    </row>
    <row r="1192" spans="16384:16384" hidden="1" x14ac:dyDescent="0.25">
      <c r="XFD1192" t="s">
        <v>384</v>
      </c>
    </row>
    <row r="1193" spans="16384:16384" hidden="1" x14ac:dyDescent="0.25">
      <c r="XFD1193" t="s">
        <v>384</v>
      </c>
    </row>
    <row r="1194" spans="16384:16384" hidden="1" x14ac:dyDescent="0.25">
      <c r="XFD1194" t="s">
        <v>384</v>
      </c>
    </row>
    <row r="1195" spans="16384:16384" hidden="1" x14ac:dyDescent="0.25">
      <c r="XFD1195" t="s">
        <v>384</v>
      </c>
    </row>
    <row r="1196" spans="16384:16384" hidden="1" x14ac:dyDescent="0.25">
      <c r="XFD1196" t="s">
        <v>384</v>
      </c>
    </row>
    <row r="1197" spans="16384:16384" hidden="1" x14ac:dyDescent="0.25">
      <c r="XFD1197" t="s">
        <v>384</v>
      </c>
    </row>
    <row r="1198" spans="16384:16384" hidden="1" x14ac:dyDescent="0.25">
      <c r="XFD1198" t="s">
        <v>384</v>
      </c>
    </row>
    <row r="1199" spans="16384:16384" hidden="1" x14ac:dyDescent="0.25">
      <c r="XFD1199" t="s">
        <v>384</v>
      </c>
    </row>
    <row r="1200" spans="16384:16384" hidden="1" x14ac:dyDescent="0.25">
      <c r="XFD1200" t="s">
        <v>384</v>
      </c>
    </row>
    <row r="1201" spans="16384:16384" hidden="1" x14ac:dyDescent="0.25">
      <c r="XFD1201" t="s">
        <v>384</v>
      </c>
    </row>
    <row r="1202" spans="16384:16384" hidden="1" x14ac:dyDescent="0.25">
      <c r="XFD1202" t="s">
        <v>384</v>
      </c>
    </row>
    <row r="1203" spans="16384:16384" hidden="1" x14ac:dyDescent="0.25">
      <c r="XFD1203" t="s">
        <v>384</v>
      </c>
    </row>
    <row r="1204" spans="16384:16384" hidden="1" x14ac:dyDescent="0.25">
      <c r="XFD1204" t="s">
        <v>384</v>
      </c>
    </row>
    <row r="1205" spans="16384:16384" hidden="1" x14ac:dyDescent="0.25">
      <c r="XFD1205" t="s">
        <v>384</v>
      </c>
    </row>
    <row r="1206" spans="16384:16384" hidden="1" x14ac:dyDescent="0.25">
      <c r="XFD1206" t="s">
        <v>384</v>
      </c>
    </row>
    <row r="1207" spans="16384:16384" hidden="1" x14ac:dyDescent="0.25">
      <c r="XFD1207" t="s">
        <v>384</v>
      </c>
    </row>
    <row r="1208" spans="16384:16384" hidden="1" x14ac:dyDescent="0.25">
      <c r="XFD1208" t="s">
        <v>4</v>
      </c>
    </row>
    <row r="1209" spans="16384:16384" hidden="1" x14ac:dyDescent="0.25">
      <c r="XFD1209" t="s">
        <v>384</v>
      </c>
    </row>
    <row r="1210" spans="16384:16384" hidden="1" x14ac:dyDescent="0.25">
      <c r="XFD1210" t="s">
        <v>384</v>
      </c>
    </row>
    <row r="1211" spans="16384:16384" hidden="1" x14ac:dyDescent="0.25">
      <c r="XFD1211" t="s">
        <v>384</v>
      </c>
    </row>
    <row r="1212" spans="16384:16384" hidden="1" x14ac:dyDescent="0.25">
      <c r="XFD1212" t="s">
        <v>384</v>
      </c>
    </row>
    <row r="1213" spans="16384:16384" hidden="1" x14ac:dyDescent="0.25">
      <c r="XFD1213" t="s">
        <v>384</v>
      </c>
    </row>
    <row r="1214" spans="16384:16384" hidden="1" x14ac:dyDescent="0.25">
      <c r="XFD1214" t="s">
        <v>384</v>
      </c>
    </row>
    <row r="1215" spans="16384:16384" hidden="1" x14ac:dyDescent="0.25">
      <c r="XFD1215" t="s">
        <v>384</v>
      </c>
    </row>
    <row r="1216" spans="16384:16384" hidden="1" x14ac:dyDescent="0.25">
      <c r="XFD1216" t="s">
        <v>384</v>
      </c>
    </row>
    <row r="1217" spans="16384:16384" hidden="1" x14ac:dyDescent="0.25">
      <c r="XFD1217" t="s">
        <v>384</v>
      </c>
    </row>
    <row r="1218" spans="16384:16384" hidden="1" x14ac:dyDescent="0.25">
      <c r="XFD1218" t="s">
        <v>384</v>
      </c>
    </row>
    <row r="1219" spans="16384:16384" hidden="1" x14ac:dyDescent="0.25">
      <c r="XFD1219" t="s">
        <v>384</v>
      </c>
    </row>
    <row r="1220" spans="16384:16384" hidden="1" x14ac:dyDescent="0.25">
      <c r="XFD1220" t="s">
        <v>384</v>
      </c>
    </row>
    <row r="1221" spans="16384:16384" hidden="1" x14ac:dyDescent="0.25">
      <c r="XFD1221" t="s">
        <v>384</v>
      </c>
    </row>
    <row r="1222" spans="16384:16384" hidden="1" x14ac:dyDescent="0.25">
      <c r="XFD1222" t="s">
        <v>384</v>
      </c>
    </row>
    <row r="1223" spans="16384:16384" hidden="1" x14ac:dyDescent="0.25">
      <c r="XFD1223" t="s">
        <v>384</v>
      </c>
    </row>
    <row r="1224" spans="16384:16384" hidden="1" x14ac:dyDescent="0.25">
      <c r="XFD1224" t="s">
        <v>384</v>
      </c>
    </row>
    <row r="1225" spans="16384:16384" hidden="1" x14ac:dyDescent="0.25">
      <c r="XFD1225" t="s">
        <v>384</v>
      </c>
    </row>
    <row r="1226" spans="16384:16384" hidden="1" x14ac:dyDescent="0.25">
      <c r="XFD1226" t="s">
        <v>384</v>
      </c>
    </row>
    <row r="1227" spans="16384:16384" hidden="1" x14ac:dyDescent="0.25">
      <c r="XFD1227" t="s">
        <v>384</v>
      </c>
    </row>
    <row r="1228" spans="16384:16384" hidden="1" x14ac:dyDescent="0.25">
      <c r="XFD1228" t="s">
        <v>384</v>
      </c>
    </row>
    <row r="1229" spans="16384:16384" hidden="1" x14ac:dyDescent="0.25">
      <c r="XFD1229" t="s">
        <v>384</v>
      </c>
    </row>
    <row r="1230" spans="16384:16384" hidden="1" x14ac:dyDescent="0.25">
      <c r="XFD1230" t="s">
        <v>384</v>
      </c>
    </row>
    <row r="1231" spans="16384:16384" hidden="1" x14ac:dyDescent="0.25">
      <c r="XFD1231" t="s">
        <v>384</v>
      </c>
    </row>
    <row r="1232" spans="16384:16384" hidden="1" x14ac:dyDescent="0.25">
      <c r="XFD1232" t="s">
        <v>384</v>
      </c>
    </row>
    <row r="1233" spans="16384:16384" hidden="1" x14ac:dyDescent="0.25">
      <c r="XFD1233" t="s">
        <v>384</v>
      </c>
    </row>
    <row r="1234" spans="16384:16384" hidden="1" x14ac:dyDescent="0.25">
      <c r="XFD1234" t="s">
        <v>384</v>
      </c>
    </row>
    <row r="1235" spans="16384:16384" hidden="1" x14ac:dyDescent="0.25">
      <c r="XFD1235" t="s">
        <v>384</v>
      </c>
    </row>
    <row r="1236" spans="16384:16384" hidden="1" x14ac:dyDescent="0.25">
      <c r="XFD1236" t="s">
        <v>384</v>
      </c>
    </row>
    <row r="1237" spans="16384:16384" hidden="1" x14ac:dyDescent="0.25">
      <c r="XFD1237" t="s">
        <v>384</v>
      </c>
    </row>
    <row r="1238" spans="16384:16384" hidden="1" x14ac:dyDescent="0.25">
      <c r="XFD1238" t="s">
        <v>384</v>
      </c>
    </row>
    <row r="1239" spans="16384:16384" hidden="1" x14ac:dyDescent="0.25">
      <c r="XFD1239" t="s">
        <v>384</v>
      </c>
    </row>
    <row r="1240" spans="16384:16384" hidden="1" x14ac:dyDescent="0.25">
      <c r="XFD1240" t="s">
        <v>384</v>
      </c>
    </row>
    <row r="1241" spans="16384:16384" hidden="1" x14ac:dyDescent="0.25">
      <c r="XFD1241" t="s">
        <v>384</v>
      </c>
    </row>
    <row r="1242" spans="16384:16384" hidden="1" x14ac:dyDescent="0.25">
      <c r="XFD1242" t="s">
        <v>384</v>
      </c>
    </row>
    <row r="1243" spans="16384:16384" hidden="1" x14ac:dyDescent="0.25">
      <c r="XFD1243" t="s">
        <v>384</v>
      </c>
    </row>
    <row r="1244" spans="16384:16384" hidden="1" x14ac:dyDescent="0.25">
      <c r="XFD1244" t="s">
        <v>384</v>
      </c>
    </row>
    <row r="1245" spans="16384:16384" hidden="1" x14ac:dyDescent="0.25">
      <c r="XFD1245" t="s">
        <v>384</v>
      </c>
    </row>
    <row r="1246" spans="16384:16384" hidden="1" x14ac:dyDescent="0.25">
      <c r="XFD1246" t="s">
        <v>384</v>
      </c>
    </row>
    <row r="1247" spans="16384:16384" hidden="1" x14ac:dyDescent="0.25">
      <c r="XFD1247" t="s">
        <v>384</v>
      </c>
    </row>
    <row r="1248" spans="16384:16384" hidden="1" x14ac:dyDescent="0.25">
      <c r="XFD1248" t="s">
        <v>384</v>
      </c>
    </row>
    <row r="1249" spans="16384:16384" hidden="1" x14ac:dyDescent="0.25">
      <c r="XFD1249" t="s">
        <v>384</v>
      </c>
    </row>
    <row r="1250" spans="16384:16384" hidden="1" x14ac:dyDescent="0.25">
      <c r="XFD1250" t="s">
        <v>384</v>
      </c>
    </row>
    <row r="1251" spans="16384:16384" hidden="1" x14ac:dyDescent="0.25">
      <c r="XFD1251" t="s">
        <v>384</v>
      </c>
    </row>
    <row r="1252" spans="16384:16384" hidden="1" x14ac:dyDescent="0.25">
      <c r="XFD1252" t="s">
        <v>384</v>
      </c>
    </row>
    <row r="1253" spans="16384:16384" hidden="1" x14ac:dyDescent="0.25">
      <c r="XFD1253" t="s">
        <v>384</v>
      </c>
    </row>
    <row r="1254" spans="16384:16384" hidden="1" x14ac:dyDescent="0.25">
      <c r="XFD1254" t="s">
        <v>384</v>
      </c>
    </row>
    <row r="1255" spans="16384:16384" hidden="1" x14ac:dyDescent="0.25">
      <c r="XFD1255" t="s">
        <v>384</v>
      </c>
    </row>
    <row r="1256" spans="16384:16384" hidden="1" x14ac:dyDescent="0.25">
      <c r="XFD1256" t="s">
        <v>384</v>
      </c>
    </row>
    <row r="1257" spans="16384:16384" hidden="1" x14ac:dyDescent="0.25">
      <c r="XFD1257" t="s">
        <v>384</v>
      </c>
    </row>
    <row r="1258" spans="16384:16384" hidden="1" x14ac:dyDescent="0.25">
      <c r="XFD1258" t="s">
        <v>384</v>
      </c>
    </row>
    <row r="1259" spans="16384:16384" hidden="1" x14ac:dyDescent="0.25">
      <c r="XFD1259" t="s">
        <v>384</v>
      </c>
    </row>
    <row r="1260" spans="16384:16384" hidden="1" x14ac:dyDescent="0.25">
      <c r="XFD1260" t="s">
        <v>384</v>
      </c>
    </row>
    <row r="1261" spans="16384:16384" hidden="1" x14ac:dyDescent="0.25">
      <c r="XFD1261" t="s">
        <v>3</v>
      </c>
    </row>
    <row r="1262" spans="16384:16384" hidden="1" x14ac:dyDescent="0.25">
      <c r="XFD1262" t="s">
        <v>3</v>
      </c>
    </row>
    <row r="1263" spans="16384:16384" hidden="1" x14ac:dyDescent="0.25">
      <c r="XFD1263" t="s">
        <v>3</v>
      </c>
    </row>
    <row r="1264" spans="16384:16384" hidden="1" x14ac:dyDescent="0.25">
      <c r="XFD1264" t="s">
        <v>3</v>
      </c>
    </row>
    <row r="1265" spans="16384:16384" hidden="1" x14ac:dyDescent="0.25">
      <c r="XFD1265" t="s">
        <v>3</v>
      </c>
    </row>
    <row r="1266" spans="16384:16384" hidden="1" x14ac:dyDescent="0.25">
      <c r="XFD1266" t="s">
        <v>3</v>
      </c>
    </row>
    <row r="1267" spans="16384:16384" hidden="1" x14ac:dyDescent="0.25">
      <c r="XFD1267" t="s">
        <v>385</v>
      </c>
    </row>
    <row r="1268" spans="16384:16384" hidden="1" x14ac:dyDescent="0.25">
      <c r="XFD1268" t="s">
        <v>3</v>
      </c>
    </row>
    <row r="1269" spans="16384:16384" hidden="1" x14ac:dyDescent="0.25">
      <c r="XFD1269" t="s">
        <v>3</v>
      </c>
    </row>
    <row r="1270" spans="16384:16384" hidden="1" x14ac:dyDescent="0.25">
      <c r="XFD1270" t="s">
        <v>3</v>
      </c>
    </row>
    <row r="1271" spans="16384:16384" hidden="1" x14ac:dyDescent="0.25">
      <c r="XFD1271" t="s">
        <v>3</v>
      </c>
    </row>
    <row r="1272" spans="16384:16384" hidden="1" x14ac:dyDescent="0.25">
      <c r="XFD1272" t="s">
        <v>3</v>
      </c>
    </row>
    <row r="1273" spans="16384:16384" hidden="1" x14ac:dyDescent="0.25">
      <c r="XFD1273" t="s">
        <v>3</v>
      </c>
    </row>
    <row r="1274" spans="16384:16384" hidden="1" x14ac:dyDescent="0.25">
      <c r="XFD1274" t="s">
        <v>3</v>
      </c>
    </row>
    <row r="1275" spans="16384:16384" hidden="1" x14ac:dyDescent="0.25">
      <c r="XFD1275" t="s">
        <v>3</v>
      </c>
    </row>
    <row r="1276" spans="16384:16384" hidden="1" x14ac:dyDescent="0.25">
      <c r="XFD1276" t="s">
        <v>3</v>
      </c>
    </row>
    <row r="1277" spans="16384:16384" hidden="1" x14ac:dyDescent="0.25">
      <c r="XFD1277" t="s">
        <v>3</v>
      </c>
    </row>
    <row r="1278" spans="16384:16384" hidden="1" x14ac:dyDescent="0.25">
      <c r="XFD1278" t="s">
        <v>3</v>
      </c>
    </row>
    <row r="1279" spans="16384:16384" hidden="1" x14ac:dyDescent="0.25">
      <c r="XFD1279" t="s">
        <v>3</v>
      </c>
    </row>
    <row r="1280" spans="16384:16384" hidden="1" x14ac:dyDescent="0.25">
      <c r="XFD1280" t="s">
        <v>3</v>
      </c>
    </row>
    <row r="1281" spans="16384:16384" hidden="1" x14ac:dyDescent="0.25">
      <c r="XFD1281" t="s">
        <v>3</v>
      </c>
    </row>
    <row r="1282" spans="16384:16384" hidden="1" x14ac:dyDescent="0.25">
      <c r="XFD1282" t="s">
        <v>3</v>
      </c>
    </row>
    <row r="1283" spans="16384:16384" hidden="1" x14ac:dyDescent="0.25">
      <c r="XFD1283" t="s">
        <v>3</v>
      </c>
    </row>
    <row r="1284" spans="16384:16384" hidden="1" x14ac:dyDescent="0.25">
      <c r="XFD1284" t="s">
        <v>3</v>
      </c>
    </row>
    <row r="1285" spans="16384:16384" hidden="1" x14ac:dyDescent="0.25">
      <c r="XFD1285" t="s">
        <v>3</v>
      </c>
    </row>
    <row r="1286" spans="16384:16384" hidden="1" x14ac:dyDescent="0.25">
      <c r="XFD1286" t="s">
        <v>3</v>
      </c>
    </row>
    <row r="1287" spans="16384:16384" hidden="1" x14ac:dyDescent="0.25">
      <c r="XFD1287" t="s">
        <v>3</v>
      </c>
    </row>
    <row r="1288" spans="16384:16384" hidden="1" x14ac:dyDescent="0.25">
      <c r="XFD1288" t="s">
        <v>3</v>
      </c>
    </row>
    <row r="1289" spans="16384:16384" hidden="1" x14ac:dyDescent="0.25">
      <c r="XFD1289" t="s">
        <v>3</v>
      </c>
    </row>
    <row r="1290" spans="16384:16384" hidden="1" x14ac:dyDescent="0.25">
      <c r="XFD1290" t="s">
        <v>3</v>
      </c>
    </row>
    <row r="1291" spans="16384:16384" hidden="1" x14ac:dyDescent="0.25">
      <c r="XFD1291" t="s">
        <v>3</v>
      </c>
    </row>
    <row r="1292" spans="16384:16384" hidden="1" x14ac:dyDescent="0.25">
      <c r="XFD1292" t="s">
        <v>3</v>
      </c>
    </row>
    <row r="1293" spans="16384:16384" hidden="1" x14ac:dyDescent="0.25">
      <c r="XFD1293" t="s">
        <v>3</v>
      </c>
    </row>
    <row r="1294" spans="16384:16384" hidden="1" x14ac:dyDescent="0.25">
      <c r="XFD1294" t="s">
        <v>3</v>
      </c>
    </row>
    <row r="1295" spans="16384:16384" hidden="1" x14ac:dyDescent="0.25">
      <c r="XFD1295" t="s">
        <v>3</v>
      </c>
    </row>
    <row r="1296" spans="16384:16384" hidden="1" x14ac:dyDescent="0.25">
      <c r="XFD1296" t="s">
        <v>3</v>
      </c>
    </row>
    <row r="1297" spans="16384:16384" hidden="1" x14ac:dyDescent="0.25">
      <c r="XFD1297" t="s">
        <v>3</v>
      </c>
    </row>
    <row r="1298" spans="16384:16384" hidden="1" x14ac:dyDescent="0.25">
      <c r="XFD1298" t="s">
        <v>3</v>
      </c>
    </row>
    <row r="1299" spans="16384:16384" hidden="1" x14ac:dyDescent="0.25">
      <c r="XFD1299" t="s">
        <v>3</v>
      </c>
    </row>
    <row r="1300" spans="16384:16384" hidden="1" x14ac:dyDescent="0.25">
      <c r="XFD1300" t="s">
        <v>3</v>
      </c>
    </row>
    <row r="1301" spans="16384:16384" hidden="1" x14ac:dyDescent="0.25">
      <c r="XFD1301" t="s">
        <v>3</v>
      </c>
    </row>
    <row r="1302" spans="16384:16384" hidden="1" x14ac:dyDescent="0.25">
      <c r="XFD1302" t="s">
        <v>3</v>
      </c>
    </row>
    <row r="1303" spans="16384:16384" hidden="1" x14ac:dyDescent="0.25">
      <c r="XFD1303" t="s">
        <v>3</v>
      </c>
    </row>
    <row r="1304" spans="16384:16384" hidden="1" x14ac:dyDescent="0.25">
      <c r="XFD1304" t="s">
        <v>3</v>
      </c>
    </row>
    <row r="1305" spans="16384:16384" hidden="1" x14ac:dyDescent="0.25">
      <c r="XFD1305" t="s">
        <v>3</v>
      </c>
    </row>
    <row r="1306" spans="16384:16384" hidden="1" x14ac:dyDescent="0.25">
      <c r="XFD1306" t="s">
        <v>3</v>
      </c>
    </row>
    <row r="1307" spans="16384:16384" hidden="1" x14ac:dyDescent="0.25">
      <c r="XFD1307" t="s">
        <v>3</v>
      </c>
    </row>
    <row r="1308" spans="16384:16384" hidden="1" x14ac:dyDescent="0.25">
      <c r="XFD1308" t="s">
        <v>3</v>
      </c>
    </row>
    <row r="1309" spans="16384:16384" hidden="1" x14ac:dyDescent="0.25">
      <c r="XFD1309" t="s">
        <v>3</v>
      </c>
    </row>
    <row r="1310" spans="16384:16384" hidden="1" x14ac:dyDescent="0.25">
      <c r="XFD1310" t="s">
        <v>3</v>
      </c>
    </row>
    <row r="1311" spans="16384:16384" hidden="1" x14ac:dyDescent="0.25">
      <c r="XFD1311" t="s">
        <v>3</v>
      </c>
    </row>
    <row r="1312" spans="16384:16384" hidden="1" x14ac:dyDescent="0.25">
      <c r="XFD1312" t="s">
        <v>3</v>
      </c>
    </row>
    <row r="1313" spans="16384:16384" hidden="1" x14ac:dyDescent="0.25">
      <c r="XFD1313" t="s">
        <v>3</v>
      </c>
    </row>
    <row r="1314" spans="16384:16384" hidden="1" x14ac:dyDescent="0.25">
      <c r="XFD1314" t="s">
        <v>3</v>
      </c>
    </row>
    <row r="1315" spans="16384:16384" hidden="1" x14ac:dyDescent="0.25">
      <c r="XFD1315" t="s">
        <v>3</v>
      </c>
    </row>
    <row r="1316" spans="16384:16384" hidden="1" x14ac:dyDescent="0.25">
      <c r="XFD1316" t="s">
        <v>3</v>
      </c>
    </row>
    <row r="1317" spans="16384:16384" hidden="1" x14ac:dyDescent="0.25">
      <c r="XFD1317" t="s">
        <v>3</v>
      </c>
    </row>
    <row r="1318" spans="16384:16384" hidden="1" x14ac:dyDescent="0.25">
      <c r="XFD1318" t="s">
        <v>3</v>
      </c>
    </row>
    <row r="1319" spans="16384:16384" hidden="1" x14ac:dyDescent="0.25">
      <c r="XFD1319" t="s">
        <v>3</v>
      </c>
    </row>
    <row r="1320" spans="16384:16384" hidden="1" x14ac:dyDescent="0.25">
      <c r="XFD1320" t="s">
        <v>3</v>
      </c>
    </row>
    <row r="1321" spans="16384:16384" hidden="1" x14ac:dyDescent="0.25">
      <c r="XFD1321" t="s">
        <v>3</v>
      </c>
    </row>
    <row r="1322" spans="16384:16384" hidden="1" x14ac:dyDescent="0.25">
      <c r="XFD1322" t="s">
        <v>3</v>
      </c>
    </row>
    <row r="1323" spans="16384:16384" hidden="1" x14ac:dyDescent="0.25">
      <c r="XFD1323" t="s">
        <v>3</v>
      </c>
    </row>
    <row r="1324" spans="16384:16384" hidden="1" x14ac:dyDescent="0.25">
      <c r="XFD1324" t="s">
        <v>3</v>
      </c>
    </row>
    <row r="1325" spans="16384:16384" hidden="1" x14ac:dyDescent="0.25">
      <c r="XFD1325" t="s">
        <v>3</v>
      </c>
    </row>
    <row r="1326" spans="16384:16384" hidden="1" x14ac:dyDescent="0.25">
      <c r="XFD1326" t="s">
        <v>3</v>
      </c>
    </row>
    <row r="1327" spans="16384:16384" hidden="1" x14ac:dyDescent="0.25">
      <c r="XFD1327" t="s">
        <v>3</v>
      </c>
    </row>
    <row r="1328" spans="16384:16384" hidden="1" x14ac:dyDescent="0.25">
      <c r="XFD1328" t="s">
        <v>3</v>
      </c>
    </row>
    <row r="1329" spans="16384:16384" hidden="1" x14ac:dyDescent="0.25">
      <c r="XFD1329" t="s">
        <v>3</v>
      </c>
    </row>
    <row r="1330" spans="16384:16384" hidden="1" x14ac:dyDescent="0.25">
      <c r="XFD1330" t="s">
        <v>3</v>
      </c>
    </row>
    <row r="1331" spans="16384:16384" hidden="1" x14ac:dyDescent="0.25">
      <c r="XFD1331" t="s">
        <v>3</v>
      </c>
    </row>
    <row r="1332" spans="16384:16384" hidden="1" x14ac:dyDescent="0.25">
      <c r="XFD1332" t="s">
        <v>3</v>
      </c>
    </row>
    <row r="1333" spans="16384:16384" hidden="1" x14ac:dyDescent="0.25">
      <c r="XFD1333" t="s">
        <v>3</v>
      </c>
    </row>
    <row r="1334" spans="16384:16384" hidden="1" x14ac:dyDescent="0.25">
      <c r="XFD1334" t="s">
        <v>3</v>
      </c>
    </row>
    <row r="1335" spans="16384:16384" hidden="1" x14ac:dyDescent="0.25">
      <c r="XFD1335" t="s">
        <v>3</v>
      </c>
    </row>
    <row r="1336" spans="16384:16384" hidden="1" x14ac:dyDescent="0.25">
      <c r="XFD1336" t="s">
        <v>3</v>
      </c>
    </row>
    <row r="1337" spans="16384:16384" hidden="1" x14ac:dyDescent="0.25">
      <c r="XFD1337" t="s">
        <v>3</v>
      </c>
    </row>
    <row r="1338" spans="16384:16384" hidden="1" x14ac:dyDescent="0.25">
      <c r="XFD1338" t="s">
        <v>3</v>
      </c>
    </row>
    <row r="1339" spans="16384:16384" hidden="1" x14ac:dyDescent="0.25">
      <c r="XFD1339" t="s">
        <v>3</v>
      </c>
    </row>
    <row r="1340" spans="16384:16384" hidden="1" x14ac:dyDescent="0.25">
      <c r="XFD1340" t="s">
        <v>3</v>
      </c>
    </row>
    <row r="1341" spans="16384:16384" hidden="1" x14ac:dyDescent="0.25">
      <c r="XFD1341" t="s">
        <v>3</v>
      </c>
    </row>
    <row r="1342" spans="16384:16384" hidden="1" x14ac:dyDescent="0.25">
      <c r="XFD1342" t="s">
        <v>3</v>
      </c>
    </row>
    <row r="1343" spans="16384:16384" hidden="1" x14ac:dyDescent="0.25">
      <c r="XFD1343" t="s">
        <v>3</v>
      </c>
    </row>
    <row r="1344" spans="16384:16384" hidden="1" x14ac:dyDescent="0.25">
      <c r="XFD1344" t="s">
        <v>3</v>
      </c>
    </row>
    <row r="1345" spans="16384:16384" hidden="1" x14ac:dyDescent="0.25">
      <c r="XFD1345" t="s">
        <v>3</v>
      </c>
    </row>
    <row r="1346" spans="16384:16384" hidden="1" x14ac:dyDescent="0.25">
      <c r="XFD1346" t="s">
        <v>3</v>
      </c>
    </row>
    <row r="1347" spans="16384:16384" hidden="1" x14ac:dyDescent="0.25">
      <c r="XFD1347" t="s">
        <v>3</v>
      </c>
    </row>
    <row r="1348" spans="16384:16384" hidden="1" x14ac:dyDescent="0.25">
      <c r="XFD1348" t="s">
        <v>3</v>
      </c>
    </row>
    <row r="1349" spans="16384:16384" hidden="1" x14ac:dyDescent="0.25">
      <c r="XFD1349" t="s">
        <v>3</v>
      </c>
    </row>
    <row r="1350" spans="16384:16384" hidden="1" x14ac:dyDescent="0.25">
      <c r="XFD1350" t="s">
        <v>3</v>
      </c>
    </row>
    <row r="1351" spans="16384:16384" hidden="1" x14ac:dyDescent="0.25">
      <c r="XFD1351" t="s">
        <v>3</v>
      </c>
    </row>
    <row r="1352" spans="16384:16384" hidden="1" x14ac:dyDescent="0.25">
      <c r="XFD1352" t="s">
        <v>3</v>
      </c>
    </row>
    <row r="1353" spans="16384:16384" hidden="1" x14ac:dyDescent="0.25">
      <c r="XFD1353" t="s">
        <v>3</v>
      </c>
    </row>
    <row r="1354" spans="16384:16384" hidden="1" x14ac:dyDescent="0.25">
      <c r="XFD1354" t="s">
        <v>3</v>
      </c>
    </row>
    <row r="1355" spans="16384:16384" hidden="1" x14ac:dyDescent="0.25"/>
    <row r="1356" spans="16384:16384" hidden="1" x14ac:dyDescent="0.25">
      <c r="XFD1356" t="s">
        <v>3</v>
      </c>
    </row>
    <row r="1357" spans="16384:16384" hidden="1" x14ac:dyDescent="0.25">
      <c r="XFD1357" t="s">
        <v>3</v>
      </c>
    </row>
    <row r="1358" spans="16384:16384" hidden="1" x14ac:dyDescent="0.25">
      <c r="XFD1358" t="s">
        <v>3</v>
      </c>
    </row>
    <row r="1359" spans="16384:16384" hidden="1" x14ac:dyDescent="0.25">
      <c r="XFD1359" t="s">
        <v>3</v>
      </c>
    </row>
    <row r="1360" spans="16384:16384" hidden="1" x14ac:dyDescent="0.25">
      <c r="XFD1360" t="s">
        <v>3</v>
      </c>
    </row>
    <row r="1361" spans="16384:16384" hidden="1" x14ac:dyDescent="0.25">
      <c r="XFD1361" t="s">
        <v>3</v>
      </c>
    </row>
    <row r="1362" spans="16384:16384" hidden="1" x14ac:dyDescent="0.25">
      <c r="XFD1362" t="s">
        <v>3</v>
      </c>
    </row>
    <row r="1363" spans="16384:16384" hidden="1" x14ac:dyDescent="0.25">
      <c r="XFD1363" t="s">
        <v>3</v>
      </c>
    </row>
    <row r="1364" spans="16384:16384" hidden="1" x14ac:dyDescent="0.25">
      <c r="XFD1364" t="s">
        <v>3</v>
      </c>
    </row>
    <row r="1365" spans="16384:16384" hidden="1" x14ac:dyDescent="0.25">
      <c r="XFD1365" t="s">
        <v>3</v>
      </c>
    </row>
    <row r="1366" spans="16384:16384" hidden="1" x14ac:dyDescent="0.25">
      <c r="XFD1366" t="s">
        <v>3</v>
      </c>
    </row>
    <row r="1367" spans="16384:16384" hidden="1" x14ac:dyDescent="0.25">
      <c r="XFD1367" t="s">
        <v>3</v>
      </c>
    </row>
    <row r="1368" spans="16384:16384" hidden="1" x14ac:dyDescent="0.25">
      <c r="XFD1368" t="s">
        <v>3</v>
      </c>
    </row>
    <row r="1369" spans="16384:16384" hidden="1" x14ac:dyDescent="0.25">
      <c r="XFD1369" t="s">
        <v>3</v>
      </c>
    </row>
    <row r="1370" spans="16384:16384" hidden="1" x14ac:dyDescent="0.25">
      <c r="XFD1370" t="s">
        <v>3</v>
      </c>
    </row>
    <row r="1371" spans="16384:16384" hidden="1" x14ac:dyDescent="0.25">
      <c r="XFD1371" t="s">
        <v>3</v>
      </c>
    </row>
    <row r="1372" spans="16384:16384" hidden="1" x14ac:dyDescent="0.25">
      <c r="XFD1372" t="s">
        <v>3</v>
      </c>
    </row>
    <row r="1373" spans="16384:16384" hidden="1" x14ac:dyDescent="0.25">
      <c r="XFD1373" t="s">
        <v>3</v>
      </c>
    </row>
    <row r="1374" spans="16384:16384" hidden="1" x14ac:dyDescent="0.25">
      <c r="XFD1374" t="s">
        <v>3</v>
      </c>
    </row>
    <row r="1375" spans="16384:16384" hidden="1" x14ac:dyDescent="0.25">
      <c r="XFD1375" t="s">
        <v>3</v>
      </c>
    </row>
    <row r="1376" spans="16384:16384" hidden="1" x14ac:dyDescent="0.25">
      <c r="XFD1376" t="s">
        <v>3</v>
      </c>
    </row>
    <row r="1377" spans="16384:16384" hidden="1" x14ac:dyDescent="0.25">
      <c r="XFD1377" t="s">
        <v>3</v>
      </c>
    </row>
    <row r="1378" spans="16384:16384" hidden="1" x14ac:dyDescent="0.25">
      <c r="XFD1378" t="s">
        <v>3</v>
      </c>
    </row>
    <row r="1379" spans="16384:16384" hidden="1" x14ac:dyDescent="0.25">
      <c r="XFD1379" t="s">
        <v>3</v>
      </c>
    </row>
    <row r="1380" spans="16384:16384" hidden="1" x14ac:dyDescent="0.25">
      <c r="XFD1380" t="s">
        <v>3</v>
      </c>
    </row>
    <row r="1381" spans="16384:16384" hidden="1" x14ac:dyDescent="0.25">
      <c r="XFD1381" t="s">
        <v>3</v>
      </c>
    </row>
    <row r="1382" spans="16384:16384" hidden="1" x14ac:dyDescent="0.25">
      <c r="XFD1382" t="s">
        <v>3</v>
      </c>
    </row>
    <row r="1383" spans="16384:16384" hidden="1" x14ac:dyDescent="0.25">
      <c r="XFD1383" t="s">
        <v>3</v>
      </c>
    </row>
    <row r="1384" spans="16384:16384" hidden="1" x14ac:dyDescent="0.25">
      <c r="XFD1384" t="s">
        <v>3</v>
      </c>
    </row>
    <row r="1385" spans="16384:16384" hidden="1" x14ac:dyDescent="0.25">
      <c r="XFD1385" t="s">
        <v>3</v>
      </c>
    </row>
    <row r="1386" spans="16384:16384" hidden="1" x14ac:dyDescent="0.25">
      <c r="XFD1386" t="s">
        <v>3</v>
      </c>
    </row>
    <row r="1387" spans="16384:16384" hidden="1" x14ac:dyDescent="0.25">
      <c r="XFD1387" t="s">
        <v>3</v>
      </c>
    </row>
    <row r="1388" spans="16384:16384" hidden="1" x14ac:dyDescent="0.25">
      <c r="XFD1388" t="s">
        <v>3</v>
      </c>
    </row>
    <row r="1389" spans="16384:16384" hidden="1" x14ac:dyDescent="0.25">
      <c r="XFD1389" t="s">
        <v>3</v>
      </c>
    </row>
    <row r="1390" spans="16384:16384" hidden="1" x14ac:dyDescent="0.25">
      <c r="XFD1390" t="s">
        <v>3</v>
      </c>
    </row>
    <row r="1391" spans="16384:16384" hidden="1" x14ac:dyDescent="0.25">
      <c r="XFD1391" t="s">
        <v>3</v>
      </c>
    </row>
    <row r="1392" spans="16384:16384" hidden="1" x14ac:dyDescent="0.25">
      <c r="XFD1392" t="s">
        <v>3</v>
      </c>
    </row>
    <row r="1393" spans="16384:16384" hidden="1" x14ac:dyDescent="0.25">
      <c r="XFD1393" t="s">
        <v>3</v>
      </c>
    </row>
    <row r="1394" spans="16384:16384" hidden="1" x14ac:dyDescent="0.25">
      <c r="XFD1394" t="s">
        <v>3</v>
      </c>
    </row>
    <row r="1395" spans="16384:16384" hidden="1" x14ac:dyDescent="0.25">
      <c r="XFD1395" t="s">
        <v>3</v>
      </c>
    </row>
    <row r="1396" spans="16384:16384" hidden="1" x14ac:dyDescent="0.25">
      <c r="XFD1396" t="s">
        <v>3</v>
      </c>
    </row>
    <row r="1397" spans="16384:16384" hidden="1" x14ac:dyDescent="0.25">
      <c r="XFD1397" t="s">
        <v>3</v>
      </c>
    </row>
    <row r="1398" spans="16384:16384" hidden="1" x14ac:dyDescent="0.25">
      <c r="XFD1398" t="s">
        <v>3</v>
      </c>
    </row>
    <row r="1399" spans="16384:16384" hidden="1" x14ac:dyDescent="0.25">
      <c r="XFD1399" t="s">
        <v>3</v>
      </c>
    </row>
    <row r="1400" spans="16384:16384" hidden="1" x14ac:dyDescent="0.25">
      <c r="XFD1400" t="s">
        <v>3</v>
      </c>
    </row>
    <row r="1401" spans="16384:16384" hidden="1" x14ac:dyDescent="0.25">
      <c r="XFD1401" t="s">
        <v>3</v>
      </c>
    </row>
    <row r="1402" spans="16384:16384" hidden="1" x14ac:dyDescent="0.25">
      <c r="XFD1402" t="s">
        <v>3</v>
      </c>
    </row>
    <row r="1403" spans="16384:16384" hidden="1" x14ac:dyDescent="0.25">
      <c r="XFD1403" t="s">
        <v>3</v>
      </c>
    </row>
    <row r="1404" spans="16384:16384" hidden="1" x14ac:dyDescent="0.25">
      <c r="XFD1404" t="s">
        <v>3</v>
      </c>
    </row>
    <row r="1405" spans="16384:16384" hidden="1" x14ac:dyDescent="0.25">
      <c r="XFD1405" t="s">
        <v>3</v>
      </c>
    </row>
    <row r="1406" spans="16384:16384" hidden="1" x14ac:dyDescent="0.25">
      <c r="XFD1406" t="s">
        <v>3</v>
      </c>
    </row>
    <row r="1407" spans="16384:16384" hidden="1" x14ac:dyDescent="0.25">
      <c r="XFD1407" t="s">
        <v>3</v>
      </c>
    </row>
    <row r="1408" spans="16384:16384" hidden="1" x14ac:dyDescent="0.25">
      <c r="XFD1408" t="s">
        <v>3</v>
      </c>
    </row>
    <row r="1409" spans="16384:16384" hidden="1" x14ac:dyDescent="0.25">
      <c r="XFD1409" t="s">
        <v>3</v>
      </c>
    </row>
    <row r="1410" spans="16384:16384" hidden="1" x14ac:dyDescent="0.25">
      <c r="XFD1410" t="s">
        <v>3</v>
      </c>
    </row>
    <row r="1411" spans="16384:16384" hidden="1" x14ac:dyDescent="0.25">
      <c r="XFD1411" t="s">
        <v>3</v>
      </c>
    </row>
    <row r="1412" spans="16384:16384" hidden="1" x14ac:dyDescent="0.25">
      <c r="XFD1412" t="s">
        <v>3</v>
      </c>
    </row>
    <row r="1413" spans="16384:16384" hidden="1" x14ac:dyDescent="0.25">
      <c r="XFD1413" t="s">
        <v>3</v>
      </c>
    </row>
    <row r="1414" spans="16384:16384" hidden="1" x14ac:dyDescent="0.25">
      <c r="XFD1414" t="s">
        <v>3</v>
      </c>
    </row>
    <row r="1415" spans="16384:16384" hidden="1" x14ac:dyDescent="0.25">
      <c r="XFD1415" t="s">
        <v>3</v>
      </c>
    </row>
    <row r="1416" spans="16384:16384" hidden="1" x14ac:dyDescent="0.25">
      <c r="XFD1416" t="s">
        <v>3</v>
      </c>
    </row>
    <row r="1417" spans="16384:16384" hidden="1" x14ac:dyDescent="0.25">
      <c r="XFD1417" t="s">
        <v>3</v>
      </c>
    </row>
    <row r="1418" spans="16384:16384" hidden="1" x14ac:dyDescent="0.25">
      <c r="XFD1418" t="s">
        <v>3</v>
      </c>
    </row>
    <row r="1419" spans="16384:16384" hidden="1" x14ac:dyDescent="0.25">
      <c r="XFD1419" t="s">
        <v>3</v>
      </c>
    </row>
    <row r="1420" spans="16384:16384" hidden="1" x14ac:dyDescent="0.25">
      <c r="XFD1420" t="s">
        <v>3</v>
      </c>
    </row>
    <row r="1421" spans="16384:16384" hidden="1" x14ac:dyDescent="0.25">
      <c r="XFD1421" t="s">
        <v>3</v>
      </c>
    </row>
    <row r="1422" spans="16384:16384" hidden="1" x14ac:dyDescent="0.25">
      <c r="XFD1422" t="s">
        <v>3</v>
      </c>
    </row>
    <row r="1423" spans="16384:16384" hidden="1" x14ac:dyDescent="0.25">
      <c r="XFD1423" t="s">
        <v>3</v>
      </c>
    </row>
    <row r="1424" spans="16384:16384" hidden="1" x14ac:dyDescent="0.25">
      <c r="XFD1424" t="s">
        <v>4</v>
      </c>
    </row>
    <row r="1425" spans="16384:16384" hidden="1" x14ac:dyDescent="0.25">
      <c r="XFD1425" t="s">
        <v>3</v>
      </c>
    </row>
    <row r="1426" spans="16384:16384" hidden="1" x14ac:dyDescent="0.25">
      <c r="XFD1426" t="s">
        <v>3</v>
      </c>
    </row>
    <row r="1427" spans="16384:16384" hidden="1" x14ac:dyDescent="0.25">
      <c r="XFD1427" t="s">
        <v>3</v>
      </c>
    </row>
    <row r="1428" spans="16384:16384" hidden="1" x14ac:dyDescent="0.25">
      <c r="XFD1428" t="s">
        <v>3</v>
      </c>
    </row>
    <row r="1429" spans="16384:16384" hidden="1" x14ac:dyDescent="0.25">
      <c r="XFD1429" t="s">
        <v>3</v>
      </c>
    </row>
    <row r="1430" spans="16384:16384" hidden="1" x14ac:dyDescent="0.25">
      <c r="XFD1430" t="s">
        <v>3</v>
      </c>
    </row>
    <row r="1431" spans="16384:16384" hidden="1" x14ac:dyDescent="0.25">
      <c r="XFD1431" t="s">
        <v>3</v>
      </c>
    </row>
    <row r="1432" spans="16384:16384" hidden="1" x14ac:dyDescent="0.25">
      <c r="XFD1432" t="s">
        <v>3</v>
      </c>
    </row>
    <row r="1433" spans="16384:16384" hidden="1" x14ac:dyDescent="0.25">
      <c r="XFD1433" t="s">
        <v>3</v>
      </c>
    </row>
    <row r="1434" spans="16384:16384" hidden="1" x14ac:dyDescent="0.25">
      <c r="XFD1434" t="s">
        <v>3</v>
      </c>
    </row>
    <row r="1435" spans="16384:16384" hidden="1" x14ac:dyDescent="0.25">
      <c r="XFD1435" t="s">
        <v>3</v>
      </c>
    </row>
    <row r="1436" spans="16384:16384" hidden="1" x14ac:dyDescent="0.25">
      <c r="XFD1436" t="s">
        <v>3</v>
      </c>
    </row>
    <row r="1437" spans="16384:16384" hidden="1" x14ac:dyDescent="0.25">
      <c r="XFD1437" t="s">
        <v>3</v>
      </c>
    </row>
    <row r="1438" spans="16384:16384" hidden="1" x14ac:dyDescent="0.25">
      <c r="XFD1438" t="s">
        <v>3</v>
      </c>
    </row>
    <row r="1439" spans="16384:16384" hidden="1" x14ac:dyDescent="0.25">
      <c r="XFD1439" t="s">
        <v>3</v>
      </c>
    </row>
    <row r="1440" spans="16384:16384" hidden="1" x14ac:dyDescent="0.25">
      <c r="XFD1440" t="s">
        <v>3</v>
      </c>
    </row>
    <row r="1441" spans="16384:16384" hidden="1" x14ac:dyDescent="0.25">
      <c r="XFD1441" t="s">
        <v>3</v>
      </c>
    </row>
    <row r="1442" spans="16384:16384" hidden="1" x14ac:dyDescent="0.25">
      <c r="XFD1442" t="s">
        <v>3</v>
      </c>
    </row>
    <row r="1443" spans="16384:16384" hidden="1" x14ac:dyDescent="0.25">
      <c r="XFD1443" t="s">
        <v>3</v>
      </c>
    </row>
    <row r="1444" spans="16384:16384" hidden="1" x14ac:dyDescent="0.25">
      <c r="XFD1444" t="s">
        <v>3</v>
      </c>
    </row>
    <row r="1445" spans="16384:16384" hidden="1" x14ac:dyDescent="0.25">
      <c r="XFD1445" t="s">
        <v>3</v>
      </c>
    </row>
    <row r="1446" spans="16384:16384" hidden="1" x14ac:dyDescent="0.25">
      <c r="XFD1446" t="s">
        <v>3</v>
      </c>
    </row>
    <row r="1447" spans="16384:16384" hidden="1" x14ac:dyDescent="0.25">
      <c r="XFD1447" t="s">
        <v>3</v>
      </c>
    </row>
    <row r="1448" spans="16384:16384" hidden="1" x14ac:dyDescent="0.25">
      <c r="XFD1448" t="s">
        <v>3</v>
      </c>
    </row>
    <row r="1449" spans="16384:16384" hidden="1" x14ac:dyDescent="0.25">
      <c r="XFD1449" t="s">
        <v>3</v>
      </c>
    </row>
    <row r="1450" spans="16384:16384" hidden="1" x14ac:dyDescent="0.25">
      <c r="XFD1450" t="s">
        <v>3</v>
      </c>
    </row>
    <row r="1451" spans="16384:16384" hidden="1" x14ac:dyDescent="0.25">
      <c r="XFD1451" t="s">
        <v>3</v>
      </c>
    </row>
    <row r="1452" spans="16384:16384" hidden="1" x14ac:dyDescent="0.25">
      <c r="XFD1452" t="s">
        <v>3</v>
      </c>
    </row>
    <row r="1453" spans="16384:16384" hidden="1" x14ac:dyDescent="0.25">
      <c r="XFD1453" t="s">
        <v>3</v>
      </c>
    </row>
    <row r="1454" spans="16384:16384" hidden="1" x14ac:dyDescent="0.25">
      <c r="XFD1454" t="s">
        <v>3</v>
      </c>
    </row>
    <row r="1455" spans="16384:16384" hidden="1" x14ac:dyDescent="0.25">
      <c r="XFD1455" t="s">
        <v>3</v>
      </c>
    </row>
    <row r="1456" spans="16384:16384" hidden="1" x14ac:dyDescent="0.25">
      <c r="XFD1456" t="s">
        <v>3</v>
      </c>
    </row>
    <row r="1457" spans="16384:16384" hidden="1" x14ac:dyDescent="0.25">
      <c r="XFD1457" t="s">
        <v>3</v>
      </c>
    </row>
    <row r="1458" spans="16384:16384" hidden="1" x14ac:dyDescent="0.25">
      <c r="XFD1458" t="s">
        <v>3</v>
      </c>
    </row>
    <row r="1459" spans="16384:16384" hidden="1" x14ac:dyDescent="0.25">
      <c r="XFD1459" t="s">
        <v>3</v>
      </c>
    </row>
    <row r="1460" spans="16384:16384" hidden="1" x14ac:dyDescent="0.25">
      <c r="XFD1460" t="s">
        <v>3</v>
      </c>
    </row>
    <row r="1461" spans="16384:16384" hidden="1" x14ac:dyDescent="0.25">
      <c r="XFD1461" t="s">
        <v>3</v>
      </c>
    </row>
    <row r="1462" spans="16384:16384" hidden="1" x14ac:dyDescent="0.25">
      <c r="XFD1462" t="s">
        <v>3</v>
      </c>
    </row>
    <row r="1463" spans="16384:16384" hidden="1" x14ac:dyDescent="0.25">
      <c r="XFD1463" t="s">
        <v>3</v>
      </c>
    </row>
    <row r="1464" spans="16384:16384" hidden="1" x14ac:dyDescent="0.25">
      <c r="XFD1464" t="s">
        <v>3</v>
      </c>
    </row>
    <row r="1465" spans="16384:16384" hidden="1" x14ac:dyDescent="0.25">
      <c r="XFD1465" t="s">
        <v>3</v>
      </c>
    </row>
    <row r="1466" spans="16384:16384" hidden="1" x14ac:dyDescent="0.25">
      <c r="XFD1466" t="s">
        <v>3</v>
      </c>
    </row>
    <row r="1467" spans="16384:16384" hidden="1" x14ac:dyDescent="0.25">
      <c r="XFD1467" t="s">
        <v>3</v>
      </c>
    </row>
    <row r="1468" spans="16384:16384" hidden="1" x14ac:dyDescent="0.25">
      <c r="XFD1468" t="s">
        <v>3</v>
      </c>
    </row>
    <row r="1469" spans="16384:16384" hidden="1" x14ac:dyDescent="0.25">
      <c r="XFD1469" t="s">
        <v>3</v>
      </c>
    </row>
    <row r="1470" spans="16384:16384" hidden="1" x14ac:dyDescent="0.25">
      <c r="XFD1470" t="s">
        <v>3</v>
      </c>
    </row>
    <row r="1471" spans="16384:16384" hidden="1" x14ac:dyDescent="0.25">
      <c r="XFD1471" t="s">
        <v>3</v>
      </c>
    </row>
    <row r="1472" spans="16384:16384" hidden="1" x14ac:dyDescent="0.25">
      <c r="XFD1472" t="s">
        <v>3</v>
      </c>
    </row>
    <row r="1473" spans="16384:16384" hidden="1" x14ac:dyDescent="0.25">
      <c r="XFD1473" t="s">
        <v>3</v>
      </c>
    </row>
    <row r="1474" spans="16384:16384" hidden="1" x14ac:dyDescent="0.25">
      <c r="XFD1474" t="s">
        <v>3</v>
      </c>
    </row>
    <row r="1475" spans="16384:16384" hidden="1" x14ac:dyDescent="0.25">
      <c r="XFD1475" t="s">
        <v>3</v>
      </c>
    </row>
    <row r="1476" spans="16384:16384" hidden="1" x14ac:dyDescent="0.25">
      <c r="XFD1476" t="s">
        <v>3</v>
      </c>
    </row>
    <row r="1477" spans="16384:16384" hidden="1" x14ac:dyDescent="0.25">
      <c r="XFD1477" t="s">
        <v>3</v>
      </c>
    </row>
    <row r="1478" spans="16384:16384" hidden="1" x14ac:dyDescent="0.25">
      <c r="XFD1478" t="s">
        <v>3</v>
      </c>
    </row>
    <row r="1479" spans="16384:16384" hidden="1" x14ac:dyDescent="0.25">
      <c r="XFD1479" t="s">
        <v>3</v>
      </c>
    </row>
    <row r="1480" spans="16384:16384" hidden="1" x14ac:dyDescent="0.25">
      <c r="XFD1480" t="s">
        <v>3</v>
      </c>
    </row>
    <row r="1481" spans="16384:16384" hidden="1" x14ac:dyDescent="0.25">
      <c r="XFD1481" t="s">
        <v>3</v>
      </c>
    </row>
    <row r="1482" spans="16384:16384" hidden="1" x14ac:dyDescent="0.25">
      <c r="XFD1482" t="s">
        <v>3</v>
      </c>
    </row>
    <row r="1483" spans="16384:16384" hidden="1" x14ac:dyDescent="0.25">
      <c r="XFD1483" t="s">
        <v>3</v>
      </c>
    </row>
    <row r="1484" spans="16384:16384" hidden="1" x14ac:dyDescent="0.25">
      <c r="XFD1484" t="s">
        <v>3</v>
      </c>
    </row>
    <row r="1485" spans="16384:16384" hidden="1" x14ac:dyDescent="0.25">
      <c r="XFD1485" t="s">
        <v>3</v>
      </c>
    </row>
    <row r="1486" spans="16384:16384" hidden="1" x14ac:dyDescent="0.25">
      <c r="XFD1486" t="s">
        <v>3</v>
      </c>
    </row>
    <row r="1487" spans="16384:16384" hidden="1" x14ac:dyDescent="0.25">
      <c r="XFD1487" t="s">
        <v>3</v>
      </c>
    </row>
    <row r="1488" spans="16384:16384" hidden="1" x14ac:dyDescent="0.25">
      <c r="XFD1488" t="s">
        <v>3</v>
      </c>
    </row>
    <row r="1489" spans="16384:16384" hidden="1" x14ac:dyDescent="0.25">
      <c r="XFD1489" t="s">
        <v>3</v>
      </c>
    </row>
    <row r="1490" spans="16384:16384" hidden="1" x14ac:dyDescent="0.25">
      <c r="XFD1490" t="s">
        <v>3</v>
      </c>
    </row>
    <row r="1491" spans="16384:16384" hidden="1" x14ac:dyDescent="0.25">
      <c r="XFD1491" t="s">
        <v>3</v>
      </c>
    </row>
    <row r="1492" spans="16384:16384" hidden="1" x14ac:dyDescent="0.25">
      <c r="XFD1492" t="s">
        <v>3</v>
      </c>
    </row>
    <row r="1493" spans="16384:16384" hidden="1" x14ac:dyDescent="0.25">
      <c r="XFD1493" t="s">
        <v>3</v>
      </c>
    </row>
    <row r="1494" spans="16384:16384" hidden="1" x14ac:dyDescent="0.25">
      <c r="XFD1494" t="s">
        <v>3</v>
      </c>
    </row>
    <row r="1495" spans="16384:16384" hidden="1" x14ac:dyDescent="0.25">
      <c r="XFD1495" t="s">
        <v>3</v>
      </c>
    </row>
    <row r="1496" spans="16384:16384" hidden="1" x14ac:dyDescent="0.25">
      <c r="XFD1496" t="s">
        <v>3</v>
      </c>
    </row>
    <row r="1497" spans="16384:16384" hidden="1" x14ac:dyDescent="0.25">
      <c r="XFD1497" t="s">
        <v>3</v>
      </c>
    </row>
    <row r="1498" spans="16384:16384" hidden="1" x14ac:dyDescent="0.25">
      <c r="XFD1498" t="s">
        <v>3</v>
      </c>
    </row>
    <row r="1499" spans="16384:16384" hidden="1" x14ac:dyDescent="0.25">
      <c r="XFD1499" t="s">
        <v>3</v>
      </c>
    </row>
    <row r="1500" spans="16384:16384" hidden="1" x14ac:dyDescent="0.25">
      <c r="XFD1500" t="s">
        <v>3</v>
      </c>
    </row>
    <row r="1501" spans="16384:16384" hidden="1" x14ac:dyDescent="0.25">
      <c r="XFD1501" t="s">
        <v>3</v>
      </c>
    </row>
    <row r="1502" spans="16384:16384" hidden="1" x14ac:dyDescent="0.25">
      <c r="XFD1502" t="s">
        <v>3</v>
      </c>
    </row>
    <row r="1503" spans="16384:16384" hidden="1" x14ac:dyDescent="0.25">
      <c r="XFD1503" t="s">
        <v>384</v>
      </c>
    </row>
    <row r="1504" spans="16384:16384" hidden="1" x14ac:dyDescent="0.25">
      <c r="XFD1504" t="s">
        <v>384</v>
      </c>
    </row>
    <row r="1505" spans="16384:16384" hidden="1" x14ac:dyDescent="0.25">
      <c r="XFD1505" t="s">
        <v>384</v>
      </c>
    </row>
    <row r="1506" spans="16384:16384" hidden="1" x14ac:dyDescent="0.25">
      <c r="XFD1506" t="s">
        <v>384</v>
      </c>
    </row>
    <row r="1507" spans="16384:16384" hidden="1" x14ac:dyDescent="0.25">
      <c r="XFD1507" t="s">
        <v>384</v>
      </c>
    </row>
    <row r="1508" spans="16384:16384" hidden="1" x14ac:dyDescent="0.25">
      <c r="XFD1508" t="s">
        <v>384</v>
      </c>
    </row>
    <row r="1509" spans="16384:16384" hidden="1" x14ac:dyDescent="0.25">
      <c r="XFD1509" t="s">
        <v>384</v>
      </c>
    </row>
    <row r="1510" spans="16384:16384" hidden="1" x14ac:dyDescent="0.25">
      <c r="XFD1510" t="s">
        <v>384</v>
      </c>
    </row>
    <row r="1511" spans="16384:16384" hidden="1" x14ac:dyDescent="0.25">
      <c r="XFD1511" t="s">
        <v>384</v>
      </c>
    </row>
    <row r="1512" spans="16384:16384" hidden="1" x14ac:dyDescent="0.25">
      <c r="XFD1512" t="s">
        <v>384</v>
      </c>
    </row>
    <row r="1513" spans="16384:16384" hidden="1" x14ac:dyDescent="0.25">
      <c r="XFD1513" t="s">
        <v>384</v>
      </c>
    </row>
    <row r="1514" spans="16384:16384" hidden="1" x14ac:dyDescent="0.25">
      <c r="XFD1514" t="s">
        <v>384</v>
      </c>
    </row>
    <row r="1515" spans="16384:16384" hidden="1" x14ac:dyDescent="0.25">
      <c r="XFD1515" t="s">
        <v>384</v>
      </c>
    </row>
    <row r="1516" spans="16384:16384" hidden="1" x14ac:dyDescent="0.25">
      <c r="XFD1516" t="s">
        <v>384</v>
      </c>
    </row>
    <row r="1517" spans="16384:16384" hidden="1" x14ac:dyDescent="0.25">
      <c r="XFD1517" t="s">
        <v>384</v>
      </c>
    </row>
    <row r="1518" spans="16384:16384" hidden="1" x14ac:dyDescent="0.25">
      <c r="XFD1518" t="s">
        <v>384</v>
      </c>
    </row>
    <row r="1519" spans="16384:16384" hidden="1" x14ac:dyDescent="0.25">
      <c r="XFD1519" t="s">
        <v>384</v>
      </c>
    </row>
    <row r="1520" spans="16384:16384" hidden="1" x14ac:dyDescent="0.25">
      <c r="XFD1520" t="s">
        <v>384</v>
      </c>
    </row>
    <row r="1521" spans="16384:16384" hidden="1" x14ac:dyDescent="0.25">
      <c r="XFD1521" t="s">
        <v>384</v>
      </c>
    </row>
    <row r="1522" spans="16384:16384" hidden="1" x14ac:dyDescent="0.25">
      <c r="XFD1522" t="s">
        <v>384</v>
      </c>
    </row>
    <row r="1523" spans="16384:16384" hidden="1" x14ac:dyDescent="0.25">
      <c r="XFD1523" t="s">
        <v>384</v>
      </c>
    </row>
    <row r="1524" spans="16384:16384" hidden="1" x14ac:dyDescent="0.25">
      <c r="XFD1524" t="s">
        <v>384</v>
      </c>
    </row>
    <row r="1525" spans="16384:16384" hidden="1" x14ac:dyDescent="0.25">
      <c r="XFD1525" t="s">
        <v>384</v>
      </c>
    </row>
    <row r="1526" spans="16384:16384" hidden="1" x14ac:dyDescent="0.25">
      <c r="XFD1526" t="s">
        <v>384</v>
      </c>
    </row>
    <row r="1527" spans="16384:16384" hidden="1" x14ac:dyDescent="0.25">
      <c r="XFD1527" t="s">
        <v>384</v>
      </c>
    </row>
    <row r="1528" spans="16384:16384" hidden="1" x14ac:dyDescent="0.25">
      <c r="XFD1528" t="s">
        <v>384</v>
      </c>
    </row>
    <row r="1529" spans="16384:16384" hidden="1" x14ac:dyDescent="0.25">
      <c r="XFD1529" t="s">
        <v>384</v>
      </c>
    </row>
    <row r="1530" spans="16384:16384" hidden="1" x14ac:dyDescent="0.25">
      <c r="XFD1530" t="s">
        <v>384</v>
      </c>
    </row>
    <row r="1531" spans="16384:16384" hidden="1" x14ac:dyDescent="0.25">
      <c r="XFD1531" t="s">
        <v>384</v>
      </c>
    </row>
    <row r="1532" spans="16384:16384" hidden="1" x14ac:dyDescent="0.25">
      <c r="XFD1532" t="s">
        <v>384</v>
      </c>
    </row>
    <row r="1533" spans="16384:16384" hidden="1" x14ac:dyDescent="0.25">
      <c r="XFD1533" t="s">
        <v>384</v>
      </c>
    </row>
    <row r="1534" spans="16384:16384" hidden="1" x14ac:dyDescent="0.25">
      <c r="XFD1534" t="s">
        <v>384</v>
      </c>
    </row>
    <row r="1535" spans="16384:16384" hidden="1" x14ac:dyDescent="0.25">
      <c r="XFD1535" t="s">
        <v>384</v>
      </c>
    </row>
    <row r="1536" spans="16384:16384" hidden="1" x14ac:dyDescent="0.25">
      <c r="XFD1536" t="s">
        <v>384</v>
      </c>
    </row>
    <row r="1537" spans="16384:16384" hidden="1" x14ac:dyDescent="0.25">
      <c r="XFD1537" t="s">
        <v>384</v>
      </c>
    </row>
    <row r="1538" spans="16384:16384" hidden="1" x14ac:dyDescent="0.25">
      <c r="XFD1538" t="s">
        <v>384</v>
      </c>
    </row>
    <row r="1539" spans="16384:16384" hidden="1" x14ac:dyDescent="0.25">
      <c r="XFD1539" t="s">
        <v>384</v>
      </c>
    </row>
    <row r="1540" spans="16384:16384" hidden="1" x14ac:dyDescent="0.25">
      <c r="XFD1540" t="s">
        <v>384</v>
      </c>
    </row>
    <row r="1541" spans="16384:16384" hidden="1" x14ac:dyDescent="0.25">
      <c r="XFD1541" t="s">
        <v>384</v>
      </c>
    </row>
    <row r="1542" spans="16384:16384" hidden="1" x14ac:dyDescent="0.25">
      <c r="XFD1542" t="s">
        <v>384</v>
      </c>
    </row>
    <row r="1543" spans="16384:16384" hidden="1" x14ac:dyDescent="0.25">
      <c r="XFD1543" t="s">
        <v>384</v>
      </c>
    </row>
    <row r="1544" spans="16384:16384" hidden="1" x14ac:dyDescent="0.25">
      <c r="XFD1544" t="s">
        <v>384</v>
      </c>
    </row>
    <row r="1545" spans="16384:16384" hidden="1" x14ac:dyDescent="0.25">
      <c r="XFD1545" t="s">
        <v>384</v>
      </c>
    </row>
    <row r="1546" spans="16384:16384" hidden="1" x14ac:dyDescent="0.25">
      <c r="XFD1546" t="s">
        <v>384</v>
      </c>
    </row>
    <row r="1547" spans="16384:16384" hidden="1" x14ac:dyDescent="0.25">
      <c r="XFD1547" t="s">
        <v>384</v>
      </c>
    </row>
    <row r="1548" spans="16384:16384" hidden="1" x14ac:dyDescent="0.25">
      <c r="XFD1548" t="s">
        <v>384</v>
      </c>
    </row>
    <row r="1549" spans="16384:16384" hidden="1" x14ac:dyDescent="0.25">
      <c r="XFD1549" t="s">
        <v>384</v>
      </c>
    </row>
    <row r="1550" spans="16384:16384" hidden="1" x14ac:dyDescent="0.25">
      <c r="XFD1550" t="s">
        <v>384</v>
      </c>
    </row>
    <row r="1551" spans="16384:16384" hidden="1" x14ac:dyDescent="0.25">
      <c r="XFD1551" t="s">
        <v>384</v>
      </c>
    </row>
    <row r="1552" spans="16384:16384" hidden="1" x14ac:dyDescent="0.25">
      <c r="XFD1552" t="s">
        <v>384</v>
      </c>
    </row>
    <row r="1553" spans="16384:16384" hidden="1" x14ac:dyDescent="0.25">
      <c r="XFD1553" t="s">
        <v>384</v>
      </c>
    </row>
    <row r="1554" spans="16384:16384" hidden="1" x14ac:dyDescent="0.25">
      <c r="XFD1554" t="s">
        <v>384</v>
      </c>
    </row>
    <row r="1555" spans="16384:16384" hidden="1" x14ac:dyDescent="0.25">
      <c r="XFD1555" t="s">
        <v>384</v>
      </c>
    </row>
    <row r="1556" spans="16384:16384" hidden="1" x14ac:dyDescent="0.25">
      <c r="XFD1556" t="s">
        <v>384</v>
      </c>
    </row>
    <row r="1557" spans="16384:16384" hidden="1" x14ac:dyDescent="0.25">
      <c r="XFD1557" t="s">
        <v>384</v>
      </c>
    </row>
    <row r="1558" spans="16384:16384" hidden="1" x14ac:dyDescent="0.25">
      <c r="XFD1558" t="s">
        <v>384</v>
      </c>
    </row>
    <row r="1559" spans="16384:16384" hidden="1" x14ac:dyDescent="0.25">
      <c r="XFD1559" t="s">
        <v>384</v>
      </c>
    </row>
    <row r="1560" spans="16384:16384" hidden="1" x14ac:dyDescent="0.25">
      <c r="XFD1560" t="s">
        <v>384</v>
      </c>
    </row>
    <row r="1561" spans="16384:16384" hidden="1" x14ac:dyDescent="0.25">
      <c r="XFD1561" t="s">
        <v>384</v>
      </c>
    </row>
    <row r="1562" spans="16384:16384" hidden="1" x14ac:dyDescent="0.25">
      <c r="XFD1562" t="s">
        <v>384</v>
      </c>
    </row>
    <row r="1563" spans="16384:16384" hidden="1" x14ac:dyDescent="0.25">
      <c r="XFD1563" t="s">
        <v>384</v>
      </c>
    </row>
    <row r="1564" spans="16384:16384" hidden="1" x14ac:dyDescent="0.25">
      <c r="XFD1564" t="s">
        <v>384</v>
      </c>
    </row>
    <row r="1565" spans="16384:16384" hidden="1" x14ac:dyDescent="0.25">
      <c r="XFD1565" t="s">
        <v>384</v>
      </c>
    </row>
    <row r="1566" spans="16384:16384" hidden="1" x14ac:dyDescent="0.25">
      <c r="XFD1566" t="s">
        <v>384</v>
      </c>
    </row>
    <row r="1567" spans="16384:16384" hidden="1" x14ac:dyDescent="0.25">
      <c r="XFD1567" t="s">
        <v>384</v>
      </c>
    </row>
    <row r="1568" spans="16384:16384" hidden="1" x14ac:dyDescent="0.25">
      <c r="XFD1568" t="s">
        <v>384</v>
      </c>
    </row>
    <row r="1569" spans="16384:16384" hidden="1" x14ac:dyDescent="0.25">
      <c r="XFD1569" t="s">
        <v>384</v>
      </c>
    </row>
    <row r="1570" spans="16384:16384" hidden="1" x14ac:dyDescent="0.25"/>
    <row r="1571" spans="16384:16384" hidden="1" x14ac:dyDescent="0.25">
      <c r="XFD1571" t="s">
        <v>384</v>
      </c>
    </row>
    <row r="1572" spans="16384:16384" hidden="1" x14ac:dyDescent="0.25">
      <c r="XFD1572" t="s">
        <v>384</v>
      </c>
    </row>
    <row r="1573" spans="16384:16384" hidden="1" x14ac:dyDescent="0.25">
      <c r="XFD1573" t="s">
        <v>384</v>
      </c>
    </row>
    <row r="1574" spans="16384:16384" hidden="1" x14ac:dyDescent="0.25">
      <c r="XFD1574" t="s">
        <v>384</v>
      </c>
    </row>
    <row r="1575" spans="16384:16384" hidden="1" x14ac:dyDescent="0.25">
      <c r="XFD1575" t="s">
        <v>384</v>
      </c>
    </row>
    <row r="1576" spans="16384:16384" hidden="1" x14ac:dyDescent="0.25">
      <c r="XFD1576" t="s">
        <v>384</v>
      </c>
    </row>
    <row r="1577" spans="16384:16384" hidden="1" x14ac:dyDescent="0.25">
      <c r="XFD1577" t="s">
        <v>384</v>
      </c>
    </row>
    <row r="1578" spans="16384:16384" hidden="1" x14ac:dyDescent="0.25">
      <c r="XFD1578" t="s">
        <v>384</v>
      </c>
    </row>
    <row r="1579" spans="16384:16384" hidden="1" x14ac:dyDescent="0.25">
      <c r="XFD1579" t="s">
        <v>384</v>
      </c>
    </row>
    <row r="1580" spans="16384:16384" hidden="1" x14ac:dyDescent="0.25">
      <c r="XFD1580" t="s">
        <v>384</v>
      </c>
    </row>
    <row r="1581" spans="16384:16384" hidden="1" x14ac:dyDescent="0.25">
      <c r="XFD1581" t="s">
        <v>384</v>
      </c>
    </row>
    <row r="1582" spans="16384:16384" hidden="1" x14ac:dyDescent="0.25">
      <c r="XFD1582" t="s">
        <v>384</v>
      </c>
    </row>
    <row r="1583" spans="16384:16384" hidden="1" x14ac:dyDescent="0.25">
      <c r="XFD1583" t="s">
        <v>384</v>
      </c>
    </row>
    <row r="1584" spans="16384:16384" hidden="1" x14ac:dyDescent="0.25">
      <c r="XFD1584" t="s">
        <v>384</v>
      </c>
    </row>
    <row r="1585" spans="16384:16384" hidden="1" x14ac:dyDescent="0.25">
      <c r="XFD1585" t="s">
        <v>384</v>
      </c>
    </row>
    <row r="1586" spans="16384:16384" hidden="1" x14ac:dyDescent="0.25">
      <c r="XFD1586" t="s">
        <v>384</v>
      </c>
    </row>
    <row r="1587" spans="16384:16384" hidden="1" x14ac:dyDescent="0.25">
      <c r="XFD1587" t="s">
        <v>384</v>
      </c>
    </row>
    <row r="1588" spans="16384:16384" hidden="1" x14ac:dyDescent="0.25">
      <c r="XFD1588" t="s">
        <v>384</v>
      </c>
    </row>
    <row r="1589" spans="16384:16384" hidden="1" x14ac:dyDescent="0.25">
      <c r="XFD1589" t="s">
        <v>384</v>
      </c>
    </row>
    <row r="1590" spans="16384:16384" hidden="1" x14ac:dyDescent="0.25">
      <c r="XFD1590" t="s">
        <v>384</v>
      </c>
    </row>
    <row r="1591" spans="16384:16384" hidden="1" x14ac:dyDescent="0.25">
      <c r="XFD1591" t="s">
        <v>384</v>
      </c>
    </row>
    <row r="1592" spans="16384:16384" hidden="1" x14ac:dyDescent="0.25">
      <c r="XFD1592" t="s">
        <v>384</v>
      </c>
    </row>
    <row r="1593" spans="16384:16384" hidden="1" x14ac:dyDescent="0.25">
      <c r="XFD1593" t="s">
        <v>384</v>
      </c>
    </row>
    <row r="1594" spans="16384:16384" hidden="1" x14ac:dyDescent="0.25">
      <c r="XFD1594" t="s">
        <v>384</v>
      </c>
    </row>
    <row r="1595" spans="16384:16384" hidden="1" x14ac:dyDescent="0.25">
      <c r="XFD1595" t="s">
        <v>384</v>
      </c>
    </row>
    <row r="1596" spans="16384:16384" hidden="1" x14ac:dyDescent="0.25">
      <c r="XFD1596" t="s">
        <v>384</v>
      </c>
    </row>
    <row r="1597" spans="16384:16384" hidden="1" x14ac:dyDescent="0.25">
      <c r="XFD1597" t="s">
        <v>384</v>
      </c>
    </row>
    <row r="1598" spans="16384:16384" hidden="1" x14ac:dyDescent="0.25">
      <c r="XFD1598" t="s">
        <v>384</v>
      </c>
    </row>
    <row r="1599" spans="16384:16384" hidden="1" x14ac:dyDescent="0.25">
      <c r="XFD1599" t="s">
        <v>384</v>
      </c>
    </row>
    <row r="1600" spans="16384:16384" hidden="1" x14ac:dyDescent="0.25">
      <c r="XFD1600" t="s">
        <v>384</v>
      </c>
    </row>
    <row r="1601" spans="16384:16384" hidden="1" x14ac:dyDescent="0.25">
      <c r="XFD1601" t="s">
        <v>384</v>
      </c>
    </row>
    <row r="1602" spans="16384:16384" hidden="1" x14ac:dyDescent="0.25">
      <c r="XFD1602" t="s">
        <v>384</v>
      </c>
    </row>
    <row r="1603" spans="16384:16384" hidden="1" x14ac:dyDescent="0.25">
      <c r="XFD1603" t="s">
        <v>384</v>
      </c>
    </row>
    <row r="1604" spans="16384:16384" hidden="1" x14ac:dyDescent="0.25">
      <c r="XFD1604" t="s">
        <v>384</v>
      </c>
    </row>
    <row r="1605" spans="16384:16384" hidden="1" x14ac:dyDescent="0.25">
      <c r="XFD1605" t="s">
        <v>384</v>
      </c>
    </row>
    <row r="1606" spans="16384:16384" hidden="1" x14ac:dyDescent="0.25">
      <c r="XFD1606" t="s">
        <v>384</v>
      </c>
    </row>
    <row r="1607" spans="16384:16384" hidden="1" x14ac:dyDescent="0.25">
      <c r="XFD1607" t="s">
        <v>384</v>
      </c>
    </row>
    <row r="1608" spans="16384:16384" hidden="1" x14ac:dyDescent="0.25">
      <c r="XFD1608" t="s">
        <v>384</v>
      </c>
    </row>
    <row r="1609" spans="16384:16384" hidden="1" x14ac:dyDescent="0.25">
      <c r="XFD1609" t="s">
        <v>384</v>
      </c>
    </row>
    <row r="1610" spans="16384:16384" hidden="1" x14ac:dyDescent="0.25">
      <c r="XFD1610" t="s">
        <v>384</v>
      </c>
    </row>
    <row r="1611" spans="16384:16384" hidden="1" x14ac:dyDescent="0.25">
      <c r="XFD1611" t="s">
        <v>384</v>
      </c>
    </row>
    <row r="1612" spans="16384:16384" hidden="1" x14ac:dyDescent="0.25">
      <c r="XFD1612" t="s">
        <v>384</v>
      </c>
    </row>
    <row r="1613" spans="16384:16384" hidden="1" x14ac:dyDescent="0.25">
      <c r="XFD1613" t="s">
        <v>384</v>
      </c>
    </row>
    <row r="1614" spans="16384:16384" hidden="1" x14ac:dyDescent="0.25">
      <c r="XFD1614" t="s">
        <v>384</v>
      </c>
    </row>
    <row r="1615" spans="16384:16384" hidden="1" x14ac:dyDescent="0.25">
      <c r="XFD1615" t="s">
        <v>384</v>
      </c>
    </row>
    <row r="1616" spans="16384:16384" hidden="1" x14ac:dyDescent="0.25">
      <c r="XFD1616" t="s">
        <v>384</v>
      </c>
    </row>
    <row r="1617" spans="16384:16384" hidden="1" x14ac:dyDescent="0.25">
      <c r="XFD1617" t="s">
        <v>384</v>
      </c>
    </row>
    <row r="1618" spans="16384:16384" hidden="1" x14ac:dyDescent="0.25">
      <c r="XFD1618" t="s">
        <v>384</v>
      </c>
    </row>
    <row r="1619" spans="16384:16384" hidden="1" x14ac:dyDescent="0.25">
      <c r="XFD1619" t="s">
        <v>384</v>
      </c>
    </row>
    <row r="1620" spans="16384:16384" hidden="1" x14ac:dyDescent="0.25">
      <c r="XFD1620" t="s">
        <v>384</v>
      </c>
    </row>
    <row r="1621" spans="16384:16384" hidden="1" x14ac:dyDescent="0.25">
      <c r="XFD1621" t="s">
        <v>384</v>
      </c>
    </row>
    <row r="1622" spans="16384:16384" hidden="1" x14ac:dyDescent="0.25">
      <c r="XFD1622" t="s">
        <v>384</v>
      </c>
    </row>
    <row r="1623" spans="16384:16384" hidden="1" x14ac:dyDescent="0.25">
      <c r="XFD1623" t="s">
        <v>384</v>
      </c>
    </row>
    <row r="1624" spans="16384:16384" hidden="1" x14ac:dyDescent="0.25">
      <c r="XFD1624" t="s">
        <v>384</v>
      </c>
    </row>
    <row r="1625" spans="16384:16384" hidden="1" x14ac:dyDescent="0.25">
      <c r="XFD1625" t="s">
        <v>384</v>
      </c>
    </row>
    <row r="1626" spans="16384:16384" hidden="1" x14ac:dyDescent="0.25">
      <c r="XFD1626" t="s">
        <v>384</v>
      </c>
    </row>
    <row r="1627" spans="16384:16384" hidden="1" x14ac:dyDescent="0.25">
      <c r="XFD1627" t="s">
        <v>384</v>
      </c>
    </row>
    <row r="1628" spans="16384:16384" hidden="1" x14ac:dyDescent="0.25">
      <c r="XFD1628" t="s">
        <v>384</v>
      </c>
    </row>
    <row r="1629" spans="16384:16384" hidden="1" x14ac:dyDescent="0.25">
      <c r="XFD1629" t="s">
        <v>384</v>
      </c>
    </row>
    <row r="1630" spans="16384:16384" hidden="1" x14ac:dyDescent="0.25">
      <c r="XFD1630" t="s">
        <v>384</v>
      </c>
    </row>
    <row r="1631" spans="16384:16384" hidden="1" x14ac:dyDescent="0.25">
      <c r="XFD1631" t="s">
        <v>384</v>
      </c>
    </row>
    <row r="1632" spans="16384:16384" hidden="1" x14ac:dyDescent="0.25">
      <c r="XFD1632" t="s">
        <v>384</v>
      </c>
    </row>
    <row r="1633" spans="16384:16384" hidden="1" x14ac:dyDescent="0.25">
      <c r="XFD1633" t="s">
        <v>384</v>
      </c>
    </row>
    <row r="1634" spans="16384:16384" hidden="1" x14ac:dyDescent="0.25">
      <c r="XFD1634" t="s">
        <v>384</v>
      </c>
    </row>
    <row r="1635" spans="16384:16384" hidden="1" x14ac:dyDescent="0.25">
      <c r="XFD1635" t="s">
        <v>384</v>
      </c>
    </row>
    <row r="1636" spans="16384:16384" hidden="1" x14ac:dyDescent="0.25">
      <c r="XFD1636" t="s">
        <v>384</v>
      </c>
    </row>
    <row r="1637" spans="16384:16384" hidden="1" x14ac:dyDescent="0.25">
      <c r="XFD1637" t="s">
        <v>384</v>
      </c>
    </row>
    <row r="1638" spans="16384:16384" hidden="1" x14ac:dyDescent="0.25">
      <c r="XFD1638" t="s">
        <v>384</v>
      </c>
    </row>
    <row r="1639" spans="16384:16384" hidden="1" x14ac:dyDescent="0.25">
      <c r="XFD1639" t="s">
        <v>384</v>
      </c>
    </row>
    <row r="1640" spans="16384:16384" hidden="1" x14ac:dyDescent="0.25">
      <c r="XFD1640" t="s">
        <v>384</v>
      </c>
    </row>
    <row r="1641" spans="16384:16384" hidden="1" x14ac:dyDescent="0.25">
      <c r="XFD1641" t="s">
        <v>384</v>
      </c>
    </row>
    <row r="1642" spans="16384:16384" hidden="1" x14ac:dyDescent="0.25">
      <c r="XFD1642" t="s">
        <v>384</v>
      </c>
    </row>
    <row r="1643" spans="16384:16384" hidden="1" x14ac:dyDescent="0.25">
      <c r="XFD1643" t="s">
        <v>384</v>
      </c>
    </row>
    <row r="1644" spans="16384:16384" hidden="1" x14ac:dyDescent="0.25">
      <c r="XFD1644" t="s">
        <v>384</v>
      </c>
    </row>
    <row r="1645" spans="16384:16384" hidden="1" x14ac:dyDescent="0.25">
      <c r="XFD1645" t="s">
        <v>384</v>
      </c>
    </row>
    <row r="1646" spans="16384:16384" hidden="1" x14ac:dyDescent="0.25">
      <c r="XFD1646" t="s">
        <v>384</v>
      </c>
    </row>
    <row r="1647" spans="16384:16384" hidden="1" x14ac:dyDescent="0.25">
      <c r="XFD1647" t="s">
        <v>384</v>
      </c>
    </row>
    <row r="1648" spans="16384:16384" hidden="1" x14ac:dyDescent="0.25">
      <c r="XFD1648" t="s">
        <v>384</v>
      </c>
    </row>
    <row r="1649" spans="16384:16384" hidden="1" x14ac:dyDescent="0.25">
      <c r="XFD1649" t="s">
        <v>384</v>
      </c>
    </row>
    <row r="1650" spans="16384:16384" hidden="1" x14ac:dyDescent="0.25">
      <c r="XFD1650" t="s">
        <v>384</v>
      </c>
    </row>
    <row r="1651" spans="16384:16384" hidden="1" x14ac:dyDescent="0.25">
      <c r="XFD1651" t="s">
        <v>384</v>
      </c>
    </row>
    <row r="1652" spans="16384:16384" hidden="1" x14ac:dyDescent="0.25">
      <c r="XFD1652" t="s">
        <v>384</v>
      </c>
    </row>
    <row r="1653" spans="16384:16384" hidden="1" x14ac:dyDescent="0.25">
      <c r="XFD1653" t="s">
        <v>384</v>
      </c>
    </row>
    <row r="1654" spans="16384:16384" hidden="1" x14ac:dyDescent="0.25">
      <c r="XFD1654" t="s">
        <v>384</v>
      </c>
    </row>
    <row r="1655" spans="16384:16384" hidden="1" x14ac:dyDescent="0.25">
      <c r="XFD1655" t="s">
        <v>384</v>
      </c>
    </row>
    <row r="1656" spans="16384:16384" hidden="1" x14ac:dyDescent="0.25">
      <c r="XFD1656" t="s">
        <v>384</v>
      </c>
    </row>
    <row r="1657" spans="16384:16384" hidden="1" x14ac:dyDescent="0.25">
      <c r="XFD1657" t="s">
        <v>384</v>
      </c>
    </row>
    <row r="1658" spans="16384:16384" hidden="1" x14ac:dyDescent="0.25">
      <c r="XFD1658" t="s">
        <v>384</v>
      </c>
    </row>
    <row r="1659" spans="16384:16384" hidden="1" x14ac:dyDescent="0.25">
      <c r="XFD1659" t="s">
        <v>384</v>
      </c>
    </row>
    <row r="1660" spans="16384:16384" hidden="1" x14ac:dyDescent="0.25">
      <c r="XFD1660" t="s">
        <v>384</v>
      </c>
    </row>
    <row r="1661" spans="16384:16384" hidden="1" x14ac:dyDescent="0.25">
      <c r="XFD1661" t="s">
        <v>384</v>
      </c>
    </row>
    <row r="1662" spans="16384:16384" hidden="1" x14ac:dyDescent="0.25">
      <c r="XFD1662" t="s">
        <v>384</v>
      </c>
    </row>
    <row r="1663" spans="16384:16384" hidden="1" x14ac:dyDescent="0.25">
      <c r="XFD1663" t="s">
        <v>384</v>
      </c>
    </row>
    <row r="1664" spans="16384:16384" hidden="1" x14ac:dyDescent="0.25">
      <c r="XFD1664" t="s">
        <v>384</v>
      </c>
    </row>
    <row r="1665" spans="16384:16384" hidden="1" x14ac:dyDescent="0.25">
      <c r="XFD1665" t="s">
        <v>384</v>
      </c>
    </row>
    <row r="1666" spans="16384:16384" hidden="1" x14ac:dyDescent="0.25">
      <c r="XFD1666" t="s">
        <v>384</v>
      </c>
    </row>
    <row r="1667" spans="16384:16384" hidden="1" x14ac:dyDescent="0.25">
      <c r="XFD1667" t="s">
        <v>384</v>
      </c>
    </row>
    <row r="1668" spans="16384:16384" hidden="1" x14ac:dyDescent="0.25">
      <c r="XFD1668" t="s">
        <v>384</v>
      </c>
    </row>
    <row r="1669" spans="16384:16384" hidden="1" x14ac:dyDescent="0.25">
      <c r="XFD1669" t="s">
        <v>384</v>
      </c>
    </row>
    <row r="1670" spans="16384:16384" hidden="1" x14ac:dyDescent="0.25">
      <c r="XFD1670" t="s">
        <v>384</v>
      </c>
    </row>
    <row r="1671" spans="16384:16384" hidden="1" x14ac:dyDescent="0.25">
      <c r="XFD1671" t="s">
        <v>384</v>
      </c>
    </row>
    <row r="1672" spans="16384:16384" hidden="1" x14ac:dyDescent="0.25">
      <c r="XFD1672" t="s">
        <v>384</v>
      </c>
    </row>
    <row r="1673" spans="16384:16384" hidden="1" x14ac:dyDescent="0.25">
      <c r="XFD1673" t="s">
        <v>384</v>
      </c>
    </row>
    <row r="1674" spans="16384:16384" hidden="1" x14ac:dyDescent="0.25">
      <c r="XFD1674" t="s">
        <v>384</v>
      </c>
    </row>
    <row r="1675" spans="16384:16384" hidden="1" x14ac:dyDescent="0.25">
      <c r="XFD1675" t="s">
        <v>384</v>
      </c>
    </row>
    <row r="1676" spans="16384:16384" hidden="1" x14ac:dyDescent="0.25">
      <c r="XFD1676" t="s">
        <v>384</v>
      </c>
    </row>
    <row r="1677" spans="16384:16384" hidden="1" x14ac:dyDescent="0.25">
      <c r="XFD1677" t="s">
        <v>384</v>
      </c>
    </row>
    <row r="1678" spans="16384:16384" hidden="1" x14ac:dyDescent="0.25">
      <c r="XFD1678" t="s">
        <v>384</v>
      </c>
    </row>
    <row r="1679" spans="16384:16384" hidden="1" x14ac:dyDescent="0.25">
      <c r="XFD1679" t="s">
        <v>384</v>
      </c>
    </row>
    <row r="1680" spans="16384:16384" hidden="1" x14ac:dyDescent="0.25">
      <c r="XFD1680" t="s">
        <v>384</v>
      </c>
    </row>
    <row r="1681" spans="16384:16384" hidden="1" x14ac:dyDescent="0.25">
      <c r="XFD1681" t="s">
        <v>384</v>
      </c>
    </row>
    <row r="1682" spans="16384:16384" hidden="1" x14ac:dyDescent="0.25">
      <c r="XFD1682" t="s">
        <v>384</v>
      </c>
    </row>
    <row r="1683" spans="16384:16384" hidden="1" x14ac:dyDescent="0.25">
      <c r="XFD1683" t="s">
        <v>384</v>
      </c>
    </row>
    <row r="1684" spans="16384:16384" hidden="1" x14ac:dyDescent="0.25">
      <c r="XFD1684" t="s">
        <v>384</v>
      </c>
    </row>
    <row r="1685" spans="16384:16384" hidden="1" x14ac:dyDescent="0.25">
      <c r="XFD1685" t="s">
        <v>384</v>
      </c>
    </row>
    <row r="1686" spans="16384:16384" hidden="1" x14ac:dyDescent="0.25">
      <c r="XFD1686" t="s">
        <v>384</v>
      </c>
    </row>
    <row r="1687" spans="16384:16384" hidden="1" x14ac:dyDescent="0.25">
      <c r="XFD1687" t="s">
        <v>384</v>
      </c>
    </row>
    <row r="1688" spans="16384:16384" hidden="1" x14ac:dyDescent="0.25">
      <c r="XFD1688" t="s">
        <v>384</v>
      </c>
    </row>
    <row r="1689" spans="16384:16384" hidden="1" x14ac:dyDescent="0.25">
      <c r="XFD1689" t="s">
        <v>384</v>
      </c>
    </row>
    <row r="1690" spans="16384:16384" hidden="1" x14ac:dyDescent="0.25">
      <c r="XFD1690" t="s">
        <v>384</v>
      </c>
    </row>
    <row r="1691" spans="16384:16384" hidden="1" x14ac:dyDescent="0.25">
      <c r="XFD1691" t="s">
        <v>384</v>
      </c>
    </row>
    <row r="1692" spans="16384:16384" hidden="1" x14ac:dyDescent="0.25">
      <c r="XFD1692" t="s">
        <v>384</v>
      </c>
    </row>
    <row r="1693" spans="16384:16384" hidden="1" x14ac:dyDescent="0.25">
      <c r="XFD1693" t="s">
        <v>384</v>
      </c>
    </row>
    <row r="1694" spans="16384:16384" hidden="1" x14ac:dyDescent="0.25">
      <c r="XFD1694" t="s">
        <v>384</v>
      </c>
    </row>
    <row r="1695" spans="16384:16384" hidden="1" x14ac:dyDescent="0.25">
      <c r="XFD1695" t="s">
        <v>384</v>
      </c>
    </row>
    <row r="1696" spans="16384:16384" hidden="1" x14ac:dyDescent="0.25">
      <c r="XFD1696" t="s">
        <v>384</v>
      </c>
    </row>
    <row r="1697" spans="16384:16384" hidden="1" x14ac:dyDescent="0.25">
      <c r="XFD1697" t="s">
        <v>384</v>
      </c>
    </row>
    <row r="1698" spans="16384:16384" hidden="1" x14ac:dyDescent="0.25">
      <c r="XFD1698" t="s">
        <v>384</v>
      </c>
    </row>
    <row r="1699" spans="16384:16384" hidden="1" x14ac:dyDescent="0.25">
      <c r="XFD1699" t="s">
        <v>384</v>
      </c>
    </row>
    <row r="1700" spans="16384:16384" hidden="1" x14ac:dyDescent="0.25">
      <c r="XFD1700" t="s">
        <v>384</v>
      </c>
    </row>
    <row r="1701" spans="16384:16384" hidden="1" x14ac:dyDescent="0.25">
      <c r="XFD1701" t="s">
        <v>384</v>
      </c>
    </row>
    <row r="1702" spans="16384:16384" hidden="1" x14ac:dyDescent="0.25">
      <c r="XFD1702" t="s">
        <v>384</v>
      </c>
    </row>
    <row r="1703" spans="16384:16384" hidden="1" x14ac:dyDescent="0.25">
      <c r="XFD1703" t="s">
        <v>384</v>
      </c>
    </row>
    <row r="1704" spans="16384:16384" hidden="1" x14ac:dyDescent="0.25">
      <c r="XFD1704" t="s">
        <v>384</v>
      </c>
    </row>
    <row r="1705" spans="16384:16384" hidden="1" x14ac:dyDescent="0.25">
      <c r="XFD1705" t="s">
        <v>384</v>
      </c>
    </row>
    <row r="1706" spans="16384:16384" hidden="1" x14ac:dyDescent="0.25">
      <c r="XFD1706" t="s">
        <v>384</v>
      </c>
    </row>
    <row r="1707" spans="16384:16384" hidden="1" x14ac:dyDescent="0.25">
      <c r="XFD1707" t="s">
        <v>384</v>
      </c>
    </row>
    <row r="1708" spans="16384:16384" hidden="1" x14ac:dyDescent="0.25">
      <c r="XFD1708" t="s">
        <v>384</v>
      </c>
    </row>
    <row r="1709" spans="16384:16384" hidden="1" x14ac:dyDescent="0.25">
      <c r="XFD1709" t="s">
        <v>384</v>
      </c>
    </row>
    <row r="1710" spans="16384:16384" hidden="1" x14ac:dyDescent="0.25">
      <c r="XFD1710" t="s">
        <v>384</v>
      </c>
    </row>
    <row r="1711" spans="16384:16384" hidden="1" x14ac:dyDescent="0.25">
      <c r="XFD1711" t="s">
        <v>384</v>
      </c>
    </row>
    <row r="1712" spans="16384:16384" hidden="1" x14ac:dyDescent="0.25">
      <c r="XFD1712" t="s">
        <v>384</v>
      </c>
    </row>
    <row r="1713" spans="16384:16384" hidden="1" x14ac:dyDescent="0.25">
      <c r="XFD1713" t="s">
        <v>384</v>
      </c>
    </row>
    <row r="1714" spans="16384:16384" hidden="1" x14ac:dyDescent="0.25">
      <c r="XFD1714" t="s">
        <v>384</v>
      </c>
    </row>
    <row r="1715" spans="16384:16384" hidden="1" x14ac:dyDescent="0.25">
      <c r="XFD1715" t="s">
        <v>384</v>
      </c>
    </row>
    <row r="1716" spans="16384:16384" hidden="1" x14ac:dyDescent="0.25">
      <c r="XFD1716" t="s">
        <v>384</v>
      </c>
    </row>
    <row r="1717" spans="16384:16384" hidden="1" x14ac:dyDescent="0.25">
      <c r="XFD1717" t="s">
        <v>384</v>
      </c>
    </row>
    <row r="1718" spans="16384:16384" hidden="1" x14ac:dyDescent="0.25">
      <c r="XFD1718" t="s">
        <v>384</v>
      </c>
    </row>
    <row r="1719" spans="16384:16384" hidden="1" x14ac:dyDescent="0.25">
      <c r="XFD1719" t="s">
        <v>384</v>
      </c>
    </row>
    <row r="1720" spans="16384:16384" hidden="1" x14ac:dyDescent="0.25">
      <c r="XFD1720" t="s">
        <v>384</v>
      </c>
    </row>
    <row r="1721" spans="16384:16384" hidden="1" x14ac:dyDescent="0.25">
      <c r="XFD1721" t="s">
        <v>384</v>
      </c>
    </row>
    <row r="1722" spans="16384:16384" hidden="1" x14ac:dyDescent="0.25">
      <c r="XFD1722" t="s">
        <v>384</v>
      </c>
    </row>
    <row r="1723" spans="16384:16384" hidden="1" x14ac:dyDescent="0.25">
      <c r="XFD1723" t="s">
        <v>384</v>
      </c>
    </row>
    <row r="1724" spans="16384:16384" hidden="1" x14ac:dyDescent="0.25">
      <c r="XFD1724" t="s">
        <v>384</v>
      </c>
    </row>
    <row r="1725" spans="16384:16384" hidden="1" x14ac:dyDescent="0.25">
      <c r="XFD1725" t="s">
        <v>384</v>
      </c>
    </row>
    <row r="1726" spans="16384:16384" hidden="1" x14ac:dyDescent="0.25">
      <c r="XFD1726" t="s">
        <v>384</v>
      </c>
    </row>
    <row r="1727" spans="16384:16384" hidden="1" x14ac:dyDescent="0.25">
      <c r="XFD1727" t="s">
        <v>384</v>
      </c>
    </row>
    <row r="1728" spans="16384:16384" hidden="1" x14ac:dyDescent="0.25">
      <c r="XFD1728" t="s">
        <v>384</v>
      </c>
    </row>
    <row r="1729" spans="16384:16384" hidden="1" x14ac:dyDescent="0.25">
      <c r="XFD1729" t="s">
        <v>384</v>
      </c>
    </row>
    <row r="1730" spans="16384:16384" hidden="1" x14ac:dyDescent="0.25">
      <c r="XFD1730" t="s">
        <v>384</v>
      </c>
    </row>
    <row r="1731" spans="16384:16384" hidden="1" x14ac:dyDescent="0.25">
      <c r="XFD1731" t="s">
        <v>384</v>
      </c>
    </row>
    <row r="1732" spans="16384:16384" hidden="1" x14ac:dyDescent="0.25">
      <c r="XFD1732" t="s">
        <v>384</v>
      </c>
    </row>
    <row r="1733" spans="16384:16384" hidden="1" x14ac:dyDescent="0.25">
      <c r="XFD1733" t="s">
        <v>384</v>
      </c>
    </row>
    <row r="1734" spans="16384:16384" hidden="1" x14ac:dyDescent="0.25">
      <c r="XFD1734" t="s">
        <v>384</v>
      </c>
    </row>
    <row r="1735" spans="16384:16384" hidden="1" x14ac:dyDescent="0.25">
      <c r="XFD1735" t="s">
        <v>384</v>
      </c>
    </row>
    <row r="1736" spans="16384:16384" hidden="1" x14ac:dyDescent="0.25">
      <c r="XFD1736" t="s">
        <v>384</v>
      </c>
    </row>
    <row r="1737" spans="16384:16384" hidden="1" x14ac:dyDescent="0.25">
      <c r="XFD1737" t="s">
        <v>384</v>
      </c>
    </row>
    <row r="1738" spans="16384:16384" hidden="1" x14ac:dyDescent="0.25">
      <c r="XFD1738" t="s">
        <v>384</v>
      </c>
    </row>
    <row r="1739" spans="16384:16384" hidden="1" x14ac:dyDescent="0.25">
      <c r="XFD1739" t="s">
        <v>384</v>
      </c>
    </row>
    <row r="1740" spans="16384:16384" hidden="1" x14ac:dyDescent="0.25">
      <c r="XFD1740" t="s">
        <v>384</v>
      </c>
    </row>
    <row r="1741" spans="16384:16384" hidden="1" x14ac:dyDescent="0.25">
      <c r="XFD1741" t="s">
        <v>384</v>
      </c>
    </row>
    <row r="1742" spans="16384:16384" hidden="1" x14ac:dyDescent="0.25">
      <c r="XFD1742" t="s">
        <v>384</v>
      </c>
    </row>
    <row r="1743" spans="16384:16384" hidden="1" x14ac:dyDescent="0.25">
      <c r="XFD1743" t="s">
        <v>384</v>
      </c>
    </row>
    <row r="1744" spans="16384:16384" hidden="1" x14ac:dyDescent="0.25">
      <c r="XFD1744" t="s">
        <v>384</v>
      </c>
    </row>
    <row r="1745" spans="16384:16384" hidden="1" x14ac:dyDescent="0.25">
      <c r="XFD1745" t="s">
        <v>384</v>
      </c>
    </row>
    <row r="1746" spans="16384:16384" hidden="1" x14ac:dyDescent="0.25">
      <c r="XFD1746" t="s">
        <v>384</v>
      </c>
    </row>
    <row r="1747" spans="16384:16384" hidden="1" x14ac:dyDescent="0.25">
      <c r="XFD1747" t="s">
        <v>384</v>
      </c>
    </row>
    <row r="1748" spans="16384:16384" hidden="1" x14ac:dyDescent="0.25">
      <c r="XFD1748" t="s">
        <v>384</v>
      </c>
    </row>
    <row r="1749" spans="16384:16384" hidden="1" x14ac:dyDescent="0.25">
      <c r="XFD1749" t="s">
        <v>384</v>
      </c>
    </row>
    <row r="1750" spans="16384:16384" hidden="1" x14ac:dyDescent="0.25">
      <c r="XFD1750" t="s">
        <v>384</v>
      </c>
    </row>
    <row r="1751" spans="16384:16384" hidden="1" x14ac:dyDescent="0.25">
      <c r="XFD1751" t="s">
        <v>384</v>
      </c>
    </row>
    <row r="1752" spans="16384:16384" hidden="1" x14ac:dyDescent="0.25">
      <c r="XFD1752" t="s">
        <v>384</v>
      </c>
    </row>
    <row r="1753" spans="16384:16384" hidden="1" x14ac:dyDescent="0.25">
      <c r="XFD1753" t="s">
        <v>384</v>
      </c>
    </row>
    <row r="1754" spans="16384:16384" hidden="1" x14ac:dyDescent="0.25">
      <c r="XFD1754" t="s">
        <v>384</v>
      </c>
    </row>
    <row r="1755" spans="16384:16384" hidden="1" x14ac:dyDescent="0.25">
      <c r="XFD1755" t="s">
        <v>384</v>
      </c>
    </row>
    <row r="1756" spans="16384:16384" hidden="1" x14ac:dyDescent="0.25">
      <c r="XFD1756" t="s">
        <v>384</v>
      </c>
    </row>
    <row r="1757" spans="16384:16384" hidden="1" x14ac:dyDescent="0.25">
      <c r="XFD1757" t="s">
        <v>384</v>
      </c>
    </row>
    <row r="1758" spans="16384:16384" hidden="1" x14ac:dyDescent="0.25">
      <c r="XFD1758" t="s">
        <v>384</v>
      </c>
    </row>
    <row r="1759" spans="16384:16384" hidden="1" x14ac:dyDescent="0.25">
      <c r="XFD1759" t="s">
        <v>384</v>
      </c>
    </row>
    <row r="1760" spans="16384:16384" hidden="1" x14ac:dyDescent="0.25">
      <c r="XFD1760" t="s">
        <v>384</v>
      </c>
    </row>
    <row r="1761" spans="16384:16384" hidden="1" x14ac:dyDescent="0.25">
      <c r="XFD1761" t="s">
        <v>384</v>
      </c>
    </row>
    <row r="1762" spans="16384:16384" hidden="1" x14ac:dyDescent="0.25">
      <c r="XFD1762" t="s">
        <v>384</v>
      </c>
    </row>
    <row r="1763" spans="16384:16384" hidden="1" x14ac:dyDescent="0.25">
      <c r="XFD1763" t="s">
        <v>384</v>
      </c>
    </row>
    <row r="1764" spans="16384:16384" hidden="1" x14ac:dyDescent="0.25">
      <c r="XFD1764" t="s">
        <v>384</v>
      </c>
    </row>
    <row r="1765" spans="16384:16384" hidden="1" x14ac:dyDescent="0.25">
      <c r="XFD1765" t="s">
        <v>384</v>
      </c>
    </row>
    <row r="1766" spans="16384:16384" hidden="1" x14ac:dyDescent="0.25">
      <c r="XFD1766" t="s">
        <v>384</v>
      </c>
    </row>
    <row r="1767" spans="16384:16384" hidden="1" x14ac:dyDescent="0.25">
      <c r="XFD1767" t="s">
        <v>384</v>
      </c>
    </row>
    <row r="1768" spans="16384:16384" hidden="1" x14ac:dyDescent="0.25">
      <c r="XFD1768" t="s">
        <v>384</v>
      </c>
    </row>
    <row r="1769" spans="16384:16384" hidden="1" x14ac:dyDescent="0.25">
      <c r="XFD1769" t="s">
        <v>384</v>
      </c>
    </row>
    <row r="1770" spans="16384:16384" hidden="1" x14ac:dyDescent="0.25">
      <c r="XFD1770" t="s">
        <v>3</v>
      </c>
    </row>
    <row r="1771" spans="16384:16384" hidden="1" x14ac:dyDescent="0.25">
      <c r="XFD1771" t="s">
        <v>3</v>
      </c>
    </row>
    <row r="1772" spans="16384:16384" hidden="1" x14ac:dyDescent="0.25">
      <c r="XFD1772" t="s">
        <v>385</v>
      </c>
    </row>
    <row r="1773" spans="16384:16384" hidden="1" x14ac:dyDescent="0.25">
      <c r="XFD1773" t="s">
        <v>3</v>
      </c>
    </row>
    <row r="1774" spans="16384:16384" hidden="1" x14ac:dyDescent="0.25">
      <c r="XFD1774" t="s">
        <v>3</v>
      </c>
    </row>
    <row r="1775" spans="16384:16384" hidden="1" x14ac:dyDescent="0.25">
      <c r="XFD1775" t="s">
        <v>3</v>
      </c>
    </row>
    <row r="1776" spans="16384:16384" hidden="1" x14ac:dyDescent="0.25">
      <c r="XFD1776" t="s">
        <v>3</v>
      </c>
    </row>
    <row r="1777" spans="16384:16384" hidden="1" x14ac:dyDescent="0.25">
      <c r="XFD1777" t="s">
        <v>385</v>
      </c>
    </row>
    <row r="1778" spans="16384:16384" hidden="1" x14ac:dyDescent="0.25">
      <c r="XFD1778" t="s">
        <v>3</v>
      </c>
    </row>
    <row r="1779" spans="16384:16384" hidden="1" x14ac:dyDescent="0.25">
      <c r="XFD1779" t="s">
        <v>3</v>
      </c>
    </row>
    <row r="1780" spans="16384:16384" hidden="1" x14ac:dyDescent="0.25">
      <c r="XFD1780" t="s">
        <v>3</v>
      </c>
    </row>
    <row r="1781" spans="16384:16384" hidden="1" x14ac:dyDescent="0.25">
      <c r="XFD1781" t="s">
        <v>3</v>
      </c>
    </row>
    <row r="1782" spans="16384:16384" hidden="1" x14ac:dyDescent="0.25">
      <c r="XFD1782" t="s">
        <v>3</v>
      </c>
    </row>
    <row r="1783" spans="16384:16384" hidden="1" x14ac:dyDescent="0.25">
      <c r="XFD1783" t="s">
        <v>3</v>
      </c>
    </row>
    <row r="1784" spans="16384:16384" hidden="1" x14ac:dyDescent="0.25">
      <c r="XFD1784" t="s">
        <v>384</v>
      </c>
    </row>
    <row r="1785" spans="16384:16384" hidden="1" x14ac:dyDescent="0.25">
      <c r="XFD1785" t="s">
        <v>384</v>
      </c>
    </row>
    <row r="1786" spans="16384:16384" hidden="1" x14ac:dyDescent="0.25">
      <c r="XFD1786" t="s">
        <v>384</v>
      </c>
    </row>
    <row r="1787" spans="16384:16384" hidden="1" x14ac:dyDescent="0.25">
      <c r="XFD1787" t="s">
        <v>384</v>
      </c>
    </row>
    <row r="1788" spans="16384:16384" hidden="1" x14ac:dyDescent="0.25">
      <c r="XFD1788" t="s">
        <v>384</v>
      </c>
    </row>
    <row r="1789" spans="16384:16384" hidden="1" x14ac:dyDescent="0.25">
      <c r="XFD1789" t="s">
        <v>384</v>
      </c>
    </row>
    <row r="1790" spans="16384:16384" hidden="1" x14ac:dyDescent="0.25">
      <c r="XFD1790" t="s">
        <v>384</v>
      </c>
    </row>
    <row r="1791" spans="16384:16384" hidden="1" x14ac:dyDescent="0.25">
      <c r="XFD1791" t="s">
        <v>384</v>
      </c>
    </row>
    <row r="1792" spans="16384:16384" hidden="1" x14ac:dyDescent="0.25">
      <c r="XFD1792" t="s">
        <v>384</v>
      </c>
    </row>
    <row r="1793" spans="16384:16384" hidden="1" x14ac:dyDescent="0.25">
      <c r="XFD1793" t="s">
        <v>384</v>
      </c>
    </row>
    <row r="1794" spans="16384:16384" hidden="1" x14ac:dyDescent="0.25">
      <c r="XFD1794" t="s">
        <v>384</v>
      </c>
    </row>
    <row r="1795" spans="16384:16384" hidden="1" x14ac:dyDescent="0.25">
      <c r="XFD1795" t="s">
        <v>384</v>
      </c>
    </row>
    <row r="1796" spans="16384:16384" hidden="1" x14ac:dyDescent="0.25">
      <c r="XFD1796" t="s">
        <v>384</v>
      </c>
    </row>
    <row r="1797" spans="16384:16384" hidden="1" x14ac:dyDescent="0.25">
      <c r="XFD1797" t="s">
        <v>384</v>
      </c>
    </row>
    <row r="1798" spans="16384:16384" hidden="1" x14ac:dyDescent="0.25">
      <c r="XFD1798" t="s">
        <v>384</v>
      </c>
    </row>
    <row r="1799" spans="16384:16384" hidden="1" x14ac:dyDescent="0.25">
      <c r="XFD1799" t="s">
        <v>384</v>
      </c>
    </row>
    <row r="1800" spans="16384:16384" hidden="1" x14ac:dyDescent="0.25">
      <c r="XFD1800" t="s">
        <v>384</v>
      </c>
    </row>
    <row r="1801" spans="16384:16384" hidden="1" x14ac:dyDescent="0.25">
      <c r="XFD1801" t="s">
        <v>384</v>
      </c>
    </row>
    <row r="1802" spans="16384:16384" hidden="1" x14ac:dyDescent="0.25">
      <c r="XFD1802" t="s">
        <v>384</v>
      </c>
    </row>
    <row r="1803" spans="16384:16384" hidden="1" x14ac:dyDescent="0.25">
      <c r="XFD1803" t="s">
        <v>384</v>
      </c>
    </row>
    <row r="1804" spans="16384:16384" hidden="1" x14ac:dyDescent="0.25">
      <c r="XFD1804" t="s">
        <v>384</v>
      </c>
    </row>
    <row r="1805" spans="16384:16384" hidden="1" x14ac:dyDescent="0.25">
      <c r="XFD1805" t="s">
        <v>384</v>
      </c>
    </row>
    <row r="1806" spans="16384:16384" hidden="1" x14ac:dyDescent="0.25">
      <c r="XFD1806" t="s">
        <v>384</v>
      </c>
    </row>
    <row r="1807" spans="16384:16384" hidden="1" x14ac:dyDescent="0.25">
      <c r="XFD1807" t="s">
        <v>384</v>
      </c>
    </row>
    <row r="1808" spans="16384:16384" hidden="1" x14ac:dyDescent="0.25">
      <c r="XFD1808" t="s">
        <v>384</v>
      </c>
    </row>
    <row r="1809" spans="16384:16384" hidden="1" x14ac:dyDescent="0.25">
      <c r="XFD1809" t="s">
        <v>384</v>
      </c>
    </row>
    <row r="1810" spans="16384:16384" hidden="1" x14ac:dyDescent="0.25">
      <c r="XFD1810" t="s">
        <v>384</v>
      </c>
    </row>
    <row r="1811" spans="16384:16384" hidden="1" x14ac:dyDescent="0.25">
      <c r="XFD1811" t="s">
        <v>384</v>
      </c>
    </row>
    <row r="1812" spans="16384:16384" hidden="1" x14ac:dyDescent="0.25">
      <c r="XFD1812" t="s">
        <v>384</v>
      </c>
    </row>
    <row r="1813" spans="16384:16384" hidden="1" x14ac:dyDescent="0.25">
      <c r="XFD1813" t="s">
        <v>384</v>
      </c>
    </row>
    <row r="1814" spans="16384:16384" hidden="1" x14ac:dyDescent="0.25">
      <c r="XFD1814" t="s">
        <v>384</v>
      </c>
    </row>
    <row r="1815" spans="16384:16384" hidden="1" x14ac:dyDescent="0.25">
      <c r="XFD1815" t="s">
        <v>384</v>
      </c>
    </row>
    <row r="1816" spans="16384:16384" hidden="1" x14ac:dyDescent="0.25">
      <c r="XFD1816" t="s">
        <v>384</v>
      </c>
    </row>
    <row r="1817" spans="16384:16384" hidden="1" x14ac:dyDescent="0.25">
      <c r="XFD1817" t="s">
        <v>384</v>
      </c>
    </row>
    <row r="1818" spans="16384:16384" hidden="1" x14ac:dyDescent="0.25">
      <c r="XFD1818" t="s">
        <v>384</v>
      </c>
    </row>
    <row r="1819" spans="16384:16384" hidden="1" x14ac:dyDescent="0.25">
      <c r="XFD1819" t="s">
        <v>384</v>
      </c>
    </row>
    <row r="1820" spans="16384:16384" hidden="1" x14ac:dyDescent="0.25">
      <c r="XFD1820" t="s">
        <v>384</v>
      </c>
    </row>
    <row r="1821" spans="16384:16384" hidden="1" x14ac:dyDescent="0.25">
      <c r="XFD1821" t="s">
        <v>384</v>
      </c>
    </row>
    <row r="1822" spans="16384:16384" hidden="1" x14ac:dyDescent="0.25">
      <c r="XFD1822" t="s">
        <v>384</v>
      </c>
    </row>
    <row r="1823" spans="16384:16384" hidden="1" x14ac:dyDescent="0.25">
      <c r="XFD1823" t="s">
        <v>384</v>
      </c>
    </row>
    <row r="1824" spans="16384:16384" hidden="1" x14ac:dyDescent="0.25">
      <c r="XFD1824" t="s">
        <v>384</v>
      </c>
    </row>
    <row r="1825" spans="16384:16384" hidden="1" x14ac:dyDescent="0.25">
      <c r="XFD1825" t="s">
        <v>384</v>
      </c>
    </row>
    <row r="1826" spans="16384:16384" hidden="1" x14ac:dyDescent="0.25">
      <c r="XFD1826" t="s">
        <v>384</v>
      </c>
    </row>
    <row r="1827" spans="16384:16384" hidden="1" x14ac:dyDescent="0.25">
      <c r="XFD1827" t="s">
        <v>384</v>
      </c>
    </row>
    <row r="1828" spans="16384:16384" hidden="1" x14ac:dyDescent="0.25">
      <c r="XFD1828" t="s">
        <v>384</v>
      </c>
    </row>
    <row r="1829" spans="16384:16384" hidden="1" x14ac:dyDescent="0.25">
      <c r="XFD1829" t="s">
        <v>384</v>
      </c>
    </row>
    <row r="1830" spans="16384:16384" hidden="1" x14ac:dyDescent="0.25">
      <c r="XFD1830" t="s">
        <v>384</v>
      </c>
    </row>
    <row r="1831" spans="16384:16384" hidden="1" x14ac:dyDescent="0.25">
      <c r="XFD1831" t="s">
        <v>384</v>
      </c>
    </row>
    <row r="1832" spans="16384:16384" hidden="1" x14ac:dyDescent="0.25">
      <c r="XFD1832" t="s">
        <v>384</v>
      </c>
    </row>
    <row r="1833" spans="16384:16384" hidden="1" x14ac:dyDescent="0.25">
      <c r="XFD1833" t="s">
        <v>384</v>
      </c>
    </row>
    <row r="1834" spans="16384:16384" hidden="1" x14ac:dyDescent="0.25">
      <c r="XFD1834" t="s">
        <v>384</v>
      </c>
    </row>
    <row r="1835" spans="16384:16384" hidden="1" x14ac:dyDescent="0.25">
      <c r="XFD1835" t="s">
        <v>384</v>
      </c>
    </row>
    <row r="1836" spans="16384:16384" hidden="1" x14ac:dyDescent="0.25">
      <c r="XFD1836" t="s">
        <v>384</v>
      </c>
    </row>
    <row r="1837" spans="16384:16384" hidden="1" x14ac:dyDescent="0.25">
      <c r="XFD1837" t="s">
        <v>384</v>
      </c>
    </row>
    <row r="1838" spans="16384:16384" hidden="1" x14ac:dyDescent="0.25">
      <c r="XFD1838" t="s">
        <v>384</v>
      </c>
    </row>
    <row r="1839" spans="16384:16384" hidden="1" x14ac:dyDescent="0.25">
      <c r="XFD1839" t="s">
        <v>384</v>
      </c>
    </row>
    <row r="1840" spans="16384:16384" hidden="1" x14ac:dyDescent="0.25">
      <c r="XFD1840" t="s">
        <v>384</v>
      </c>
    </row>
    <row r="1841" spans="16384:16384" hidden="1" x14ac:dyDescent="0.25">
      <c r="XFD1841" t="s">
        <v>384</v>
      </c>
    </row>
    <row r="1842" spans="16384:16384" hidden="1" x14ac:dyDescent="0.25">
      <c r="XFD1842" t="s">
        <v>384</v>
      </c>
    </row>
    <row r="1843" spans="16384:16384" hidden="1" x14ac:dyDescent="0.25">
      <c r="XFD1843" t="s">
        <v>384</v>
      </c>
    </row>
    <row r="1844" spans="16384:16384" hidden="1" x14ac:dyDescent="0.25">
      <c r="XFD1844" t="s">
        <v>384</v>
      </c>
    </row>
    <row r="1845" spans="16384:16384" hidden="1" x14ac:dyDescent="0.25">
      <c r="XFD1845" t="s">
        <v>384</v>
      </c>
    </row>
    <row r="1846" spans="16384:16384" hidden="1" x14ac:dyDescent="0.25">
      <c r="XFD1846" t="s">
        <v>384</v>
      </c>
    </row>
    <row r="1847" spans="16384:16384" hidden="1" x14ac:dyDescent="0.25">
      <c r="XFD1847" t="s">
        <v>384</v>
      </c>
    </row>
    <row r="1848" spans="16384:16384" hidden="1" x14ac:dyDescent="0.25">
      <c r="XFD1848" t="s">
        <v>384</v>
      </c>
    </row>
    <row r="1849" spans="16384:16384" hidden="1" x14ac:dyDescent="0.25">
      <c r="XFD1849" t="s">
        <v>384</v>
      </c>
    </row>
    <row r="1850" spans="16384:16384" hidden="1" x14ac:dyDescent="0.25">
      <c r="XFD1850" t="s">
        <v>384</v>
      </c>
    </row>
    <row r="1851" spans="16384:16384" hidden="1" x14ac:dyDescent="0.25">
      <c r="XFD1851" t="s">
        <v>384</v>
      </c>
    </row>
    <row r="1852" spans="16384:16384" hidden="1" x14ac:dyDescent="0.25">
      <c r="XFD1852" t="s">
        <v>384</v>
      </c>
    </row>
    <row r="1853" spans="16384:16384" hidden="1" x14ac:dyDescent="0.25">
      <c r="XFD1853" t="s">
        <v>384</v>
      </c>
    </row>
    <row r="1854" spans="16384:16384" hidden="1" x14ac:dyDescent="0.25">
      <c r="XFD1854" t="s">
        <v>384</v>
      </c>
    </row>
    <row r="1855" spans="16384:16384" hidden="1" x14ac:dyDescent="0.25">
      <c r="XFD1855" t="s">
        <v>384</v>
      </c>
    </row>
    <row r="1856" spans="16384:16384" hidden="1" x14ac:dyDescent="0.25">
      <c r="XFD1856" t="s">
        <v>384</v>
      </c>
    </row>
    <row r="1857" spans="16384:16384" hidden="1" x14ac:dyDescent="0.25">
      <c r="XFD1857" t="s">
        <v>384</v>
      </c>
    </row>
    <row r="1858" spans="16384:16384" hidden="1" x14ac:dyDescent="0.25">
      <c r="XFD1858" t="s">
        <v>384</v>
      </c>
    </row>
    <row r="1859" spans="16384:16384" hidden="1" x14ac:dyDescent="0.25">
      <c r="XFD1859" t="s">
        <v>384</v>
      </c>
    </row>
    <row r="1860" spans="16384:16384" hidden="1" x14ac:dyDescent="0.25">
      <c r="XFD1860" t="s">
        <v>384</v>
      </c>
    </row>
    <row r="1861" spans="16384:16384" hidden="1" x14ac:dyDescent="0.25">
      <c r="XFD1861" t="s">
        <v>384</v>
      </c>
    </row>
    <row r="1862" spans="16384:16384" hidden="1" x14ac:dyDescent="0.25">
      <c r="XFD1862" t="s">
        <v>384</v>
      </c>
    </row>
    <row r="1863" spans="16384:16384" hidden="1" x14ac:dyDescent="0.25">
      <c r="XFD1863" t="s">
        <v>384</v>
      </c>
    </row>
    <row r="1864" spans="16384:16384" hidden="1" x14ac:dyDescent="0.25">
      <c r="XFD1864" t="s">
        <v>384</v>
      </c>
    </row>
    <row r="1865" spans="16384:16384" hidden="1" x14ac:dyDescent="0.25">
      <c r="XFD1865" t="s">
        <v>384</v>
      </c>
    </row>
    <row r="1866" spans="16384:16384" hidden="1" x14ac:dyDescent="0.25">
      <c r="XFD1866" t="s">
        <v>384</v>
      </c>
    </row>
    <row r="1867" spans="16384:16384" hidden="1" x14ac:dyDescent="0.25">
      <c r="XFD1867" t="s">
        <v>384</v>
      </c>
    </row>
    <row r="1868" spans="16384:16384" hidden="1" x14ac:dyDescent="0.25">
      <c r="XFD1868" t="s">
        <v>384</v>
      </c>
    </row>
    <row r="1869" spans="16384:16384" hidden="1" x14ac:dyDescent="0.25">
      <c r="XFD1869" t="s">
        <v>384</v>
      </c>
    </row>
    <row r="1870" spans="16384:16384" hidden="1" x14ac:dyDescent="0.25">
      <c r="XFD1870" t="s">
        <v>384</v>
      </c>
    </row>
    <row r="1871" spans="16384:16384" hidden="1" x14ac:dyDescent="0.25">
      <c r="XFD1871" t="s">
        <v>384</v>
      </c>
    </row>
    <row r="1872" spans="16384:16384" hidden="1" x14ac:dyDescent="0.25">
      <c r="XFD1872" t="s">
        <v>384</v>
      </c>
    </row>
    <row r="1873" spans="16384:16384" hidden="1" x14ac:dyDescent="0.25">
      <c r="XFD1873" t="s">
        <v>384</v>
      </c>
    </row>
    <row r="1874" spans="16384:16384" hidden="1" x14ac:dyDescent="0.25">
      <c r="XFD1874" t="s">
        <v>384</v>
      </c>
    </row>
    <row r="1875" spans="16384:16384" hidden="1" x14ac:dyDescent="0.25">
      <c r="XFD1875" t="s">
        <v>384</v>
      </c>
    </row>
    <row r="1876" spans="16384:16384" hidden="1" x14ac:dyDescent="0.25">
      <c r="XFD1876" t="s">
        <v>384</v>
      </c>
    </row>
    <row r="1877" spans="16384:16384" hidden="1" x14ac:dyDescent="0.25">
      <c r="XFD1877" t="s">
        <v>384</v>
      </c>
    </row>
    <row r="1878" spans="16384:16384" hidden="1" x14ac:dyDescent="0.25">
      <c r="XFD1878" t="s">
        <v>384</v>
      </c>
    </row>
    <row r="1879" spans="16384:16384" hidden="1" x14ac:dyDescent="0.25">
      <c r="XFD1879" t="s">
        <v>384</v>
      </c>
    </row>
    <row r="1880" spans="16384:16384" hidden="1" x14ac:dyDescent="0.25">
      <c r="XFD1880" t="s">
        <v>384</v>
      </c>
    </row>
    <row r="1881" spans="16384:16384" hidden="1" x14ac:dyDescent="0.25">
      <c r="XFD1881" t="s">
        <v>384</v>
      </c>
    </row>
    <row r="1882" spans="16384:16384" hidden="1" x14ac:dyDescent="0.25">
      <c r="XFD1882" t="s">
        <v>384</v>
      </c>
    </row>
    <row r="1883" spans="16384:16384" hidden="1" x14ac:dyDescent="0.25">
      <c r="XFD1883" t="s">
        <v>384</v>
      </c>
    </row>
    <row r="1884" spans="16384:16384" hidden="1" x14ac:dyDescent="0.25">
      <c r="XFD1884" t="s">
        <v>384</v>
      </c>
    </row>
    <row r="1885" spans="16384:16384" hidden="1" x14ac:dyDescent="0.25">
      <c r="XFD1885" t="s">
        <v>384</v>
      </c>
    </row>
    <row r="1886" spans="16384:16384" hidden="1" x14ac:dyDescent="0.25">
      <c r="XFD1886" t="s">
        <v>384</v>
      </c>
    </row>
    <row r="1887" spans="16384:16384" hidden="1" x14ac:dyDescent="0.25">
      <c r="XFD1887" t="s">
        <v>384</v>
      </c>
    </row>
    <row r="1888" spans="16384:16384" hidden="1" x14ac:dyDescent="0.25">
      <c r="XFD1888" t="s">
        <v>384</v>
      </c>
    </row>
    <row r="1889" spans="16384:16384" hidden="1" x14ac:dyDescent="0.25">
      <c r="XFD1889" t="s">
        <v>384</v>
      </c>
    </row>
    <row r="1890" spans="16384:16384" hidden="1" x14ac:dyDescent="0.25">
      <c r="XFD1890" t="s">
        <v>384</v>
      </c>
    </row>
    <row r="1891" spans="16384:16384" hidden="1" x14ac:dyDescent="0.25">
      <c r="XFD1891" t="s">
        <v>384</v>
      </c>
    </row>
    <row r="1892" spans="16384:16384" hidden="1" x14ac:dyDescent="0.25">
      <c r="XFD1892" t="s">
        <v>384</v>
      </c>
    </row>
    <row r="1893" spans="16384:16384" hidden="1" x14ac:dyDescent="0.25">
      <c r="XFD1893" t="s">
        <v>384</v>
      </c>
    </row>
    <row r="1894" spans="16384:16384" hidden="1" x14ac:dyDescent="0.25">
      <c r="XFD1894" t="s">
        <v>384</v>
      </c>
    </row>
    <row r="1895" spans="16384:16384" hidden="1" x14ac:dyDescent="0.25">
      <c r="XFD1895" t="s">
        <v>384</v>
      </c>
    </row>
    <row r="1896" spans="16384:16384" hidden="1" x14ac:dyDescent="0.25">
      <c r="XFD1896" t="s">
        <v>384</v>
      </c>
    </row>
    <row r="1897" spans="16384:16384" hidden="1" x14ac:dyDescent="0.25">
      <c r="XFD1897" t="s">
        <v>384</v>
      </c>
    </row>
    <row r="1898" spans="16384:16384" hidden="1" x14ac:dyDescent="0.25">
      <c r="XFD1898" t="s">
        <v>384</v>
      </c>
    </row>
    <row r="1899" spans="16384:16384" hidden="1" x14ac:dyDescent="0.25">
      <c r="XFD1899" t="s">
        <v>384</v>
      </c>
    </row>
    <row r="1900" spans="16384:16384" hidden="1" x14ac:dyDescent="0.25">
      <c r="XFD1900" t="s">
        <v>384</v>
      </c>
    </row>
    <row r="1901" spans="16384:16384" hidden="1" x14ac:dyDescent="0.25">
      <c r="XFD1901" t="s">
        <v>384</v>
      </c>
    </row>
    <row r="1902" spans="16384:16384" hidden="1" x14ac:dyDescent="0.25">
      <c r="XFD1902" t="s">
        <v>384</v>
      </c>
    </row>
    <row r="1903" spans="16384:16384" hidden="1" x14ac:dyDescent="0.25">
      <c r="XFD1903" t="s">
        <v>384</v>
      </c>
    </row>
    <row r="1904" spans="16384:16384" hidden="1" x14ac:dyDescent="0.25">
      <c r="XFD1904" t="s">
        <v>384</v>
      </c>
    </row>
    <row r="1905" spans="16384:16384" hidden="1" x14ac:dyDescent="0.25">
      <c r="XFD1905" t="s">
        <v>384</v>
      </c>
    </row>
    <row r="1906" spans="16384:16384" hidden="1" x14ac:dyDescent="0.25">
      <c r="XFD1906" t="s">
        <v>384</v>
      </c>
    </row>
    <row r="1907" spans="16384:16384" hidden="1" x14ac:dyDescent="0.25">
      <c r="XFD1907" t="s">
        <v>384</v>
      </c>
    </row>
    <row r="1908" spans="16384:16384" hidden="1" x14ac:dyDescent="0.25">
      <c r="XFD1908" t="s">
        <v>384</v>
      </c>
    </row>
    <row r="1909" spans="16384:16384" hidden="1" x14ac:dyDescent="0.25">
      <c r="XFD1909" t="s">
        <v>384</v>
      </c>
    </row>
    <row r="1910" spans="16384:16384" hidden="1" x14ac:dyDescent="0.25">
      <c r="XFD1910" t="s">
        <v>384</v>
      </c>
    </row>
    <row r="1911" spans="16384:16384" hidden="1" x14ac:dyDescent="0.25">
      <c r="XFD1911" t="s">
        <v>384</v>
      </c>
    </row>
    <row r="1912" spans="16384:16384" hidden="1" x14ac:dyDescent="0.25">
      <c r="XFD1912" t="s">
        <v>384</v>
      </c>
    </row>
    <row r="1913" spans="16384:16384" hidden="1" x14ac:dyDescent="0.25">
      <c r="XFD1913" t="s">
        <v>384</v>
      </c>
    </row>
    <row r="1914" spans="16384:16384" hidden="1" x14ac:dyDescent="0.25">
      <c r="XFD1914" t="s">
        <v>384</v>
      </c>
    </row>
    <row r="1915" spans="16384:16384" hidden="1" x14ac:dyDescent="0.25">
      <c r="XFD1915" t="s">
        <v>384</v>
      </c>
    </row>
    <row r="1916" spans="16384:16384" hidden="1" x14ac:dyDescent="0.25">
      <c r="XFD1916" t="s">
        <v>384</v>
      </c>
    </row>
    <row r="1917" spans="16384:16384" hidden="1" x14ac:dyDescent="0.25">
      <c r="XFD1917" t="s">
        <v>384</v>
      </c>
    </row>
    <row r="1918" spans="16384:16384" hidden="1" x14ac:dyDescent="0.25">
      <c r="XFD1918" t="s">
        <v>384</v>
      </c>
    </row>
    <row r="1919" spans="16384:16384" hidden="1" x14ac:dyDescent="0.25">
      <c r="XFD1919" t="s">
        <v>384</v>
      </c>
    </row>
    <row r="1920" spans="16384:16384" hidden="1" x14ac:dyDescent="0.25">
      <c r="XFD1920" t="s">
        <v>384</v>
      </c>
    </row>
    <row r="1921" spans="16384:16384" hidden="1" x14ac:dyDescent="0.25">
      <c r="XFD1921" t="s">
        <v>384</v>
      </c>
    </row>
    <row r="1922" spans="16384:16384" hidden="1" x14ac:dyDescent="0.25">
      <c r="XFD1922" t="s">
        <v>384</v>
      </c>
    </row>
    <row r="1923" spans="16384:16384" hidden="1" x14ac:dyDescent="0.25">
      <c r="XFD1923" t="s">
        <v>384</v>
      </c>
    </row>
    <row r="1924" spans="16384:16384" hidden="1" x14ac:dyDescent="0.25">
      <c r="XFD1924" t="s">
        <v>384</v>
      </c>
    </row>
    <row r="1925" spans="16384:16384" hidden="1" x14ac:dyDescent="0.25">
      <c r="XFD1925" t="s">
        <v>384</v>
      </c>
    </row>
    <row r="1926" spans="16384:16384" hidden="1" x14ac:dyDescent="0.25">
      <c r="XFD1926" t="s">
        <v>384</v>
      </c>
    </row>
    <row r="1927" spans="16384:16384" hidden="1" x14ac:dyDescent="0.25">
      <c r="XFD1927" t="s">
        <v>384</v>
      </c>
    </row>
    <row r="1928" spans="16384:16384" hidden="1" x14ac:dyDescent="0.25">
      <c r="XFD1928" t="s">
        <v>384</v>
      </c>
    </row>
    <row r="1929" spans="16384:16384" hidden="1" x14ac:dyDescent="0.25">
      <c r="XFD1929" t="s">
        <v>384</v>
      </c>
    </row>
    <row r="1930" spans="16384:16384" hidden="1" x14ac:dyDescent="0.25">
      <c r="XFD1930" t="s">
        <v>384</v>
      </c>
    </row>
    <row r="1931" spans="16384:16384" hidden="1" x14ac:dyDescent="0.25">
      <c r="XFD1931" t="s">
        <v>384</v>
      </c>
    </row>
    <row r="1932" spans="16384:16384" hidden="1" x14ac:dyDescent="0.25">
      <c r="XFD1932" t="s">
        <v>384</v>
      </c>
    </row>
    <row r="1933" spans="16384:16384" hidden="1" x14ac:dyDescent="0.25">
      <c r="XFD1933" t="s">
        <v>384</v>
      </c>
    </row>
    <row r="1934" spans="16384:16384" hidden="1" x14ac:dyDescent="0.25">
      <c r="XFD1934" t="s">
        <v>384</v>
      </c>
    </row>
    <row r="1935" spans="16384:16384" hidden="1" x14ac:dyDescent="0.25">
      <c r="XFD1935" t="s">
        <v>384</v>
      </c>
    </row>
    <row r="1936" spans="16384:16384" hidden="1" x14ac:dyDescent="0.25">
      <c r="XFD1936" t="s">
        <v>384</v>
      </c>
    </row>
    <row r="1937" spans="16384:16384" hidden="1" x14ac:dyDescent="0.25">
      <c r="XFD1937" t="s">
        <v>384</v>
      </c>
    </row>
    <row r="1938" spans="16384:16384" hidden="1" x14ac:dyDescent="0.25">
      <c r="XFD1938" t="s">
        <v>384</v>
      </c>
    </row>
    <row r="1939" spans="16384:16384" hidden="1" x14ac:dyDescent="0.25">
      <c r="XFD1939" t="s">
        <v>384</v>
      </c>
    </row>
    <row r="1940" spans="16384:16384" hidden="1" x14ac:dyDescent="0.25">
      <c r="XFD1940" t="s">
        <v>384</v>
      </c>
    </row>
    <row r="1941" spans="16384:16384" hidden="1" x14ac:dyDescent="0.25">
      <c r="XFD1941" t="s">
        <v>384</v>
      </c>
    </row>
    <row r="1942" spans="16384:16384" hidden="1" x14ac:dyDescent="0.25">
      <c r="XFD1942" t="s">
        <v>384</v>
      </c>
    </row>
    <row r="1943" spans="16384:16384" hidden="1" x14ac:dyDescent="0.25">
      <c r="XFD1943" t="s">
        <v>384</v>
      </c>
    </row>
    <row r="1944" spans="16384:16384" hidden="1" x14ac:dyDescent="0.25">
      <c r="XFD1944" t="s">
        <v>384</v>
      </c>
    </row>
    <row r="1945" spans="16384:16384" hidden="1" x14ac:dyDescent="0.25">
      <c r="XFD1945" t="s">
        <v>384</v>
      </c>
    </row>
    <row r="1946" spans="16384:16384" hidden="1" x14ac:dyDescent="0.25">
      <c r="XFD1946" t="s">
        <v>384</v>
      </c>
    </row>
    <row r="1947" spans="16384:16384" hidden="1" x14ac:dyDescent="0.25">
      <c r="XFD1947" t="s">
        <v>384</v>
      </c>
    </row>
    <row r="1948" spans="16384:16384" hidden="1" x14ac:dyDescent="0.25">
      <c r="XFD1948" t="s">
        <v>384</v>
      </c>
    </row>
    <row r="1949" spans="16384:16384" hidden="1" x14ac:dyDescent="0.25">
      <c r="XFD1949" t="s">
        <v>384</v>
      </c>
    </row>
    <row r="1950" spans="16384:16384" hidden="1" x14ac:dyDescent="0.25">
      <c r="XFD1950" t="s">
        <v>384</v>
      </c>
    </row>
    <row r="1951" spans="16384:16384" hidden="1" x14ac:dyDescent="0.25">
      <c r="XFD1951" t="s">
        <v>384</v>
      </c>
    </row>
    <row r="1952" spans="16384:16384" hidden="1" x14ac:dyDescent="0.25">
      <c r="XFD1952" t="s">
        <v>384</v>
      </c>
    </row>
    <row r="1953" spans="16384:16384" hidden="1" x14ac:dyDescent="0.25">
      <c r="XFD1953" t="s">
        <v>384</v>
      </c>
    </row>
    <row r="1954" spans="16384:16384" hidden="1" x14ac:dyDescent="0.25">
      <c r="XFD1954" t="s">
        <v>384</v>
      </c>
    </row>
    <row r="1955" spans="16384:16384" hidden="1" x14ac:dyDescent="0.25">
      <c r="XFD1955" t="s">
        <v>384</v>
      </c>
    </row>
    <row r="1956" spans="16384:16384" hidden="1" x14ac:dyDescent="0.25">
      <c r="XFD1956" t="s">
        <v>384</v>
      </c>
    </row>
    <row r="1957" spans="16384:16384" hidden="1" x14ac:dyDescent="0.25">
      <c r="XFD1957" t="s">
        <v>384</v>
      </c>
    </row>
    <row r="1958" spans="16384:16384" hidden="1" x14ac:dyDescent="0.25">
      <c r="XFD1958" t="s">
        <v>384</v>
      </c>
    </row>
    <row r="1959" spans="16384:16384" hidden="1" x14ac:dyDescent="0.25">
      <c r="XFD1959" t="s">
        <v>384</v>
      </c>
    </row>
    <row r="1960" spans="16384:16384" hidden="1" x14ac:dyDescent="0.25">
      <c r="XFD1960" t="s">
        <v>384</v>
      </c>
    </row>
    <row r="1961" spans="16384:16384" hidden="1" x14ac:dyDescent="0.25">
      <c r="XFD1961" t="s">
        <v>384</v>
      </c>
    </row>
    <row r="1962" spans="16384:16384" hidden="1" x14ac:dyDescent="0.25">
      <c r="XFD1962" t="s">
        <v>384</v>
      </c>
    </row>
    <row r="1963" spans="16384:16384" hidden="1" x14ac:dyDescent="0.25">
      <c r="XFD1963" t="s">
        <v>384</v>
      </c>
    </row>
    <row r="1964" spans="16384:16384" hidden="1" x14ac:dyDescent="0.25">
      <c r="XFD1964" t="s">
        <v>384</v>
      </c>
    </row>
    <row r="1965" spans="16384:16384" hidden="1" x14ac:dyDescent="0.25">
      <c r="XFD1965" t="s">
        <v>384</v>
      </c>
    </row>
    <row r="1966" spans="16384:16384" hidden="1" x14ac:dyDescent="0.25">
      <c r="XFD1966" t="s">
        <v>384</v>
      </c>
    </row>
    <row r="1967" spans="16384:16384" hidden="1" x14ac:dyDescent="0.25">
      <c r="XFD1967" t="s">
        <v>384</v>
      </c>
    </row>
    <row r="1968" spans="16384:16384" hidden="1" x14ac:dyDescent="0.25">
      <c r="XFD1968" t="s">
        <v>384</v>
      </c>
    </row>
    <row r="1969" spans="16384:16384" hidden="1" x14ac:dyDescent="0.25">
      <c r="XFD1969" t="s">
        <v>384</v>
      </c>
    </row>
    <row r="1970" spans="16384:16384" hidden="1" x14ac:dyDescent="0.25">
      <c r="XFD1970" t="s">
        <v>384</v>
      </c>
    </row>
    <row r="1971" spans="16384:16384" hidden="1" x14ac:dyDescent="0.25">
      <c r="XFD1971" t="s">
        <v>384</v>
      </c>
    </row>
    <row r="1972" spans="16384:16384" hidden="1" x14ac:dyDescent="0.25">
      <c r="XFD1972" t="s">
        <v>384</v>
      </c>
    </row>
    <row r="1973" spans="16384:16384" hidden="1" x14ac:dyDescent="0.25">
      <c r="XFD1973" t="s">
        <v>384</v>
      </c>
    </row>
    <row r="1974" spans="16384:16384" hidden="1" x14ac:dyDescent="0.25">
      <c r="XFD1974" t="s">
        <v>384</v>
      </c>
    </row>
    <row r="1975" spans="16384:16384" hidden="1" x14ac:dyDescent="0.25">
      <c r="XFD1975" t="s">
        <v>384</v>
      </c>
    </row>
    <row r="1976" spans="16384:16384" hidden="1" x14ac:dyDescent="0.25">
      <c r="XFD1976" t="s">
        <v>384</v>
      </c>
    </row>
    <row r="1977" spans="16384:16384" hidden="1" x14ac:dyDescent="0.25">
      <c r="XFD1977" t="s">
        <v>384</v>
      </c>
    </row>
    <row r="1978" spans="16384:16384" hidden="1" x14ac:dyDescent="0.25">
      <c r="XFD1978" t="s">
        <v>384</v>
      </c>
    </row>
    <row r="1979" spans="16384:16384" hidden="1" x14ac:dyDescent="0.25">
      <c r="XFD1979" t="s">
        <v>384</v>
      </c>
    </row>
    <row r="1980" spans="16384:16384" hidden="1" x14ac:dyDescent="0.25">
      <c r="XFD1980" t="s">
        <v>384</v>
      </c>
    </row>
    <row r="1981" spans="16384:16384" hidden="1" x14ac:dyDescent="0.25">
      <c r="XFD1981" t="s">
        <v>384</v>
      </c>
    </row>
    <row r="1982" spans="16384:16384" hidden="1" x14ac:dyDescent="0.25">
      <c r="XFD1982" t="s">
        <v>384</v>
      </c>
    </row>
    <row r="1983" spans="16384:16384" hidden="1" x14ac:dyDescent="0.25">
      <c r="XFD1983" t="s">
        <v>384</v>
      </c>
    </row>
    <row r="1984" spans="16384:16384" hidden="1" x14ac:dyDescent="0.25">
      <c r="XFD1984" t="s">
        <v>384</v>
      </c>
    </row>
    <row r="1985" spans="16384:16384" hidden="1" x14ac:dyDescent="0.25">
      <c r="XFD1985" t="s">
        <v>384</v>
      </c>
    </row>
    <row r="1986" spans="16384:16384" hidden="1" x14ac:dyDescent="0.25">
      <c r="XFD1986" t="s">
        <v>384</v>
      </c>
    </row>
    <row r="1987" spans="16384:16384" hidden="1" x14ac:dyDescent="0.25">
      <c r="XFD1987" t="s">
        <v>384</v>
      </c>
    </row>
    <row r="1988" spans="16384:16384" hidden="1" x14ac:dyDescent="0.25">
      <c r="XFD1988" t="s">
        <v>384</v>
      </c>
    </row>
    <row r="1989" spans="16384:16384" hidden="1" x14ac:dyDescent="0.25">
      <c r="XFD1989" t="s">
        <v>384</v>
      </c>
    </row>
    <row r="1990" spans="16384:16384" hidden="1" x14ac:dyDescent="0.25">
      <c r="XFD1990" t="s">
        <v>384</v>
      </c>
    </row>
    <row r="1991" spans="16384:16384" hidden="1" x14ac:dyDescent="0.25">
      <c r="XFD1991" t="s">
        <v>384</v>
      </c>
    </row>
    <row r="1992" spans="16384:16384" hidden="1" x14ac:dyDescent="0.25">
      <c r="XFD1992" t="s">
        <v>384</v>
      </c>
    </row>
    <row r="1993" spans="16384:16384" hidden="1" x14ac:dyDescent="0.25">
      <c r="XFD1993" t="s">
        <v>384</v>
      </c>
    </row>
    <row r="1994" spans="16384:16384" hidden="1" x14ac:dyDescent="0.25">
      <c r="XFD1994" t="s">
        <v>384</v>
      </c>
    </row>
    <row r="1995" spans="16384:16384" hidden="1" x14ac:dyDescent="0.25">
      <c r="XFD1995" t="s">
        <v>384</v>
      </c>
    </row>
    <row r="1996" spans="16384:16384" hidden="1" x14ac:dyDescent="0.25">
      <c r="XFD1996" t="s">
        <v>384</v>
      </c>
    </row>
    <row r="1997" spans="16384:16384" hidden="1" x14ac:dyDescent="0.25">
      <c r="XFD1997" t="s">
        <v>384</v>
      </c>
    </row>
    <row r="1998" spans="16384:16384" hidden="1" x14ac:dyDescent="0.25">
      <c r="XFD1998" t="s">
        <v>384</v>
      </c>
    </row>
    <row r="1999" spans="16384:16384" hidden="1" x14ac:dyDescent="0.25">
      <c r="XFD1999" t="s">
        <v>384</v>
      </c>
    </row>
    <row r="2000" spans="16384:16384" hidden="1" x14ac:dyDescent="0.25">
      <c r="XFD2000" t="s">
        <v>384</v>
      </c>
    </row>
    <row r="2001" spans="16384:16384" hidden="1" x14ac:dyDescent="0.25">
      <c r="XFD2001" t="s">
        <v>384</v>
      </c>
    </row>
    <row r="2002" spans="16384:16384" hidden="1" x14ac:dyDescent="0.25">
      <c r="XFD2002" t="s">
        <v>384</v>
      </c>
    </row>
    <row r="2003" spans="16384:16384" hidden="1" x14ac:dyDescent="0.25">
      <c r="XFD2003" t="s">
        <v>384</v>
      </c>
    </row>
    <row r="2004" spans="16384:16384" hidden="1" x14ac:dyDescent="0.25">
      <c r="XFD2004" t="s">
        <v>384</v>
      </c>
    </row>
    <row r="2005" spans="16384:16384" hidden="1" x14ac:dyDescent="0.25">
      <c r="XFD2005" t="s">
        <v>384</v>
      </c>
    </row>
    <row r="2006" spans="16384:16384" hidden="1" x14ac:dyDescent="0.25">
      <c r="XFD2006" t="s">
        <v>384</v>
      </c>
    </row>
    <row r="2007" spans="16384:16384" hidden="1" x14ac:dyDescent="0.25">
      <c r="XFD2007" t="s">
        <v>384</v>
      </c>
    </row>
    <row r="2008" spans="16384:16384" hidden="1" x14ac:dyDescent="0.25">
      <c r="XFD2008" t="s">
        <v>384</v>
      </c>
    </row>
    <row r="2009" spans="16384:16384" hidden="1" x14ac:dyDescent="0.25">
      <c r="XFD2009" t="s">
        <v>384</v>
      </c>
    </row>
    <row r="2010" spans="16384:16384" hidden="1" x14ac:dyDescent="0.25">
      <c r="XFD2010" t="s">
        <v>384</v>
      </c>
    </row>
    <row r="2011" spans="16384:16384" hidden="1" x14ac:dyDescent="0.25">
      <c r="XFD2011" t="s">
        <v>384</v>
      </c>
    </row>
    <row r="2012" spans="16384:16384" hidden="1" x14ac:dyDescent="0.25">
      <c r="XFD2012" t="s">
        <v>384</v>
      </c>
    </row>
    <row r="2013" spans="16384:16384" hidden="1" x14ac:dyDescent="0.25">
      <c r="XFD2013" t="s">
        <v>384</v>
      </c>
    </row>
    <row r="2014" spans="16384:16384" hidden="1" x14ac:dyDescent="0.25">
      <c r="XFD2014" t="s">
        <v>384</v>
      </c>
    </row>
    <row r="2015" spans="16384:16384" hidden="1" x14ac:dyDescent="0.25">
      <c r="XFD2015" t="s">
        <v>384</v>
      </c>
    </row>
    <row r="2016" spans="16384:16384" hidden="1" x14ac:dyDescent="0.25">
      <c r="XFD2016" t="s">
        <v>384</v>
      </c>
    </row>
    <row r="2017" spans="16384:16384" hidden="1" x14ac:dyDescent="0.25">
      <c r="XFD2017" t="s">
        <v>384</v>
      </c>
    </row>
    <row r="2018" spans="16384:16384" hidden="1" x14ac:dyDescent="0.25">
      <c r="XFD2018" t="s">
        <v>384</v>
      </c>
    </row>
    <row r="2019" spans="16384:16384" hidden="1" x14ac:dyDescent="0.25">
      <c r="XFD2019" t="s">
        <v>384</v>
      </c>
    </row>
    <row r="2020" spans="16384:16384" hidden="1" x14ac:dyDescent="0.25">
      <c r="XFD2020" t="s">
        <v>384</v>
      </c>
    </row>
    <row r="2021" spans="16384:16384" hidden="1" x14ac:dyDescent="0.25">
      <c r="XFD2021" t="s">
        <v>3</v>
      </c>
    </row>
    <row r="2022" spans="16384:16384" hidden="1" x14ac:dyDescent="0.25">
      <c r="XFD2022" t="s">
        <v>4</v>
      </c>
    </row>
    <row r="2023" spans="16384:16384" hidden="1" x14ac:dyDescent="0.25">
      <c r="XFD2023" t="s">
        <v>385</v>
      </c>
    </row>
    <row r="2024" spans="16384:16384" hidden="1" x14ac:dyDescent="0.25">
      <c r="XFD2024" t="s">
        <v>3</v>
      </c>
    </row>
    <row r="2025" spans="16384:16384" hidden="1" x14ac:dyDescent="0.25">
      <c r="XFD2025" t="s">
        <v>384</v>
      </c>
    </row>
    <row r="2026" spans="16384:16384" hidden="1" x14ac:dyDescent="0.25">
      <c r="XFD2026" t="s">
        <v>384</v>
      </c>
    </row>
    <row r="2027" spans="16384:16384" hidden="1" x14ac:dyDescent="0.25">
      <c r="XFD2027" t="s">
        <v>384</v>
      </c>
    </row>
    <row r="2028" spans="16384:16384" hidden="1" x14ac:dyDescent="0.25">
      <c r="XFD2028" t="s">
        <v>384</v>
      </c>
    </row>
    <row r="2029" spans="16384:16384" hidden="1" x14ac:dyDescent="0.25">
      <c r="XFD2029" t="s">
        <v>384</v>
      </c>
    </row>
    <row r="2030" spans="16384:16384" hidden="1" x14ac:dyDescent="0.25">
      <c r="XFD2030" t="s">
        <v>384</v>
      </c>
    </row>
    <row r="2031" spans="16384:16384" hidden="1" x14ac:dyDescent="0.25">
      <c r="XFD2031" t="s">
        <v>384</v>
      </c>
    </row>
    <row r="2032" spans="16384:16384" hidden="1" x14ac:dyDescent="0.25">
      <c r="XFD2032" t="s">
        <v>384</v>
      </c>
    </row>
    <row r="2033" spans="16384:16384" hidden="1" x14ac:dyDescent="0.25">
      <c r="XFD2033" t="s">
        <v>384</v>
      </c>
    </row>
    <row r="2034" spans="16384:16384" hidden="1" x14ac:dyDescent="0.25">
      <c r="XFD2034" t="s">
        <v>384</v>
      </c>
    </row>
    <row r="2035" spans="16384:16384" hidden="1" x14ac:dyDescent="0.25">
      <c r="XFD2035" t="s">
        <v>384</v>
      </c>
    </row>
    <row r="2036" spans="16384:16384" hidden="1" x14ac:dyDescent="0.25">
      <c r="XFD2036" t="s">
        <v>384</v>
      </c>
    </row>
    <row r="2037" spans="16384:16384" hidden="1" x14ac:dyDescent="0.25">
      <c r="XFD2037" t="s">
        <v>384</v>
      </c>
    </row>
    <row r="2038" spans="16384:16384" hidden="1" x14ac:dyDescent="0.25">
      <c r="XFD2038" t="s">
        <v>384</v>
      </c>
    </row>
    <row r="2039" spans="16384:16384" hidden="1" x14ac:dyDescent="0.25">
      <c r="XFD2039" t="s">
        <v>384</v>
      </c>
    </row>
    <row r="2040" spans="16384:16384" hidden="1" x14ac:dyDescent="0.25">
      <c r="XFD2040" t="s">
        <v>384</v>
      </c>
    </row>
    <row r="2041" spans="16384:16384" hidden="1" x14ac:dyDescent="0.25">
      <c r="XFD2041" t="s">
        <v>384</v>
      </c>
    </row>
    <row r="2042" spans="16384:16384" hidden="1" x14ac:dyDescent="0.25">
      <c r="XFD2042" t="s">
        <v>384</v>
      </c>
    </row>
    <row r="2043" spans="16384:16384" hidden="1" x14ac:dyDescent="0.25">
      <c r="XFD2043" t="s">
        <v>384</v>
      </c>
    </row>
    <row r="2044" spans="16384:16384" hidden="1" x14ac:dyDescent="0.25">
      <c r="XFD2044" t="s">
        <v>384</v>
      </c>
    </row>
    <row r="2045" spans="16384:16384" hidden="1" x14ac:dyDescent="0.25">
      <c r="XFD2045" t="s">
        <v>384</v>
      </c>
    </row>
    <row r="2046" spans="16384:16384" hidden="1" x14ac:dyDescent="0.25">
      <c r="XFD2046" t="s">
        <v>384</v>
      </c>
    </row>
    <row r="2047" spans="16384:16384" hidden="1" x14ac:dyDescent="0.25">
      <c r="XFD2047" t="s">
        <v>384</v>
      </c>
    </row>
    <row r="2048" spans="16384:16384" hidden="1" x14ac:dyDescent="0.25">
      <c r="XFD2048" t="s">
        <v>384</v>
      </c>
    </row>
    <row r="2049" spans="16384:16384" hidden="1" x14ac:dyDescent="0.25">
      <c r="XFD2049" t="s">
        <v>384</v>
      </c>
    </row>
    <row r="2050" spans="16384:16384" hidden="1" x14ac:dyDescent="0.25">
      <c r="XFD2050" t="s">
        <v>384</v>
      </c>
    </row>
    <row r="2051" spans="16384:16384" hidden="1" x14ac:dyDescent="0.25">
      <c r="XFD2051" t="s">
        <v>384</v>
      </c>
    </row>
    <row r="2052" spans="16384:16384" hidden="1" x14ac:dyDescent="0.25">
      <c r="XFD2052" t="s">
        <v>384</v>
      </c>
    </row>
    <row r="2053" spans="16384:16384" hidden="1" x14ac:dyDescent="0.25">
      <c r="XFD2053" t="s">
        <v>384</v>
      </c>
    </row>
    <row r="2054" spans="16384:16384" hidden="1" x14ac:dyDescent="0.25">
      <c r="XFD2054" t="s">
        <v>384</v>
      </c>
    </row>
    <row r="2055" spans="16384:16384" hidden="1" x14ac:dyDescent="0.25">
      <c r="XFD2055" t="s">
        <v>384</v>
      </c>
    </row>
    <row r="2056" spans="16384:16384" hidden="1" x14ac:dyDescent="0.25">
      <c r="XFD2056" t="s">
        <v>384</v>
      </c>
    </row>
    <row r="2057" spans="16384:16384" hidden="1" x14ac:dyDescent="0.25">
      <c r="XFD2057" t="s">
        <v>384</v>
      </c>
    </row>
    <row r="2058" spans="16384:16384" hidden="1" x14ac:dyDescent="0.25">
      <c r="XFD2058" t="s">
        <v>384</v>
      </c>
    </row>
    <row r="2059" spans="16384:16384" hidden="1" x14ac:dyDescent="0.25">
      <c r="XFD2059" t="s">
        <v>384</v>
      </c>
    </row>
    <row r="2060" spans="16384:16384" hidden="1" x14ac:dyDescent="0.25">
      <c r="XFD2060" t="s">
        <v>384</v>
      </c>
    </row>
    <row r="2061" spans="16384:16384" hidden="1" x14ac:dyDescent="0.25">
      <c r="XFD2061" t="s">
        <v>384</v>
      </c>
    </row>
    <row r="2062" spans="16384:16384" hidden="1" x14ac:dyDescent="0.25">
      <c r="XFD2062" t="s">
        <v>384</v>
      </c>
    </row>
    <row r="2063" spans="16384:16384" hidden="1" x14ac:dyDescent="0.25">
      <c r="XFD2063" t="s">
        <v>384</v>
      </c>
    </row>
    <row r="2064" spans="16384:16384" hidden="1" x14ac:dyDescent="0.25">
      <c r="XFD2064" t="s">
        <v>384</v>
      </c>
    </row>
    <row r="2065" spans="16384:16384" hidden="1" x14ac:dyDescent="0.25">
      <c r="XFD2065" t="s">
        <v>384</v>
      </c>
    </row>
    <row r="2066" spans="16384:16384" hidden="1" x14ac:dyDescent="0.25">
      <c r="XFD2066" t="s">
        <v>384</v>
      </c>
    </row>
    <row r="2067" spans="16384:16384" hidden="1" x14ac:dyDescent="0.25">
      <c r="XFD2067" t="s">
        <v>384</v>
      </c>
    </row>
    <row r="2068" spans="16384:16384" hidden="1" x14ac:dyDescent="0.25">
      <c r="XFD2068" t="s">
        <v>384</v>
      </c>
    </row>
    <row r="2069" spans="16384:16384" hidden="1" x14ac:dyDescent="0.25">
      <c r="XFD2069" t="s">
        <v>384</v>
      </c>
    </row>
    <row r="2070" spans="16384:16384" hidden="1" x14ac:dyDescent="0.25">
      <c r="XFD2070" t="s">
        <v>384</v>
      </c>
    </row>
    <row r="2071" spans="16384:16384" hidden="1" x14ac:dyDescent="0.25">
      <c r="XFD2071" t="s">
        <v>384</v>
      </c>
    </row>
    <row r="2072" spans="16384:16384" hidden="1" x14ac:dyDescent="0.25">
      <c r="XFD2072" t="s">
        <v>384</v>
      </c>
    </row>
    <row r="2073" spans="16384:16384" hidden="1" x14ac:dyDescent="0.25">
      <c r="XFD2073" t="s">
        <v>384</v>
      </c>
    </row>
    <row r="2074" spans="16384:16384" hidden="1" x14ac:dyDescent="0.25">
      <c r="XFD2074" t="s">
        <v>384</v>
      </c>
    </row>
    <row r="2075" spans="16384:16384" hidden="1" x14ac:dyDescent="0.25">
      <c r="XFD2075" t="s">
        <v>384</v>
      </c>
    </row>
    <row r="2076" spans="16384:16384" hidden="1" x14ac:dyDescent="0.25">
      <c r="XFD2076" t="s">
        <v>384</v>
      </c>
    </row>
    <row r="2077" spans="16384:16384" hidden="1" x14ac:dyDescent="0.25">
      <c r="XFD2077" t="s">
        <v>384</v>
      </c>
    </row>
    <row r="2078" spans="16384:16384" hidden="1" x14ac:dyDescent="0.25">
      <c r="XFD2078" t="s">
        <v>384</v>
      </c>
    </row>
    <row r="2079" spans="16384:16384" hidden="1" x14ac:dyDescent="0.25">
      <c r="XFD2079" t="s">
        <v>384</v>
      </c>
    </row>
    <row r="2080" spans="16384:16384" hidden="1" x14ac:dyDescent="0.25">
      <c r="XFD2080" t="s">
        <v>384</v>
      </c>
    </row>
    <row r="2081" spans="16384:16384" hidden="1" x14ac:dyDescent="0.25">
      <c r="XFD2081" t="s">
        <v>384</v>
      </c>
    </row>
    <row r="2082" spans="16384:16384" hidden="1" x14ac:dyDescent="0.25">
      <c r="XFD2082" t="s">
        <v>384</v>
      </c>
    </row>
    <row r="2083" spans="16384:16384" hidden="1" x14ac:dyDescent="0.25">
      <c r="XFD2083" t="s">
        <v>384</v>
      </c>
    </row>
    <row r="2084" spans="16384:16384" hidden="1" x14ac:dyDescent="0.25">
      <c r="XFD2084" t="s">
        <v>384</v>
      </c>
    </row>
    <row r="2085" spans="16384:16384" hidden="1" x14ac:dyDescent="0.25">
      <c r="XFD2085" t="s">
        <v>384</v>
      </c>
    </row>
    <row r="2086" spans="16384:16384" hidden="1" x14ac:dyDescent="0.25">
      <c r="XFD2086" t="s">
        <v>384</v>
      </c>
    </row>
    <row r="2087" spans="16384:16384" hidden="1" x14ac:dyDescent="0.25">
      <c r="XFD2087" t="s">
        <v>384</v>
      </c>
    </row>
    <row r="2088" spans="16384:16384" hidden="1" x14ac:dyDescent="0.25">
      <c r="XFD2088" t="s">
        <v>384</v>
      </c>
    </row>
    <row r="2089" spans="16384:16384" hidden="1" x14ac:dyDescent="0.25">
      <c r="XFD2089" t="s">
        <v>384</v>
      </c>
    </row>
    <row r="2090" spans="16384:16384" hidden="1" x14ac:dyDescent="0.25">
      <c r="XFD2090" t="s">
        <v>384</v>
      </c>
    </row>
    <row r="2091" spans="16384:16384" hidden="1" x14ac:dyDescent="0.25">
      <c r="XFD2091" t="s">
        <v>384</v>
      </c>
    </row>
    <row r="2092" spans="16384:16384" hidden="1" x14ac:dyDescent="0.25">
      <c r="XFD2092" t="s">
        <v>384</v>
      </c>
    </row>
    <row r="2093" spans="16384:16384" hidden="1" x14ac:dyDescent="0.25">
      <c r="XFD2093" t="s">
        <v>384</v>
      </c>
    </row>
    <row r="2094" spans="16384:16384" hidden="1" x14ac:dyDescent="0.25">
      <c r="XFD2094" t="s">
        <v>384</v>
      </c>
    </row>
    <row r="2095" spans="16384:16384" hidden="1" x14ac:dyDescent="0.25">
      <c r="XFD2095" t="s">
        <v>384</v>
      </c>
    </row>
    <row r="2096" spans="16384:16384" hidden="1" x14ac:dyDescent="0.25">
      <c r="XFD2096" t="s">
        <v>384</v>
      </c>
    </row>
    <row r="2097" spans="16384:16384" hidden="1" x14ac:dyDescent="0.25">
      <c r="XFD2097" t="s">
        <v>384</v>
      </c>
    </row>
    <row r="2098" spans="16384:16384" hidden="1" x14ac:dyDescent="0.25">
      <c r="XFD2098" t="s">
        <v>384</v>
      </c>
    </row>
    <row r="2099" spans="16384:16384" hidden="1" x14ac:dyDescent="0.25">
      <c r="XFD2099" t="s">
        <v>384</v>
      </c>
    </row>
    <row r="2100" spans="16384:16384" hidden="1" x14ac:dyDescent="0.25">
      <c r="XFD2100" t="s">
        <v>384</v>
      </c>
    </row>
    <row r="2101" spans="16384:16384" hidden="1" x14ac:dyDescent="0.25">
      <c r="XFD2101" t="s">
        <v>384</v>
      </c>
    </row>
    <row r="2102" spans="16384:16384" hidden="1" x14ac:dyDescent="0.25">
      <c r="XFD2102" t="s">
        <v>384</v>
      </c>
    </row>
    <row r="2103" spans="16384:16384" hidden="1" x14ac:dyDescent="0.25">
      <c r="XFD2103" t="s">
        <v>384</v>
      </c>
    </row>
    <row r="2104" spans="16384:16384" hidden="1" x14ac:dyDescent="0.25">
      <c r="XFD2104" t="s">
        <v>384</v>
      </c>
    </row>
    <row r="2105" spans="16384:16384" hidden="1" x14ac:dyDescent="0.25">
      <c r="XFD2105" t="s">
        <v>384</v>
      </c>
    </row>
    <row r="2106" spans="16384:16384" hidden="1" x14ac:dyDescent="0.25">
      <c r="XFD2106" t="s">
        <v>384</v>
      </c>
    </row>
    <row r="2107" spans="16384:16384" hidden="1" x14ac:dyDescent="0.25">
      <c r="XFD2107" t="s">
        <v>384</v>
      </c>
    </row>
    <row r="2108" spans="16384:16384" hidden="1" x14ac:dyDescent="0.25">
      <c r="XFD2108" t="s">
        <v>384</v>
      </c>
    </row>
    <row r="2109" spans="16384:16384" hidden="1" x14ac:dyDescent="0.25">
      <c r="XFD2109" t="s">
        <v>384</v>
      </c>
    </row>
    <row r="2110" spans="16384:16384" hidden="1" x14ac:dyDescent="0.25">
      <c r="XFD2110" t="s">
        <v>384</v>
      </c>
    </row>
    <row r="2111" spans="16384:16384" hidden="1" x14ac:dyDescent="0.25">
      <c r="XFD2111" t="s">
        <v>384</v>
      </c>
    </row>
    <row r="2112" spans="16384:16384" hidden="1" x14ac:dyDescent="0.25">
      <c r="XFD2112" t="s">
        <v>384</v>
      </c>
    </row>
    <row r="2113" spans="16384:16384" hidden="1" x14ac:dyDescent="0.25">
      <c r="XFD2113" t="s">
        <v>384</v>
      </c>
    </row>
    <row r="2114" spans="16384:16384" hidden="1" x14ac:dyDescent="0.25">
      <c r="XFD2114" t="s">
        <v>384</v>
      </c>
    </row>
    <row r="2115" spans="16384:16384" hidden="1" x14ac:dyDescent="0.25">
      <c r="XFD2115" t="s">
        <v>384</v>
      </c>
    </row>
    <row r="2116" spans="16384:16384" hidden="1" x14ac:dyDescent="0.25">
      <c r="XFD2116" t="s">
        <v>384</v>
      </c>
    </row>
    <row r="2117" spans="16384:16384" hidden="1" x14ac:dyDescent="0.25">
      <c r="XFD2117" t="s">
        <v>384</v>
      </c>
    </row>
    <row r="2118" spans="16384:16384" hidden="1" x14ac:dyDescent="0.25">
      <c r="XFD2118" t="s">
        <v>384</v>
      </c>
    </row>
    <row r="2119" spans="16384:16384" hidden="1" x14ac:dyDescent="0.25">
      <c r="XFD2119" t="s">
        <v>384</v>
      </c>
    </row>
    <row r="2120" spans="16384:16384" hidden="1" x14ac:dyDescent="0.25">
      <c r="XFD2120" t="s">
        <v>384</v>
      </c>
    </row>
    <row r="2121" spans="16384:16384" hidden="1" x14ac:dyDescent="0.25">
      <c r="XFD2121" t="s">
        <v>384</v>
      </c>
    </row>
    <row r="2122" spans="16384:16384" hidden="1" x14ac:dyDescent="0.25">
      <c r="XFD2122" t="s">
        <v>384</v>
      </c>
    </row>
    <row r="2123" spans="16384:16384" hidden="1" x14ac:dyDescent="0.25">
      <c r="XFD2123" t="s">
        <v>384</v>
      </c>
    </row>
    <row r="2124" spans="16384:16384" hidden="1" x14ac:dyDescent="0.25">
      <c r="XFD2124" t="s">
        <v>384</v>
      </c>
    </row>
    <row r="2125" spans="16384:16384" hidden="1" x14ac:dyDescent="0.25">
      <c r="XFD2125" t="s">
        <v>384</v>
      </c>
    </row>
    <row r="2126" spans="16384:16384" hidden="1" x14ac:dyDescent="0.25">
      <c r="XFD2126" t="s">
        <v>384</v>
      </c>
    </row>
    <row r="2127" spans="16384:16384" hidden="1" x14ac:dyDescent="0.25">
      <c r="XFD2127" t="s">
        <v>384</v>
      </c>
    </row>
    <row r="2128" spans="16384:16384" hidden="1" x14ac:dyDescent="0.25">
      <c r="XFD2128" t="s">
        <v>384</v>
      </c>
    </row>
    <row r="2129" spans="16384:16384" hidden="1" x14ac:dyDescent="0.25">
      <c r="XFD2129" t="s">
        <v>384</v>
      </c>
    </row>
    <row r="2130" spans="16384:16384" hidden="1" x14ac:dyDescent="0.25">
      <c r="XFD2130" t="s">
        <v>384</v>
      </c>
    </row>
    <row r="2131" spans="16384:16384" hidden="1" x14ac:dyDescent="0.25">
      <c r="XFD2131" t="s">
        <v>384</v>
      </c>
    </row>
    <row r="2132" spans="16384:16384" hidden="1" x14ac:dyDescent="0.25">
      <c r="XFD2132" t="s">
        <v>384</v>
      </c>
    </row>
    <row r="2133" spans="16384:16384" hidden="1" x14ac:dyDescent="0.25">
      <c r="XFD2133" t="s">
        <v>384</v>
      </c>
    </row>
    <row r="2134" spans="16384:16384" hidden="1" x14ac:dyDescent="0.25">
      <c r="XFD2134" t="s">
        <v>384</v>
      </c>
    </row>
    <row r="2135" spans="16384:16384" hidden="1" x14ac:dyDescent="0.25">
      <c r="XFD2135" t="s">
        <v>384</v>
      </c>
    </row>
    <row r="2136" spans="16384:16384" hidden="1" x14ac:dyDescent="0.25">
      <c r="XFD2136" t="s">
        <v>384</v>
      </c>
    </row>
    <row r="2137" spans="16384:16384" hidden="1" x14ac:dyDescent="0.25">
      <c r="XFD2137" t="s">
        <v>384</v>
      </c>
    </row>
    <row r="2138" spans="16384:16384" hidden="1" x14ac:dyDescent="0.25">
      <c r="XFD2138" t="s">
        <v>384</v>
      </c>
    </row>
    <row r="2139" spans="16384:16384" hidden="1" x14ac:dyDescent="0.25">
      <c r="XFD2139" t="s">
        <v>384</v>
      </c>
    </row>
    <row r="2140" spans="16384:16384" hidden="1" x14ac:dyDescent="0.25">
      <c r="XFD2140" t="s">
        <v>384</v>
      </c>
    </row>
    <row r="2141" spans="16384:16384" hidden="1" x14ac:dyDescent="0.25">
      <c r="XFD2141" t="s">
        <v>384</v>
      </c>
    </row>
    <row r="2142" spans="16384:16384" hidden="1" x14ac:dyDescent="0.25">
      <c r="XFD2142" t="s">
        <v>384</v>
      </c>
    </row>
    <row r="2143" spans="16384:16384" hidden="1" x14ac:dyDescent="0.25">
      <c r="XFD2143" t="s">
        <v>384</v>
      </c>
    </row>
    <row r="2144" spans="16384:16384" hidden="1" x14ac:dyDescent="0.25">
      <c r="XFD2144" t="s">
        <v>384</v>
      </c>
    </row>
    <row r="2145" spans="16384:16384" hidden="1" x14ac:dyDescent="0.25">
      <c r="XFD2145" t="s">
        <v>384</v>
      </c>
    </row>
    <row r="2146" spans="16384:16384" hidden="1" x14ac:dyDescent="0.25">
      <c r="XFD2146" t="s">
        <v>384</v>
      </c>
    </row>
    <row r="2147" spans="16384:16384" hidden="1" x14ac:dyDescent="0.25">
      <c r="XFD2147" t="s">
        <v>384</v>
      </c>
    </row>
    <row r="2148" spans="16384:16384" hidden="1" x14ac:dyDescent="0.25">
      <c r="XFD2148" t="s">
        <v>384</v>
      </c>
    </row>
    <row r="2149" spans="16384:16384" hidden="1" x14ac:dyDescent="0.25">
      <c r="XFD2149" t="s">
        <v>384</v>
      </c>
    </row>
    <row r="2150" spans="16384:16384" hidden="1" x14ac:dyDescent="0.25">
      <c r="XFD2150" t="s">
        <v>384</v>
      </c>
    </row>
    <row r="2151" spans="16384:16384" hidden="1" x14ac:dyDescent="0.25">
      <c r="XFD2151" t="s">
        <v>384</v>
      </c>
    </row>
    <row r="2152" spans="16384:16384" hidden="1" x14ac:dyDescent="0.25">
      <c r="XFD2152" t="s">
        <v>384</v>
      </c>
    </row>
    <row r="2153" spans="16384:16384" hidden="1" x14ac:dyDescent="0.25">
      <c r="XFD2153" t="s">
        <v>384</v>
      </c>
    </row>
    <row r="2154" spans="16384:16384" hidden="1" x14ac:dyDescent="0.25">
      <c r="XFD2154" t="s">
        <v>384</v>
      </c>
    </row>
    <row r="2155" spans="16384:16384" hidden="1" x14ac:dyDescent="0.25">
      <c r="XFD2155" t="s">
        <v>384</v>
      </c>
    </row>
    <row r="2156" spans="16384:16384" hidden="1" x14ac:dyDescent="0.25">
      <c r="XFD2156" t="s">
        <v>384</v>
      </c>
    </row>
    <row r="2157" spans="16384:16384" hidden="1" x14ac:dyDescent="0.25">
      <c r="XFD2157" t="s">
        <v>384</v>
      </c>
    </row>
    <row r="2158" spans="16384:16384" hidden="1" x14ac:dyDescent="0.25">
      <c r="XFD2158" t="s">
        <v>384</v>
      </c>
    </row>
    <row r="2159" spans="16384:16384" hidden="1" x14ac:dyDescent="0.25">
      <c r="XFD2159" t="s">
        <v>384</v>
      </c>
    </row>
    <row r="2160" spans="16384:16384" hidden="1" x14ac:dyDescent="0.25">
      <c r="XFD2160" t="s">
        <v>384</v>
      </c>
    </row>
    <row r="2161" spans="16384:16384" hidden="1" x14ac:dyDescent="0.25">
      <c r="XFD2161" t="s">
        <v>384</v>
      </c>
    </row>
    <row r="2162" spans="16384:16384" hidden="1" x14ac:dyDescent="0.25">
      <c r="XFD2162" t="s">
        <v>384</v>
      </c>
    </row>
    <row r="2163" spans="16384:16384" hidden="1" x14ac:dyDescent="0.25">
      <c r="XFD2163" t="s">
        <v>384</v>
      </c>
    </row>
    <row r="2164" spans="16384:16384" hidden="1" x14ac:dyDescent="0.25">
      <c r="XFD2164" t="s">
        <v>384</v>
      </c>
    </row>
    <row r="2165" spans="16384:16384" hidden="1" x14ac:dyDescent="0.25">
      <c r="XFD2165" t="s">
        <v>384</v>
      </c>
    </row>
    <row r="2166" spans="16384:16384" hidden="1" x14ac:dyDescent="0.25">
      <c r="XFD2166" t="s">
        <v>384</v>
      </c>
    </row>
    <row r="2167" spans="16384:16384" hidden="1" x14ac:dyDescent="0.25">
      <c r="XFD2167" t="s">
        <v>384</v>
      </c>
    </row>
    <row r="2168" spans="16384:16384" hidden="1" x14ac:dyDescent="0.25">
      <c r="XFD2168" t="s">
        <v>384</v>
      </c>
    </row>
    <row r="2169" spans="16384:16384" hidden="1" x14ac:dyDescent="0.25">
      <c r="XFD2169" t="s">
        <v>384</v>
      </c>
    </row>
    <row r="2170" spans="16384:16384" hidden="1" x14ac:dyDescent="0.25">
      <c r="XFD2170" t="s">
        <v>384</v>
      </c>
    </row>
    <row r="2171" spans="16384:16384" hidden="1" x14ac:dyDescent="0.25">
      <c r="XFD2171" t="s">
        <v>384</v>
      </c>
    </row>
    <row r="2172" spans="16384:16384" hidden="1" x14ac:dyDescent="0.25">
      <c r="XFD2172" t="s">
        <v>384</v>
      </c>
    </row>
    <row r="2173" spans="16384:16384" hidden="1" x14ac:dyDescent="0.25">
      <c r="XFD2173" t="s">
        <v>384</v>
      </c>
    </row>
    <row r="2174" spans="16384:16384" hidden="1" x14ac:dyDescent="0.25">
      <c r="XFD2174" t="s">
        <v>384</v>
      </c>
    </row>
    <row r="2175" spans="16384:16384" hidden="1" x14ac:dyDescent="0.25">
      <c r="XFD2175" t="s">
        <v>384</v>
      </c>
    </row>
    <row r="2176" spans="16384:16384" hidden="1" x14ac:dyDescent="0.25">
      <c r="XFD2176" t="s">
        <v>384</v>
      </c>
    </row>
    <row r="2177" spans="16384:16384" hidden="1" x14ac:dyDescent="0.25">
      <c r="XFD2177" t="s">
        <v>384</v>
      </c>
    </row>
    <row r="2178" spans="16384:16384" hidden="1" x14ac:dyDescent="0.25">
      <c r="XFD2178" t="s">
        <v>384</v>
      </c>
    </row>
    <row r="2179" spans="16384:16384" hidden="1" x14ac:dyDescent="0.25">
      <c r="XFD2179" t="s">
        <v>384</v>
      </c>
    </row>
    <row r="2180" spans="16384:16384" hidden="1" x14ac:dyDescent="0.25">
      <c r="XFD2180" t="s">
        <v>384</v>
      </c>
    </row>
    <row r="2181" spans="16384:16384" hidden="1" x14ac:dyDescent="0.25">
      <c r="XFD2181" t="s">
        <v>384</v>
      </c>
    </row>
    <row r="2182" spans="16384:16384" hidden="1" x14ac:dyDescent="0.25">
      <c r="XFD2182" t="s">
        <v>384</v>
      </c>
    </row>
    <row r="2183" spans="16384:16384" hidden="1" x14ac:dyDescent="0.25">
      <c r="XFD2183" t="s">
        <v>384</v>
      </c>
    </row>
    <row r="2184" spans="16384:16384" hidden="1" x14ac:dyDescent="0.25">
      <c r="XFD2184" t="s">
        <v>384</v>
      </c>
    </row>
    <row r="2185" spans="16384:16384" hidden="1" x14ac:dyDescent="0.25">
      <c r="XFD2185" t="s">
        <v>384</v>
      </c>
    </row>
    <row r="2186" spans="16384:16384" hidden="1" x14ac:dyDescent="0.25">
      <c r="XFD2186" t="s">
        <v>384</v>
      </c>
    </row>
    <row r="2187" spans="16384:16384" hidden="1" x14ac:dyDescent="0.25">
      <c r="XFD2187" t="s">
        <v>384</v>
      </c>
    </row>
    <row r="2188" spans="16384:16384" hidden="1" x14ac:dyDescent="0.25">
      <c r="XFD2188" t="s">
        <v>384</v>
      </c>
    </row>
    <row r="2189" spans="16384:16384" hidden="1" x14ac:dyDescent="0.25">
      <c r="XFD2189" t="s">
        <v>384</v>
      </c>
    </row>
    <row r="2190" spans="16384:16384" hidden="1" x14ac:dyDescent="0.25">
      <c r="XFD2190" t="s">
        <v>384</v>
      </c>
    </row>
    <row r="2191" spans="16384:16384" hidden="1" x14ac:dyDescent="0.25">
      <c r="XFD2191" t="s">
        <v>384</v>
      </c>
    </row>
    <row r="2192" spans="16384:16384" hidden="1" x14ac:dyDescent="0.25">
      <c r="XFD2192" t="s">
        <v>384</v>
      </c>
    </row>
    <row r="2193" spans="16384:16384" hidden="1" x14ac:dyDescent="0.25">
      <c r="XFD2193" t="s">
        <v>384</v>
      </c>
    </row>
    <row r="2194" spans="16384:16384" hidden="1" x14ac:dyDescent="0.25">
      <c r="XFD2194" t="s">
        <v>384</v>
      </c>
    </row>
    <row r="2195" spans="16384:16384" hidden="1" x14ac:dyDescent="0.25">
      <c r="XFD2195" t="s">
        <v>384</v>
      </c>
    </row>
    <row r="2196" spans="16384:16384" hidden="1" x14ac:dyDescent="0.25">
      <c r="XFD2196" t="s">
        <v>384</v>
      </c>
    </row>
    <row r="2197" spans="16384:16384" hidden="1" x14ac:dyDescent="0.25">
      <c r="XFD2197" t="s">
        <v>384</v>
      </c>
    </row>
    <row r="2198" spans="16384:16384" hidden="1" x14ac:dyDescent="0.25">
      <c r="XFD2198" t="s">
        <v>384</v>
      </c>
    </row>
    <row r="2199" spans="16384:16384" hidden="1" x14ac:dyDescent="0.25">
      <c r="XFD2199" t="s">
        <v>384</v>
      </c>
    </row>
    <row r="2200" spans="16384:16384" hidden="1" x14ac:dyDescent="0.25">
      <c r="XFD2200" t="s">
        <v>384</v>
      </c>
    </row>
    <row r="2201" spans="16384:16384" hidden="1" x14ac:dyDescent="0.25">
      <c r="XFD2201" t="s">
        <v>384</v>
      </c>
    </row>
    <row r="2202" spans="16384:16384" hidden="1" x14ac:dyDescent="0.25">
      <c r="XFD2202" t="s">
        <v>384</v>
      </c>
    </row>
    <row r="2203" spans="16384:16384" hidden="1" x14ac:dyDescent="0.25">
      <c r="XFD2203" t="s">
        <v>384</v>
      </c>
    </row>
    <row r="2204" spans="16384:16384" hidden="1" x14ac:dyDescent="0.25">
      <c r="XFD2204" t="s">
        <v>384</v>
      </c>
    </row>
    <row r="2205" spans="16384:16384" hidden="1" x14ac:dyDescent="0.25">
      <c r="XFD2205" t="s">
        <v>384</v>
      </c>
    </row>
    <row r="2206" spans="16384:16384" hidden="1" x14ac:dyDescent="0.25">
      <c r="XFD2206" t="s">
        <v>384</v>
      </c>
    </row>
    <row r="2207" spans="16384:16384" hidden="1" x14ac:dyDescent="0.25">
      <c r="XFD2207" t="s">
        <v>384</v>
      </c>
    </row>
    <row r="2208" spans="16384:16384" hidden="1" x14ac:dyDescent="0.25">
      <c r="XFD2208" t="s">
        <v>384</v>
      </c>
    </row>
    <row r="2209" spans="16384:16384" hidden="1" x14ac:dyDescent="0.25">
      <c r="XFD2209" t="s">
        <v>384</v>
      </c>
    </row>
    <row r="2210" spans="16384:16384" hidden="1" x14ac:dyDescent="0.25">
      <c r="XFD2210" t="s">
        <v>384</v>
      </c>
    </row>
    <row r="2211" spans="16384:16384" hidden="1" x14ac:dyDescent="0.25">
      <c r="XFD2211" t="s">
        <v>384</v>
      </c>
    </row>
    <row r="2212" spans="16384:16384" hidden="1" x14ac:dyDescent="0.25">
      <c r="XFD2212" t="s">
        <v>384</v>
      </c>
    </row>
    <row r="2213" spans="16384:16384" hidden="1" x14ac:dyDescent="0.25">
      <c r="XFD2213" t="s">
        <v>384</v>
      </c>
    </row>
    <row r="2214" spans="16384:16384" hidden="1" x14ac:dyDescent="0.25">
      <c r="XFD2214" t="s">
        <v>384</v>
      </c>
    </row>
    <row r="2215" spans="16384:16384" hidden="1" x14ac:dyDescent="0.25">
      <c r="XFD2215" t="s">
        <v>384</v>
      </c>
    </row>
    <row r="2216" spans="16384:16384" hidden="1" x14ac:dyDescent="0.25">
      <c r="XFD2216" t="s">
        <v>384</v>
      </c>
    </row>
    <row r="2217" spans="16384:16384" hidden="1" x14ac:dyDescent="0.25">
      <c r="XFD2217" t="s">
        <v>384</v>
      </c>
    </row>
    <row r="2218" spans="16384:16384" hidden="1" x14ac:dyDescent="0.25">
      <c r="XFD2218" t="s">
        <v>384</v>
      </c>
    </row>
    <row r="2219" spans="16384:16384" hidden="1" x14ac:dyDescent="0.25">
      <c r="XFD2219" t="s">
        <v>384</v>
      </c>
    </row>
    <row r="2220" spans="16384:16384" hidden="1" x14ac:dyDescent="0.25">
      <c r="XFD2220" t="s">
        <v>384</v>
      </c>
    </row>
    <row r="2221" spans="16384:16384" hidden="1" x14ac:dyDescent="0.25">
      <c r="XFD2221" t="s">
        <v>384</v>
      </c>
    </row>
    <row r="2222" spans="16384:16384" hidden="1" x14ac:dyDescent="0.25">
      <c r="XFD2222" t="s">
        <v>384</v>
      </c>
    </row>
    <row r="2223" spans="16384:16384" hidden="1" x14ac:dyDescent="0.25">
      <c r="XFD2223" t="s">
        <v>384</v>
      </c>
    </row>
    <row r="2224" spans="16384:16384" hidden="1" x14ac:dyDescent="0.25">
      <c r="XFD2224" t="s">
        <v>384</v>
      </c>
    </row>
    <row r="2225" spans="16384:16384" hidden="1" x14ac:dyDescent="0.25">
      <c r="XFD2225" t="s">
        <v>384</v>
      </c>
    </row>
    <row r="2226" spans="16384:16384" hidden="1" x14ac:dyDescent="0.25">
      <c r="XFD2226" t="s">
        <v>384</v>
      </c>
    </row>
    <row r="2227" spans="16384:16384" hidden="1" x14ac:dyDescent="0.25">
      <c r="XFD2227" t="s">
        <v>384</v>
      </c>
    </row>
    <row r="2228" spans="16384:16384" hidden="1" x14ac:dyDescent="0.25">
      <c r="XFD2228" t="s">
        <v>384</v>
      </c>
    </row>
    <row r="2229" spans="16384:16384" hidden="1" x14ac:dyDescent="0.25">
      <c r="XFD2229" t="s">
        <v>384</v>
      </c>
    </row>
    <row r="2230" spans="16384:16384" hidden="1" x14ac:dyDescent="0.25">
      <c r="XFD2230" t="s">
        <v>384</v>
      </c>
    </row>
    <row r="2231" spans="16384:16384" hidden="1" x14ac:dyDescent="0.25">
      <c r="XFD2231" t="s">
        <v>384</v>
      </c>
    </row>
    <row r="2232" spans="16384:16384" hidden="1" x14ac:dyDescent="0.25">
      <c r="XFD2232" t="s">
        <v>384</v>
      </c>
    </row>
    <row r="2233" spans="16384:16384" hidden="1" x14ac:dyDescent="0.25">
      <c r="XFD2233" t="s">
        <v>384</v>
      </c>
    </row>
    <row r="2234" spans="16384:16384" hidden="1" x14ac:dyDescent="0.25">
      <c r="XFD2234" t="s">
        <v>384</v>
      </c>
    </row>
    <row r="2235" spans="16384:16384" hidden="1" x14ac:dyDescent="0.25">
      <c r="XFD2235" t="s">
        <v>384</v>
      </c>
    </row>
    <row r="2236" spans="16384:16384" hidden="1" x14ac:dyDescent="0.25">
      <c r="XFD2236" t="s">
        <v>384</v>
      </c>
    </row>
    <row r="2237" spans="16384:16384" hidden="1" x14ac:dyDescent="0.25">
      <c r="XFD2237" t="s">
        <v>384</v>
      </c>
    </row>
    <row r="2238" spans="16384:16384" hidden="1" x14ac:dyDescent="0.25">
      <c r="XFD2238" t="s">
        <v>384</v>
      </c>
    </row>
    <row r="2239" spans="16384:16384" hidden="1" x14ac:dyDescent="0.25">
      <c r="XFD2239" t="s">
        <v>384</v>
      </c>
    </row>
    <row r="2240" spans="16384:16384" hidden="1" x14ac:dyDescent="0.25">
      <c r="XFD2240" t="s">
        <v>384</v>
      </c>
    </row>
    <row r="2241" spans="16384:16384" hidden="1" x14ac:dyDescent="0.25">
      <c r="XFD2241" t="s">
        <v>384</v>
      </c>
    </row>
    <row r="2242" spans="16384:16384" hidden="1" x14ac:dyDescent="0.25">
      <c r="XFD2242" t="s">
        <v>384</v>
      </c>
    </row>
    <row r="2243" spans="16384:16384" hidden="1" x14ac:dyDescent="0.25">
      <c r="XFD2243" t="s">
        <v>384</v>
      </c>
    </row>
    <row r="2244" spans="16384:16384" hidden="1" x14ac:dyDescent="0.25">
      <c r="XFD2244" t="s">
        <v>384</v>
      </c>
    </row>
    <row r="2245" spans="16384:16384" hidden="1" x14ac:dyDescent="0.25">
      <c r="XFD2245" t="s">
        <v>384</v>
      </c>
    </row>
    <row r="2246" spans="16384:16384" hidden="1" x14ac:dyDescent="0.25">
      <c r="XFD2246" t="s">
        <v>384</v>
      </c>
    </row>
    <row r="2247" spans="16384:16384" hidden="1" x14ac:dyDescent="0.25">
      <c r="XFD2247" t="s">
        <v>384</v>
      </c>
    </row>
    <row r="2248" spans="16384:16384" hidden="1" x14ac:dyDescent="0.25">
      <c r="XFD2248" t="s">
        <v>384</v>
      </c>
    </row>
    <row r="2249" spans="16384:16384" hidden="1" x14ac:dyDescent="0.25">
      <c r="XFD2249" t="s">
        <v>3</v>
      </c>
    </row>
    <row r="2250" spans="16384:16384" hidden="1" x14ac:dyDescent="0.25">
      <c r="XFD2250" t="s">
        <v>3</v>
      </c>
    </row>
    <row r="2251" spans="16384:16384" hidden="1" x14ac:dyDescent="0.25">
      <c r="XFD2251" t="s">
        <v>3</v>
      </c>
    </row>
  </sheetData>
  <mergeCells count="2">
    <mergeCell ref="C9:K9"/>
    <mergeCell ref="C12:K12"/>
  </mergeCells>
  <pageMargins left="0.7" right="0.7" top="0.75" bottom="0.75" header="0.3" footer="0.3"/>
  <pageSetup orientation="portrait" r:id="rId1"/>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27"/>
  <sheetViews>
    <sheetView topLeftCell="N1" zoomScale="80" zoomScaleNormal="80" workbookViewId="0">
      <selection activeCell="XFC1" sqref="XFC1:XFC24"/>
    </sheetView>
  </sheetViews>
  <sheetFormatPr defaultRowHeight="15" x14ac:dyDescent="0.25"/>
  <cols>
    <col min="1" max="1" width="16.28515625" bestFit="1" customWidth="1"/>
    <col min="2" max="2" width="1.7109375" customWidth="1"/>
    <col min="4" max="4" width="1.28515625" customWidth="1"/>
    <col min="5" max="5" width="17.42578125" customWidth="1"/>
    <col min="6" max="7" width="14.85546875" bestFit="1" customWidth="1"/>
    <col min="8" max="8" width="2.7109375" customWidth="1"/>
    <col min="9" max="9" width="9" customWidth="1"/>
    <col min="10" max="10" width="2.140625" customWidth="1"/>
    <col min="11" max="11" width="15.7109375" bestFit="1" customWidth="1"/>
    <col min="12" max="12" width="15.7109375" customWidth="1"/>
    <col min="13" max="13" width="2.28515625" customWidth="1"/>
    <col min="14" max="14" width="23.5703125" bestFit="1" customWidth="1"/>
    <col min="15" max="15" width="14.85546875" bestFit="1" customWidth="1"/>
    <col min="16" max="16" width="2.140625" customWidth="1"/>
    <col min="17" max="17" width="19" bestFit="1" customWidth="1"/>
    <col min="18" max="18" width="1.85546875" customWidth="1"/>
    <col min="19" max="19" width="31" bestFit="1" customWidth="1"/>
    <col min="20" max="20" width="1.7109375" customWidth="1"/>
    <col min="22" max="22" width="34.42578125" bestFit="1" customWidth="1"/>
    <col min="23" max="23" width="15.42578125" bestFit="1" customWidth="1"/>
    <col min="24" max="24" width="59.28515625" bestFit="1" customWidth="1"/>
  </cols>
  <sheetData>
    <row r="1" spans="1:41 16383:16383" x14ac:dyDescent="0.25">
      <c r="A1" s="2" t="s">
        <v>2</v>
      </c>
      <c r="C1" s="2" t="s">
        <v>6</v>
      </c>
      <c r="E1" s="2" t="s">
        <v>13</v>
      </c>
      <c r="F1" s="2" t="s">
        <v>14</v>
      </c>
      <c r="G1" s="2" t="s">
        <v>15</v>
      </c>
      <c r="I1" s="2" t="s">
        <v>24</v>
      </c>
      <c r="K1" s="2" t="s">
        <v>22</v>
      </c>
      <c r="L1" s="2" t="s">
        <v>24</v>
      </c>
      <c r="N1" s="2" t="s">
        <v>14</v>
      </c>
      <c r="O1" s="2" t="s">
        <v>25</v>
      </c>
      <c r="Q1" s="2" t="s">
        <v>35</v>
      </c>
      <c r="S1" s="2" t="s">
        <v>311</v>
      </c>
      <c r="U1" t="s">
        <v>289</v>
      </c>
      <c r="V1" t="s">
        <v>292</v>
      </c>
      <c r="AA1" s="48" t="s">
        <v>13</v>
      </c>
      <c r="AB1" s="48" t="s">
        <v>14</v>
      </c>
      <c r="AC1" s="48" t="s">
        <v>367</v>
      </c>
      <c r="AD1" s="48" t="s">
        <v>368</v>
      </c>
      <c r="AE1" s="48" t="s">
        <v>29</v>
      </c>
      <c r="AF1" s="48" t="s">
        <v>30</v>
      </c>
      <c r="AG1" s="48" t="s">
        <v>31</v>
      </c>
      <c r="AH1" s="48" t="s">
        <v>24</v>
      </c>
      <c r="AI1" s="48" t="s">
        <v>369</v>
      </c>
      <c r="AJ1" s="48" t="s">
        <v>15</v>
      </c>
      <c r="AK1" s="48" t="s">
        <v>370</v>
      </c>
      <c r="AL1" s="48" t="s">
        <v>32</v>
      </c>
      <c r="AM1" s="48" t="s">
        <v>371</v>
      </c>
      <c r="AN1" s="48" t="s">
        <v>33</v>
      </c>
      <c r="AO1" s="48" t="s">
        <v>34</v>
      </c>
    </row>
    <row r="2" spans="1:41 16383:16383" x14ac:dyDescent="0.25">
      <c r="A2" s="1" t="s">
        <v>3</v>
      </c>
      <c r="C2" s="1" t="s">
        <v>7</v>
      </c>
      <c r="E2" s="1" t="s">
        <v>16</v>
      </c>
      <c r="F2" s="1" t="s">
        <v>16</v>
      </c>
      <c r="G2" s="3" t="s">
        <v>8</v>
      </c>
      <c r="I2" s="3" t="s">
        <v>17</v>
      </c>
      <c r="K2" s="1" t="s">
        <v>23</v>
      </c>
      <c r="L2" s="1"/>
      <c r="N2" s="1" t="s">
        <v>43</v>
      </c>
      <c r="O2" s="4" t="s">
        <v>26</v>
      </c>
      <c r="Q2" s="1" t="s">
        <v>29</v>
      </c>
      <c r="R2" s="6"/>
      <c r="S2" s="30" t="s">
        <v>312</v>
      </c>
      <c r="U2" t="s">
        <v>288</v>
      </c>
      <c r="V2" t="s">
        <v>293</v>
      </c>
      <c r="AA2" s="48" t="s">
        <v>375</v>
      </c>
      <c r="AB2" s="48" t="s">
        <v>127</v>
      </c>
      <c r="AC2" s="48" t="s">
        <v>376</v>
      </c>
      <c r="AD2" s="49">
        <v>43035</v>
      </c>
      <c r="AE2" s="48" t="s">
        <v>365</v>
      </c>
      <c r="AF2" s="48">
        <v>35000</v>
      </c>
      <c r="AG2" s="48" t="s">
        <v>364</v>
      </c>
      <c r="AH2" s="48" t="s">
        <v>372</v>
      </c>
      <c r="AI2" s="48">
        <v>210</v>
      </c>
      <c r="AJ2" s="48" t="s">
        <v>366</v>
      </c>
      <c r="AK2" s="48" t="s">
        <v>373</v>
      </c>
      <c r="AL2" s="48" t="s">
        <v>374</v>
      </c>
      <c r="AM2" s="48">
        <v>4902384</v>
      </c>
      <c r="AN2" s="48">
        <v>7350000</v>
      </c>
      <c r="AO2" s="49">
        <v>43039</v>
      </c>
      <c r="XFC2" t="s">
        <v>189</v>
      </c>
    </row>
    <row r="3" spans="1:41 16383:16383" ht="18" customHeight="1" x14ac:dyDescent="0.25">
      <c r="A3" s="1" t="s">
        <v>4</v>
      </c>
      <c r="E3" s="1"/>
      <c r="F3" s="1"/>
      <c r="G3" s="3" t="s">
        <v>12</v>
      </c>
      <c r="I3" s="3" t="s">
        <v>18</v>
      </c>
      <c r="K3" s="5" t="s">
        <v>5</v>
      </c>
      <c r="L3" s="1" t="s">
        <v>27</v>
      </c>
      <c r="Q3" s="1" t="s">
        <v>30</v>
      </c>
      <c r="R3" s="6"/>
      <c r="S3" s="30" t="s">
        <v>313</v>
      </c>
      <c r="U3" t="s">
        <v>290</v>
      </c>
      <c r="V3" s="29" t="s">
        <v>360</v>
      </c>
      <c r="XFC3" t="s">
        <v>397</v>
      </c>
    </row>
    <row r="4" spans="1:41 16383:16383" ht="17.25" customHeight="1" x14ac:dyDescent="0.25">
      <c r="A4" s="1" t="s">
        <v>5</v>
      </c>
      <c r="E4" s="1"/>
      <c r="F4" s="1"/>
      <c r="G4" s="3" t="s">
        <v>9</v>
      </c>
      <c r="I4" s="3" t="s">
        <v>19</v>
      </c>
      <c r="L4" s="1" t="s">
        <v>28</v>
      </c>
      <c r="Q4" s="1" t="s">
        <v>31</v>
      </c>
      <c r="R4" s="6"/>
      <c r="S4" s="30" t="s">
        <v>314</v>
      </c>
      <c r="U4" t="s">
        <v>291</v>
      </c>
      <c r="V4" t="str">
        <f>"Traiana T0 Matching-EOD Recap " &amp; TEXT(Macro!C7,"YYYY/MM/DD")</f>
        <v>Traiana T0 Matching-EOD Recap 2018/01/03</v>
      </c>
    </row>
    <row r="5" spans="1:41 16383:16383" ht="15.75" customHeight="1" x14ac:dyDescent="0.25">
      <c r="E5" s="1"/>
      <c r="F5" s="1"/>
      <c r="G5" s="3" t="s">
        <v>10</v>
      </c>
      <c r="I5" s="3" t="s">
        <v>20</v>
      </c>
      <c r="Q5" s="1" t="s">
        <v>32</v>
      </c>
      <c r="R5" s="6"/>
      <c r="S5" s="30" t="s">
        <v>315</v>
      </c>
      <c r="U5" s="29" t="s">
        <v>294</v>
      </c>
      <c r="V5" s="29" t="s">
        <v>287</v>
      </c>
      <c r="XFC5" t="s">
        <v>253</v>
      </c>
    </row>
    <row r="6" spans="1:41 16383:16383" ht="17.25" customHeight="1" x14ac:dyDescent="0.25">
      <c r="E6" s="1"/>
      <c r="F6" s="1"/>
      <c r="G6" s="3" t="s">
        <v>11</v>
      </c>
      <c r="I6" s="3" t="s">
        <v>21</v>
      </c>
      <c r="Q6" s="1" t="s">
        <v>33</v>
      </c>
      <c r="R6" s="6"/>
      <c r="S6" s="30" t="s">
        <v>316</v>
      </c>
      <c r="XFC6" t="s">
        <v>127</v>
      </c>
    </row>
    <row r="7" spans="1:41 16383:16383" x14ac:dyDescent="0.25">
      <c r="Q7" s="1" t="s">
        <v>34</v>
      </c>
      <c r="R7" s="6"/>
      <c r="S7" s="30" t="s">
        <v>317</v>
      </c>
      <c r="V7" s="50" t="str">
        <f>"Please find below Traiana To matching EOD Recap for "&amp; TEXT(Macro!C7,"YYYY/MM/DD")</f>
        <v>Please find below Traiana To matching EOD Recap for 2018/01/03</v>
      </c>
      <c r="XFC7" t="s">
        <v>162</v>
      </c>
    </row>
    <row r="8" spans="1:41 16383:16383" ht="15.75" thickBot="1" x14ac:dyDescent="0.3">
      <c r="Q8" s="1" t="s">
        <v>36</v>
      </c>
      <c r="R8" s="6"/>
      <c r="S8" s="30" t="s">
        <v>318</v>
      </c>
      <c r="XFC8" t="s">
        <v>268</v>
      </c>
    </row>
    <row r="9" spans="1:41 16383:16383" ht="15.75" thickBot="1" x14ac:dyDescent="0.3">
      <c r="Q9" s="1" t="s">
        <v>13</v>
      </c>
      <c r="R9" s="6"/>
      <c r="S9" s="30" t="s">
        <v>319</v>
      </c>
      <c r="V9" s="7" t="s">
        <v>44</v>
      </c>
      <c r="W9" s="8" t="str">
        <f>"Date" &amp; " " &amp; TEXT(Macro!C7,"YYYY/MM/DD")</f>
        <v>Date 2018/01/03</v>
      </c>
      <c r="X9" s="9"/>
      <c r="XFC9" t="s">
        <v>177</v>
      </c>
    </row>
    <row r="10" spans="1:41 16383:16383" ht="15.75" thickBot="1" x14ac:dyDescent="0.3">
      <c r="Q10" s="1" t="s">
        <v>14</v>
      </c>
      <c r="R10" s="6"/>
      <c r="S10" s="30" t="s">
        <v>320</v>
      </c>
      <c r="V10" s="10"/>
      <c r="W10" s="11" t="str">
        <f>TEXT(Macro!C7,"dddd")</f>
        <v>Wednesday</v>
      </c>
      <c r="X10" s="12" t="s">
        <v>362</v>
      </c>
      <c r="XFC10" t="s">
        <v>52</v>
      </c>
    </row>
    <row r="11" spans="1:41 16383:16383" ht="15.75" thickBot="1" x14ac:dyDescent="0.3">
      <c r="R11" s="6"/>
      <c r="S11" s="30" t="s">
        <v>321</v>
      </c>
      <c r="V11" s="10" t="s">
        <v>45</v>
      </c>
      <c r="W11" s="13">
        <f>SUM(W12:W14)</f>
        <v>31362</v>
      </c>
      <c r="X11" s="12"/>
      <c r="XFC11" t="s">
        <v>54</v>
      </c>
    </row>
    <row r="12" spans="1:41 16383:16383" ht="15" customHeight="1" thickBot="1" x14ac:dyDescent="0.3">
      <c r="R12" s="6"/>
      <c r="S12" s="30" t="s">
        <v>322</v>
      </c>
      <c r="V12" s="10" t="s">
        <v>46</v>
      </c>
      <c r="W12" s="54">
        <v>26784</v>
      </c>
      <c r="X12" s="12"/>
      <c r="XFC12" t="s">
        <v>264</v>
      </c>
    </row>
    <row r="13" spans="1:41 16383:16383" ht="15.75" thickBot="1" x14ac:dyDescent="0.3">
      <c r="N13" t="s">
        <v>356</v>
      </c>
      <c r="Q13" t="s">
        <v>356</v>
      </c>
      <c r="S13" s="30" t="s">
        <v>323</v>
      </c>
      <c r="V13" s="10" t="s">
        <v>47</v>
      </c>
      <c r="W13" s="38">
        <v>2294</v>
      </c>
      <c r="X13" s="12" t="s">
        <v>403</v>
      </c>
    </row>
    <row r="14" spans="1:41 16383:16383" ht="15.75" thickBot="1" x14ac:dyDescent="0.3">
      <c r="S14" s="30" t="s">
        <v>324</v>
      </c>
      <c r="V14" s="10" t="s">
        <v>48</v>
      </c>
      <c r="W14" s="38">
        <v>2284</v>
      </c>
      <c r="X14" s="12"/>
    </row>
    <row r="15" spans="1:41 16383:16383" ht="15.75" thickBot="1" x14ac:dyDescent="0.3">
      <c r="V15" s="10" t="s">
        <v>49</v>
      </c>
      <c r="W15" s="38">
        <v>2260</v>
      </c>
      <c r="X15" s="12" t="s">
        <v>404</v>
      </c>
    </row>
    <row r="16" spans="1:41 16383:16383" ht="15.75" thickBot="1" x14ac:dyDescent="0.3">
      <c r="V16" s="10" t="s">
        <v>50</v>
      </c>
      <c r="W16" s="38">
        <v>24</v>
      </c>
      <c r="X16" s="12" t="s">
        <v>405</v>
      </c>
    </row>
    <row r="17" spans="17:24" ht="15.75" thickBot="1" x14ac:dyDescent="0.3">
      <c r="V17" s="10" t="s">
        <v>51</v>
      </c>
      <c r="W17" s="14">
        <f>W14/W11</f>
        <v>7.2826988074740126E-2</v>
      </c>
      <c r="X17" s="12"/>
    </row>
    <row r="21" spans="17:24" x14ac:dyDescent="0.25">
      <c r="Q21" s="51"/>
    </row>
    <row r="27" spans="17:24" x14ac:dyDescent="0.25">
      <c r="X27" s="50"/>
    </row>
  </sheetData>
  <pageMargins left="0.7" right="0.7" top="0.75" bottom="0.75" header="0.3" footer="0.3"/>
  <pageSetup orientation="portrait" r:id="rId1"/>
  <ignoredErrors>
    <ignoredError sqref="W11" formulaRange="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election sqref="A1:AD4"/>
    </sheetView>
  </sheetViews>
  <sheetFormatPr defaultRowHeight="15" x14ac:dyDescent="0.25"/>
  <sheetData/>
  <sortState ref="B1:I6">
    <sortCondition descending="1" ref="F2"/>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election activeCell="B14" sqref="B14"/>
    </sheetView>
  </sheetViews>
  <sheetFormatPr defaultRowHeight="15" x14ac:dyDescent="0.25"/>
  <cols>
    <col min="1" max="1" width="25.42578125" customWidth="1"/>
    <col min="2" max="2" width="8.28515625" customWidth="1"/>
    <col min="3" max="3" width="56" customWidth="1"/>
    <col min="4" max="4" width="64.85546875" customWidth="1"/>
    <col min="5" max="5" width="18.42578125" customWidth="1"/>
    <col min="6" max="6" width="9.28515625" customWidth="1"/>
    <col min="7" max="7" width="12" bestFit="1" customWidth="1"/>
    <col min="8" max="8" width="12.7109375" bestFit="1" customWidth="1"/>
    <col min="9" max="9" width="13.28515625" bestFit="1" customWidth="1"/>
    <col min="12" max="12" width="9.140625" customWidth="1"/>
  </cols>
  <sheetData>
    <row r="1" spans="1:8" ht="18.75" customHeight="1" x14ac:dyDescent="0.25">
      <c r="A1" s="2" t="s">
        <v>25</v>
      </c>
      <c r="B1" s="2" t="s">
        <v>295</v>
      </c>
      <c r="C1" s="2" t="s">
        <v>296</v>
      </c>
      <c r="D1" s="2" t="s">
        <v>297</v>
      </c>
    </row>
    <row r="2" spans="1:8" x14ac:dyDescent="0.25">
      <c r="A2" s="4" t="s">
        <v>42</v>
      </c>
      <c r="B2" s="1"/>
      <c r="C2" s="1"/>
      <c r="D2" s="1"/>
    </row>
    <row r="3" spans="1:8" ht="50.25" customHeight="1" x14ac:dyDescent="0.25">
      <c r="A3" s="4" t="s">
        <v>38</v>
      </c>
      <c r="B3" s="4" t="s">
        <v>58</v>
      </c>
      <c r="C3" s="4" t="str">
        <f ca="1">"Traiana-MLP Missing Client Block TD " &amp; TEXT(TODAY(),"mmdd")</f>
        <v>Traiana-MLP Missing Client Block TD 0219</v>
      </c>
      <c r="D3" s="20" t="s">
        <v>354</v>
      </c>
    </row>
    <row r="4" spans="1:8" ht="24" customHeight="1" x14ac:dyDescent="0.25">
      <c r="A4" s="4" t="s">
        <v>309</v>
      </c>
      <c r="B4" s="1" t="s">
        <v>57</v>
      </c>
      <c r="C4" s="1" t="str">
        <f ca="1">"Traiana - UBS EB - UBS PB Missing Give-up  TD " &amp; TEXT(TODAY(),"mmdd")</f>
        <v>Traiana - UBS EB - UBS PB Missing Give-up  TD 0219</v>
      </c>
      <c r="D4" s="21" t="s">
        <v>307</v>
      </c>
      <c r="E4" s="4" t="s">
        <v>302</v>
      </c>
      <c r="G4" s="29"/>
      <c r="H4" s="29"/>
    </row>
    <row r="5" spans="1:8" ht="29.25" customHeight="1" x14ac:dyDescent="0.25">
      <c r="A5" s="4" t="s">
        <v>309</v>
      </c>
      <c r="B5" s="1" t="s">
        <v>57</v>
      </c>
      <c r="C5" s="1" t="str">
        <f ca="1">"Traiana - Barclays Capital EB - GS PB Missing Give-up   TD " &amp; TEXT(TODAY(),"mmdd")</f>
        <v>Traiana - Barclays Capital EB - GS PB Missing Give-up   TD 0219</v>
      </c>
      <c r="D5" s="21" t="s">
        <v>347</v>
      </c>
      <c r="E5" s="4" t="s">
        <v>303</v>
      </c>
    </row>
    <row r="6" spans="1:8" ht="36.75" customHeight="1" x14ac:dyDescent="0.25">
      <c r="A6" s="4" t="s">
        <v>39</v>
      </c>
      <c r="B6" s="31" t="s">
        <v>58</v>
      </c>
      <c r="C6" s="4" t="str">
        <f ca="1">"Traiana - Quantity Mismatch TD" &amp; TEXT(TODAY()," mmdd")</f>
        <v>Traiana - Quantity Mismatch TD 0219</v>
      </c>
      <c r="D6" s="21" t="s">
        <v>327</v>
      </c>
      <c r="E6" s="30" t="s">
        <v>30</v>
      </c>
    </row>
    <row r="7" spans="1:8" ht="33.75" customHeight="1" x14ac:dyDescent="0.25">
      <c r="A7" s="4" t="s">
        <v>299</v>
      </c>
      <c r="B7" s="1" t="s">
        <v>58</v>
      </c>
      <c r="C7" s="4" t="str">
        <f ca="1">"Traiana - Price mismatch Trades TD "&amp;TEXT(TODAY()," mmdd")</f>
        <v>Traiana - Price mismatch Trades TD  0219</v>
      </c>
      <c r="D7" s="21" t="s">
        <v>355</v>
      </c>
      <c r="E7" s="42" t="s">
        <v>356</v>
      </c>
    </row>
    <row r="8" spans="1:8" ht="30.75" customHeight="1" x14ac:dyDescent="0.25">
      <c r="A8" s="4" t="s">
        <v>37</v>
      </c>
      <c r="B8" s="1" t="s">
        <v>57</v>
      </c>
      <c r="C8" s="4" t="s">
        <v>298</v>
      </c>
      <c r="D8" s="21" t="s">
        <v>308</v>
      </c>
      <c r="E8" s="31" t="s">
        <v>59</v>
      </c>
    </row>
    <row r="9" spans="1:8" s="29" customFormat="1" ht="36.75" customHeight="1" x14ac:dyDescent="0.25">
      <c r="A9" s="31" t="s">
        <v>325</v>
      </c>
      <c r="B9" s="30" t="s">
        <v>57</v>
      </c>
      <c r="C9" s="31" t="s">
        <v>298</v>
      </c>
      <c r="D9" s="21" t="s">
        <v>348</v>
      </c>
      <c r="E9" s="31" t="s">
        <v>326</v>
      </c>
    </row>
    <row r="10" spans="1:8" ht="30" customHeight="1" x14ac:dyDescent="0.25">
      <c r="A10" s="1" t="s">
        <v>40</v>
      </c>
      <c r="B10" s="1" t="s">
        <v>58</v>
      </c>
      <c r="C10" s="1" t="str">
        <f ca="1">"Traiana - SD Mismatch trades TD " &amp; TEXT(TODAY(),"mmdd")</f>
        <v>Traiana - SD Mismatch trades TD 0219</v>
      </c>
      <c r="D10" s="22" t="s">
        <v>353</v>
      </c>
    </row>
    <row r="11" spans="1:8" ht="38.25" customHeight="1" x14ac:dyDescent="0.25">
      <c r="A11" s="1" t="s">
        <v>41</v>
      </c>
      <c r="B11" s="1" t="s">
        <v>58</v>
      </c>
      <c r="C11" s="1" t="str">
        <f ca="1">"Traiana - SD Mismatch trades TD " &amp; TEXT(TODAY(),"mmdd")</f>
        <v>Traiana - SD Mismatch trades TD 0219</v>
      </c>
      <c r="D11" s="21" t="s">
        <v>352</v>
      </c>
    </row>
    <row r="12" spans="1:8" ht="48" customHeight="1" x14ac:dyDescent="0.25">
      <c r="A12" s="4" t="s">
        <v>300</v>
      </c>
      <c r="B12" s="4" t="s">
        <v>58</v>
      </c>
      <c r="C12" s="4" t="str">
        <f ca="1">"Traiana - Qty  and SD mismatch Trades TD " &amp;TEXT(TODAY(),"mmdd")</f>
        <v>Traiana - Qty  and SD mismatch Trades TD 0219</v>
      </c>
      <c r="D12" s="21" t="s">
        <v>351</v>
      </c>
    </row>
    <row r="13" spans="1:8" ht="50.25" customHeight="1" x14ac:dyDescent="0.25">
      <c r="A13" s="4" t="s">
        <v>310</v>
      </c>
      <c r="B13" s="4" t="s">
        <v>58</v>
      </c>
      <c r="C13" s="4" t="str">
        <f ca="1">"Traiana - Direction mismatch  trade TD " &amp; TEXT(TODAY(),"mmdd")</f>
        <v>Traiana - Direction mismatch  trade TD 0219</v>
      </c>
      <c r="D13" s="21" t="s">
        <v>350</v>
      </c>
    </row>
    <row r="14" spans="1:8" ht="50.25" customHeight="1" x14ac:dyDescent="0.25">
      <c r="A14" s="4" t="s">
        <v>301</v>
      </c>
      <c r="B14" s="4" t="s">
        <v>58</v>
      </c>
      <c r="C14" s="4" t="str">
        <f ca="1">"Traiana -  Currency  mismatch Trades TD " &amp; TEXT(TODAY(),"mmdd")</f>
        <v>Traiana -  Currency  mismatch Trades TD 0219</v>
      </c>
      <c r="D14" s="22" t="s">
        <v>349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25"/>
  <sheetViews>
    <sheetView topLeftCell="A70" workbookViewId="0">
      <selection activeCell="G115" sqref="G115"/>
    </sheetView>
  </sheetViews>
  <sheetFormatPr defaultRowHeight="15" x14ac:dyDescent="0.25"/>
  <cols>
    <col min="1" max="1" width="17" bestFit="1" customWidth="1"/>
    <col min="2" max="2" width="36.85546875" customWidth="1"/>
    <col min="3" max="3" width="50.28515625" customWidth="1"/>
    <col min="8" max="8" width="8.140625" customWidth="1"/>
    <col min="9" max="9" width="100.28515625" bestFit="1" customWidth="1"/>
  </cols>
  <sheetData>
    <row r="1" spans="1:9" x14ac:dyDescent="0.25">
      <c r="A1" s="30" t="s">
        <v>59</v>
      </c>
      <c r="B1" s="30" t="s">
        <v>60</v>
      </c>
      <c r="C1" s="30" t="s">
        <v>61</v>
      </c>
      <c r="H1" s="1" t="s">
        <v>289</v>
      </c>
      <c r="I1" s="1" t="s">
        <v>292</v>
      </c>
    </row>
    <row r="2" spans="1:9" ht="39" x14ac:dyDescent="0.25">
      <c r="A2" s="15" t="s">
        <v>62</v>
      </c>
      <c r="B2" s="16" t="s">
        <v>63</v>
      </c>
      <c r="C2" s="16" t="s">
        <v>357</v>
      </c>
      <c r="H2" s="1" t="s">
        <v>288</v>
      </c>
      <c r="I2" s="1" t="s">
        <v>346</v>
      </c>
    </row>
    <row r="3" spans="1:9" ht="39" x14ac:dyDescent="0.25">
      <c r="A3" s="15" t="s">
        <v>64</v>
      </c>
      <c r="B3" s="16" t="s">
        <v>65</v>
      </c>
      <c r="C3" s="16" t="s">
        <v>357</v>
      </c>
      <c r="H3" s="1" t="s">
        <v>290</v>
      </c>
      <c r="I3" s="45" t="s">
        <v>358</v>
      </c>
    </row>
    <row r="4" spans="1:9" ht="39" x14ac:dyDescent="0.25">
      <c r="A4" s="15" t="s">
        <v>66</v>
      </c>
      <c r="B4" s="16" t="s">
        <v>67</v>
      </c>
      <c r="C4" s="16" t="s">
        <v>357</v>
      </c>
    </row>
    <row r="5" spans="1:9" ht="39" x14ac:dyDescent="0.25">
      <c r="A5" s="15" t="s">
        <v>68</v>
      </c>
      <c r="B5" s="16" t="s">
        <v>69</v>
      </c>
      <c r="C5" s="16" t="s">
        <v>357</v>
      </c>
      <c r="H5" s="32" t="s">
        <v>328</v>
      </c>
    </row>
    <row r="6" spans="1:9" ht="39" x14ac:dyDescent="0.25">
      <c r="A6" s="15" t="s">
        <v>70</v>
      </c>
      <c r="B6" s="16" t="s">
        <v>71</v>
      </c>
      <c r="C6" s="16" t="s">
        <v>357</v>
      </c>
      <c r="H6" s="30" t="s">
        <v>289</v>
      </c>
      <c r="I6" s="30" t="s">
        <v>292</v>
      </c>
    </row>
    <row r="7" spans="1:9" ht="39" x14ac:dyDescent="0.25">
      <c r="A7" s="15" t="s">
        <v>68</v>
      </c>
      <c r="B7" s="16" t="s">
        <v>72</v>
      </c>
      <c r="C7" s="16" t="s">
        <v>357</v>
      </c>
      <c r="H7" s="30" t="s">
        <v>288</v>
      </c>
      <c r="I7" s="30" t="s">
        <v>293</v>
      </c>
    </row>
    <row r="8" spans="1:9" ht="39" x14ac:dyDescent="0.25">
      <c r="A8" s="15" t="s">
        <v>73</v>
      </c>
      <c r="B8" s="16" t="s">
        <v>74</v>
      </c>
      <c r="C8" s="16" t="s">
        <v>357</v>
      </c>
      <c r="H8" s="30" t="s">
        <v>290</v>
      </c>
      <c r="I8" s="45" t="s">
        <v>358</v>
      </c>
    </row>
    <row r="9" spans="1:9" ht="39" x14ac:dyDescent="0.25">
      <c r="A9" s="15" t="s">
        <v>75</v>
      </c>
      <c r="B9" s="16" t="s">
        <v>76</v>
      </c>
      <c r="C9" s="16" t="s">
        <v>357</v>
      </c>
      <c r="H9" s="33" t="s">
        <v>291</v>
      </c>
      <c r="I9" t="str">
        <f ca="1">"Traiana T0 Matching-EOD Summary" &amp;" " &amp;TEXT(TODAY(),"yyyy/mm/dd")</f>
        <v>Traiana T0 Matching-EOD Summary 2018/02/19</v>
      </c>
    </row>
    <row r="10" spans="1:9" ht="39.75" thickBot="1" x14ac:dyDescent="0.3">
      <c r="A10" s="15" t="s">
        <v>77</v>
      </c>
      <c r="B10" s="16" t="s">
        <v>78</v>
      </c>
      <c r="C10" s="16" t="s">
        <v>357</v>
      </c>
      <c r="H10" s="33" t="s">
        <v>294</v>
      </c>
      <c r="I10" t="s">
        <v>329</v>
      </c>
    </row>
    <row r="11" spans="1:9" ht="39.75" thickBot="1" x14ac:dyDescent="0.3">
      <c r="A11" s="15" t="s">
        <v>345</v>
      </c>
      <c r="B11" s="17" t="s">
        <v>79</v>
      </c>
      <c r="C11" s="16" t="s">
        <v>357</v>
      </c>
    </row>
    <row r="12" spans="1:9" ht="39" x14ac:dyDescent="0.25">
      <c r="A12" s="15" t="s">
        <v>80</v>
      </c>
      <c r="B12" s="16" t="s">
        <v>81</v>
      </c>
      <c r="C12" s="16" t="s">
        <v>357</v>
      </c>
      <c r="I12" s="29" t="str">
        <f ca="1">"Please find attached EOD Unmatched Summary for  "&amp;TEXT(TODAY(),"yyyy/mm/dd")&amp;", we have updated comments in column C. Kindly review the same and advise."</f>
        <v>Please find attached EOD Unmatched Summary for  2018/02/19, we have updated comments in column C. Kindly review the same and advise.</v>
      </c>
    </row>
    <row r="13" spans="1:9" ht="39" x14ac:dyDescent="0.25">
      <c r="A13" s="15" t="s">
        <v>82</v>
      </c>
      <c r="B13" s="16" t="s">
        <v>83</v>
      </c>
      <c r="C13" s="16" t="s">
        <v>357</v>
      </c>
    </row>
    <row r="14" spans="1:9" ht="39" x14ac:dyDescent="0.25">
      <c r="A14" s="15" t="s">
        <v>84</v>
      </c>
      <c r="B14" s="16" t="s">
        <v>85</v>
      </c>
      <c r="C14" s="16" t="s">
        <v>357</v>
      </c>
    </row>
    <row r="15" spans="1:9" ht="39" x14ac:dyDescent="0.25">
      <c r="A15" s="15" t="s">
        <v>86</v>
      </c>
      <c r="B15" s="16" t="s">
        <v>85</v>
      </c>
      <c r="C15" s="16" t="s">
        <v>357</v>
      </c>
    </row>
    <row r="16" spans="1:9" ht="39" x14ac:dyDescent="0.25">
      <c r="A16" s="15" t="s">
        <v>87</v>
      </c>
      <c r="B16" s="16" t="s">
        <v>88</v>
      </c>
      <c r="C16" s="16" t="s">
        <v>357</v>
      </c>
    </row>
    <row r="17" spans="1:3" ht="39" x14ac:dyDescent="0.25">
      <c r="A17" s="15" t="s">
        <v>89</v>
      </c>
      <c r="B17" s="16" t="s">
        <v>88</v>
      </c>
      <c r="C17" s="16" t="s">
        <v>357</v>
      </c>
    </row>
    <row r="18" spans="1:3" ht="39" x14ac:dyDescent="0.25">
      <c r="A18" s="15" t="s">
        <v>90</v>
      </c>
      <c r="B18" s="16" t="s">
        <v>91</v>
      </c>
      <c r="C18" s="16" t="s">
        <v>357</v>
      </c>
    </row>
    <row r="19" spans="1:3" ht="39" x14ac:dyDescent="0.25">
      <c r="A19" s="15" t="s">
        <v>92</v>
      </c>
      <c r="B19" s="16" t="s">
        <v>93</v>
      </c>
      <c r="C19" s="16" t="s">
        <v>357</v>
      </c>
    </row>
    <row r="20" spans="1:3" ht="39" x14ac:dyDescent="0.25">
      <c r="A20" s="15" t="s">
        <v>94</v>
      </c>
      <c r="B20" s="16" t="s">
        <v>95</v>
      </c>
      <c r="C20" s="16" t="s">
        <v>357</v>
      </c>
    </row>
    <row r="21" spans="1:3" ht="39" x14ac:dyDescent="0.25">
      <c r="A21" s="15" t="s">
        <v>96</v>
      </c>
      <c r="B21" s="16" t="s">
        <v>97</v>
      </c>
      <c r="C21" s="16" t="s">
        <v>357</v>
      </c>
    </row>
    <row r="22" spans="1:3" ht="64.5" x14ac:dyDescent="0.25">
      <c r="A22" s="15" t="s">
        <v>98</v>
      </c>
      <c r="B22" s="16" t="s">
        <v>99</v>
      </c>
      <c r="C22" s="16" t="s">
        <v>357</v>
      </c>
    </row>
    <row r="23" spans="1:3" ht="39" x14ac:dyDescent="0.25">
      <c r="A23" s="15" t="s">
        <v>100</v>
      </c>
      <c r="B23" s="16" t="s">
        <v>101</v>
      </c>
      <c r="C23" s="16" t="s">
        <v>357</v>
      </c>
    </row>
    <row r="24" spans="1:3" ht="39" x14ac:dyDescent="0.25">
      <c r="A24" s="15" t="s">
        <v>102</v>
      </c>
      <c r="B24" s="16" t="s">
        <v>103</v>
      </c>
      <c r="C24" s="16" t="s">
        <v>357</v>
      </c>
    </row>
    <row r="25" spans="1:3" ht="39" x14ac:dyDescent="0.25">
      <c r="A25" s="15" t="s">
        <v>104</v>
      </c>
      <c r="B25" s="16" t="s">
        <v>105</v>
      </c>
      <c r="C25" s="16" t="s">
        <v>357</v>
      </c>
    </row>
    <row r="26" spans="1:3" ht="39" x14ac:dyDescent="0.25">
      <c r="A26" s="15" t="s">
        <v>106</v>
      </c>
      <c r="B26" s="16" t="s">
        <v>107</v>
      </c>
      <c r="C26" s="16" t="s">
        <v>357</v>
      </c>
    </row>
    <row r="27" spans="1:3" ht="51.75" x14ac:dyDescent="0.25">
      <c r="A27" s="15" t="s">
        <v>108</v>
      </c>
      <c r="B27" s="16" t="s">
        <v>109</v>
      </c>
      <c r="C27" s="16" t="s">
        <v>357</v>
      </c>
    </row>
    <row r="28" spans="1:3" ht="39" x14ac:dyDescent="0.25">
      <c r="A28" s="15" t="s">
        <v>110</v>
      </c>
      <c r="B28" s="16" t="s">
        <v>111</v>
      </c>
      <c r="C28" s="16" t="s">
        <v>357</v>
      </c>
    </row>
    <row r="29" spans="1:3" ht="51.75" x14ac:dyDescent="0.25">
      <c r="A29" s="15" t="s">
        <v>112</v>
      </c>
      <c r="B29" s="16" t="s">
        <v>113</v>
      </c>
      <c r="C29" s="16" t="s">
        <v>357</v>
      </c>
    </row>
    <row r="30" spans="1:3" ht="39" x14ac:dyDescent="0.25">
      <c r="A30" s="15" t="s">
        <v>114</v>
      </c>
      <c r="B30" s="16" t="s">
        <v>115</v>
      </c>
      <c r="C30" s="16" t="s">
        <v>357</v>
      </c>
    </row>
    <row r="31" spans="1:3" ht="39" x14ac:dyDescent="0.25">
      <c r="A31" s="15" t="s">
        <v>116</v>
      </c>
      <c r="B31" s="16" t="s">
        <v>363</v>
      </c>
      <c r="C31" s="16" t="s">
        <v>357</v>
      </c>
    </row>
    <row r="32" spans="1:3" ht="39" x14ac:dyDescent="0.25">
      <c r="A32" s="15" t="s">
        <v>117</v>
      </c>
      <c r="B32" s="16" t="s">
        <v>118</v>
      </c>
      <c r="C32" s="16" t="s">
        <v>357</v>
      </c>
    </row>
    <row r="33" spans="1:3" ht="39" x14ac:dyDescent="0.25">
      <c r="A33" s="15" t="s">
        <v>119</v>
      </c>
      <c r="B33" s="16" t="s">
        <v>120</v>
      </c>
      <c r="C33" s="16" t="s">
        <v>357</v>
      </c>
    </row>
    <row r="34" spans="1:3" ht="39" x14ac:dyDescent="0.25">
      <c r="A34" s="15" t="s">
        <v>121</v>
      </c>
      <c r="B34" s="16" t="s">
        <v>122</v>
      </c>
      <c r="C34" s="16" t="s">
        <v>357</v>
      </c>
    </row>
    <row r="35" spans="1:3" ht="39" x14ac:dyDescent="0.25">
      <c r="A35" s="15" t="s">
        <v>54</v>
      </c>
      <c r="B35" s="16" t="s">
        <v>123</v>
      </c>
      <c r="C35" s="16" t="s">
        <v>357</v>
      </c>
    </row>
    <row r="36" spans="1:3" ht="39" x14ac:dyDescent="0.25">
      <c r="A36" s="15" t="s">
        <v>124</v>
      </c>
      <c r="B36" s="16" t="s">
        <v>125</v>
      </c>
      <c r="C36" s="16" t="s">
        <v>357</v>
      </c>
    </row>
    <row r="37" spans="1:3" ht="39" x14ac:dyDescent="0.25">
      <c r="A37" s="15" t="s">
        <v>126</v>
      </c>
      <c r="B37" s="16" t="s">
        <v>125</v>
      </c>
      <c r="C37" s="16" t="s">
        <v>357</v>
      </c>
    </row>
    <row r="38" spans="1:3" ht="39" x14ac:dyDescent="0.25">
      <c r="A38" s="15" t="s">
        <v>127</v>
      </c>
      <c r="B38" s="16" t="s">
        <v>128</v>
      </c>
      <c r="C38" s="16" t="s">
        <v>357</v>
      </c>
    </row>
    <row r="39" spans="1:3" ht="39" x14ac:dyDescent="0.25">
      <c r="A39" s="15" t="s">
        <v>129</v>
      </c>
      <c r="B39" s="16" t="s">
        <v>130</v>
      </c>
      <c r="C39" s="16" t="s">
        <v>357</v>
      </c>
    </row>
    <row r="40" spans="1:3" ht="39" x14ac:dyDescent="0.25">
      <c r="A40" s="15" t="s">
        <v>131</v>
      </c>
      <c r="B40" s="16" t="s">
        <v>132</v>
      </c>
      <c r="C40" s="16" t="s">
        <v>357</v>
      </c>
    </row>
    <row r="41" spans="1:3" ht="39" x14ac:dyDescent="0.25">
      <c r="A41" s="15" t="s">
        <v>133</v>
      </c>
      <c r="B41" s="16" t="s">
        <v>134</v>
      </c>
      <c r="C41" s="16" t="s">
        <v>357</v>
      </c>
    </row>
    <row r="42" spans="1:3" ht="39" x14ac:dyDescent="0.25">
      <c r="A42" s="15" t="s">
        <v>68</v>
      </c>
      <c r="B42" s="16" t="s">
        <v>135</v>
      </c>
      <c r="C42" s="16" t="s">
        <v>357</v>
      </c>
    </row>
    <row r="43" spans="1:3" ht="39" x14ac:dyDescent="0.25">
      <c r="A43" s="15" t="s">
        <v>136</v>
      </c>
      <c r="B43" s="16" t="s">
        <v>137</v>
      </c>
      <c r="C43" s="16" t="s">
        <v>357</v>
      </c>
    </row>
    <row r="44" spans="1:3" ht="39" x14ac:dyDescent="0.25">
      <c r="A44" s="15" t="s">
        <v>138</v>
      </c>
      <c r="B44" s="16" t="s">
        <v>139</v>
      </c>
      <c r="C44" s="16" t="s">
        <v>357</v>
      </c>
    </row>
    <row r="45" spans="1:3" ht="64.5" x14ac:dyDescent="0.25">
      <c r="A45" s="15" t="s">
        <v>140</v>
      </c>
      <c r="B45" s="16" t="s">
        <v>141</v>
      </c>
      <c r="C45" s="16" t="s">
        <v>357</v>
      </c>
    </row>
    <row r="46" spans="1:3" ht="64.5" x14ac:dyDescent="0.25">
      <c r="A46" s="15" t="s">
        <v>142</v>
      </c>
      <c r="B46" s="16" t="s">
        <v>141</v>
      </c>
      <c r="C46" s="16" t="s">
        <v>357</v>
      </c>
    </row>
    <row r="47" spans="1:3" ht="39" x14ac:dyDescent="0.25">
      <c r="A47" s="15" t="s">
        <v>55</v>
      </c>
      <c r="B47" s="16" t="s">
        <v>143</v>
      </c>
      <c r="C47" s="16" t="s">
        <v>357</v>
      </c>
    </row>
    <row r="48" spans="1:3" ht="39" x14ac:dyDescent="0.25">
      <c r="A48" s="15" t="s">
        <v>144</v>
      </c>
      <c r="B48" s="16" t="s">
        <v>145</v>
      </c>
      <c r="C48" s="16" t="s">
        <v>357</v>
      </c>
    </row>
    <row r="49" spans="1:3" ht="77.25" x14ac:dyDescent="0.25">
      <c r="A49" s="15" t="s">
        <v>146</v>
      </c>
      <c r="B49" s="16" t="s">
        <v>359</v>
      </c>
      <c r="C49" s="16" t="s">
        <v>357</v>
      </c>
    </row>
    <row r="50" spans="1:3" ht="39" x14ac:dyDescent="0.25">
      <c r="A50" s="15" t="s">
        <v>147</v>
      </c>
      <c r="B50" s="16" t="s">
        <v>148</v>
      </c>
      <c r="C50" s="16" t="s">
        <v>357</v>
      </c>
    </row>
    <row r="51" spans="1:3" ht="39" x14ac:dyDescent="0.25">
      <c r="A51" s="15" t="s">
        <v>149</v>
      </c>
      <c r="B51" s="16" t="s">
        <v>150</v>
      </c>
      <c r="C51" s="16" t="s">
        <v>357</v>
      </c>
    </row>
    <row r="52" spans="1:3" ht="39" x14ac:dyDescent="0.25">
      <c r="A52" s="15" t="s">
        <v>151</v>
      </c>
      <c r="B52" s="16" t="s">
        <v>152</v>
      </c>
      <c r="C52" s="16" t="s">
        <v>357</v>
      </c>
    </row>
    <row r="53" spans="1:3" ht="39" x14ac:dyDescent="0.25">
      <c r="A53" s="15" t="s">
        <v>153</v>
      </c>
      <c r="B53" s="16" t="s">
        <v>152</v>
      </c>
      <c r="C53" s="16" t="s">
        <v>357</v>
      </c>
    </row>
    <row r="54" spans="1:3" ht="39" x14ac:dyDescent="0.25">
      <c r="A54" s="15" t="s">
        <v>154</v>
      </c>
      <c r="B54" s="18" t="s">
        <v>155</v>
      </c>
      <c r="C54" s="16" t="s">
        <v>357</v>
      </c>
    </row>
    <row r="55" spans="1:3" ht="39" x14ac:dyDescent="0.25">
      <c r="A55" s="15" t="s">
        <v>156</v>
      </c>
      <c r="B55" s="16" t="s">
        <v>157</v>
      </c>
      <c r="C55" s="16" t="s">
        <v>357</v>
      </c>
    </row>
    <row r="56" spans="1:3" ht="39" x14ac:dyDescent="0.25">
      <c r="A56" s="15" t="s">
        <v>158</v>
      </c>
      <c r="B56" s="16" t="s">
        <v>159</v>
      </c>
      <c r="C56" s="16" t="s">
        <v>357</v>
      </c>
    </row>
    <row r="57" spans="1:3" ht="39" x14ac:dyDescent="0.25">
      <c r="A57" s="15" t="s">
        <v>160</v>
      </c>
      <c r="B57" s="16" t="s">
        <v>161</v>
      </c>
      <c r="C57" s="16" t="s">
        <v>357</v>
      </c>
    </row>
    <row r="58" spans="1:3" ht="39" x14ac:dyDescent="0.25">
      <c r="A58" s="15" t="s">
        <v>162</v>
      </c>
      <c r="B58" s="16" t="s">
        <v>163</v>
      </c>
      <c r="C58" s="16" t="s">
        <v>357</v>
      </c>
    </row>
    <row r="59" spans="1:3" ht="39" x14ac:dyDescent="0.25">
      <c r="A59" s="15" t="s">
        <v>164</v>
      </c>
      <c r="B59" s="16" t="s">
        <v>165</v>
      </c>
      <c r="C59" s="16" t="s">
        <v>357</v>
      </c>
    </row>
    <row r="60" spans="1:3" ht="39" x14ac:dyDescent="0.25">
      <c r="A60" s="15" t="s">
        <v>53</v>
      </c>
      <c r="B60" s="16" t="s">
        <v>166</v>
      </c>
      <c r="C60" s="16" t="s">
        <v>357</v>
      </c>
    </row>
    <row r="61" spans="1:3" ht="39" x14ac:dyDescent="0.25">
      <c r="A61" s="15" t="s">
        <v>167</v>
      </c>
      <c r="B61" s="16" t="s">
        <v>168</v>
      </c>
      <c r="C61" s="16" t="s">
        <v>357</v>
      </c>
    </row>
    <row r="62" spans="1:3" ht="39" x14ac:dyDescent="0.25">
      <c r="A62" s="15" t="s">
        <v>169</v>
      </c>
      <c r="B62" s="16" t="s">
        <v>170</v>
      </c>
      <c r="C62" s="16" t="s">
        <v>357</v>
      </c>
    </row>
    <row r="63" spans="1:3" ht="39" x14ac:dyDescent="0.25">
      <c r="A63" s="15" t="s">
        <v>171</v>
      </c>
      <c r="B63" s="16" t="s">
        <v>172</v>
      </c>
      <c r="C63" s="16" t="s">
        <v>357</v>
      </c>
    </row>
    <row r="64" spans="1:3" ht="39" x14ac:dyDescent="0.25">
      <c r="A64" s="15" t="s">
        <v>173</v>
      </c>
      <c r="B64" s="16" t="s">
        <v>174</v>
      </c>
      <c r="C64" s="16" t="s">
        <v>357</v>
      </c>
    </row>
    <row r="65" spans="1:3" ht="39" x14ac:dyDescent="0.25">
      <c r="A65" s="15" t="s">
        <v>175</v>
      </c>
      <c r="B65" s="16" t="s">
        <v>176</v>
      </c>
      <c r="C65" s="16" t="s">
        <v>357</v>
      </c>
    </row>
    <row r="66" spans="1:3" ht="39" x14ac:dyDescent="0.25">
      <c r="A66" s="15" t="s">
        <v>177</v>
      </c>
      <c r="B66" s="16" t="s">
        <v>178</v>
      </c>
      <c r="C66" s="16" t="s">
        <v>357</v>
      </c>
    </row>
    <row r="67" spans="1:3" ht="39" x14ac:dyDescent="0.25">
      <c r="A67" s="15" t="s">
        <v>179</v>
      </c>
      <c r="B67" s="16" t="s">
        <v>180</v>
      </c>
      <c r="C67" s="16" t="s">
        <v>357</v>
      </c>
    </row>
    <row r="68" spans="1:3" ht="39" x14ac:dyDescent="0.25">
      <c r="A68" s="15" t="s">
        <v>181</v>
      </c>
      <c r="B68" s="16" t="s">
        <v>182</v>
      </c>
      <c r="C68" s="16" t="s">
        <v>357</v>
      </c>
    </row>
    <row r="69" spans="1:3" ht="39" x14ac:dyDescent="0.25">
      <c r="A69" s="15" t="s">
        <v>183</v>
      </c>
      <c r="B69" s="16" t="s">
        <v>184</v>
      </c>
      <c r="C69" s="16" t="s">
        <v>357</v>
      </c>
    </row>
    <row r="70" spans="1:3" ht="39" x14ac:dyDescent="0.25">
      <c r="A70" s="15" t="s">
        <v>185</v>
      </c>
      <c r="B70" s="16" t="s">
        <v>186</v>
      </c>
      <c r="C70" s="16" t="s">
        <v>357</v>
      </c>
    </row>
    <row r="71" spans="1:3" ht="39" x14ac:dyDescent="0.25">
      <c r="A71" s="15" t="s">
        <v>187</v>
      </c>
      <c r="B71" s="16" t="s">
        <v>188</v>
      </c>
      <c r="C71" s="16" t="s">
        <v>357</v>
      </c>
    </row>
    <row r="72" spans="1:3" ht="39" x14ac:dyDescent="0.25">
      <c r="A72" s="15" t="s">
        <v>189</v>
      </c>
      <c r="B72" s="16" t="s">
        <v>190</v>
      </c>
      <c r="C72" s="16" t="s">
        <v>357</v>
      </c>
    </row>
    <row r="73" spans="1:3" ht="39" x14ac:dyDescent="0.25">
      <c r="A73" s="15" t="s">
        <v>191</v>
      </c>
      <c r="B73" s="16" t="s">
        <v>192</v>
      </c>
      <c r="C73" s="16" t="s">
        <v>357</v>
      </c>
    </row>
    <row r="74" spans="1:3" ht="90" x14ac:dyDescent="0.25">
      <c r="A74" s="15" t="s">
        <v>193</v>
      </c>
      <c r="B74" s="16" t="s">
        <v>194</v>
      </c>
      <c r="C74" s="16" t="s">
        <v>357</v>
      </c>
    </row>
    <row r="75" spans="1:3" ht="39" x14ac:dyDescent="0.25">
      <c r="A75" s="15" t="s">
        <v>195</v>
      </c>
      <c r="B75" s="16" t="s">
        <v>196</v>
      </c>
      <c r="C75" s="16" t="s">
        <v>357</v>
      </c>
    </row>
    <row r="76" spans="1:3" ht="39" x14ac:dyDescent="0.25">
      <c r="A76" s="15" t="s">
        <v>197</v>
      </c>
      <c r="B76" s="16" t="s">
        <v>198</v>
      </c>
      <c r="C76" s="16" t="s">
        <v>357</v>
      </c>
    </row>
    <row r="77" spans="1:3" ht="39" x14ac:dyDescent="0.25">
      <c r="A77" s="15" t="s">
        <v>199</v>
      </c>
      <c r="B77" s="16" t="s">
        <v>200</v>
      </c>
      <c r="C77" s="16" t="s">
        <v>357</v>
      </c>
    </row>
    <row r="78" spans="1:3" ht="39" x14ac:dyDescent="0.25">
      <c r="A78" s="15" t="s">
        <v>201</v>
      </c>
      <c r="B78" s="16" t="s">
        <v>202</v>
      </c>
      <c r="C78" s="16" t="s">
        <v>357</v>
      </c>
    </row>
    <row r="79" spans="1:3" ht="39" x14ac:dyDescent="0.25">
      <c r="A79" s="15" t="s">
        <v>203</v>
      </c>
      <c r="B79" s="16" t="s">
        <v>204</v>
      </c>
      <c r="C79" s="16" t="s">
        <v>357</v>
      </c>
    </row>
    <row r="80" spans="1:3" ht="39" x14ac:dyDescent="0.25">
      <c r="A80" s="15" t="s">
        <v>52</v>
      </c>
      <c r="B80" s="16" t="s">
        <v>361</v>
      </c>
      <c r="C80" s="16" t="s">
        <v>357</v>
      </c>
    </row>
    <row r="81" spans="1:3" ht="39" x14ac:dyDescent="0.25">
      <c r="A81" s="15" t="s">
        <v>205</v>
      </c>
      <c r="B81" s="16" t="s">
        <v>206</v>
      </c>
      <c r="C81" s="16" t="s">
        <v>357</v>
      </c>
    </row>
    <row r="82" spans="1:3" ht="39" x14ac:dyDescent="0.25">
      <c r="A82" s="15" t="s">
        <v>207</v>
      </c>
      <c r="B82" s="19" t="s">
        <v>208</v>
      </c>
      <c r="C82" s="16" t="s">
        <v>357</v>
      </c>
    </row>
    <row r="83" spans="1:3" ht="39" x14ac:dyDescent="0.25">
      <c r="A83" s="15" t="s">
        <v>209</v>
      </c>
      <c r="B83" s="16" t="s">
        <v>210</v>
      </c>
      <c r="C83" s="16" t="s">
        <v>357</v>
      </c>
    </row>
    <row r="84" spans="1:3" ht="39" x14ac:dyDescent="0.25">
      <c r="A84" s="15" t="s">
        <v>211</v>
      </c>
      <c r="B84" s="16" t="s">
        <v>212</v>
      </c>
      <c r="C84" s="16" t="s">
        <v>357</v>
      </c>
    </row>
    <row r="85" spans="1:3" ht="39" x14ac:dyDescent="0.25">
      <c r="A85" s="15" t="s">
        <v>213</v>
      </c>
      <c r="B85" s="16" t="s">
        <v>214</v>
      </c>
      <c r="C85" s="16" t="s">
        <v>357</v>
      </c>
    </row>
    <row r="86" spans="1:3" ht="39" x14ac:dyDescent="0.25">
      <c r="A86" s="15" t="s">
        <v>185</v>
      </c>
      <c r="B86" s="16" t="s">
        <v>215</v>
      </c>
      <c r="C86" s="16" t="s">
        <v>357</v>
      </c>
    </row>
    <row r="87" spans="1:3" ht="39" x14ac:dyDescent="0.25">
      <c r="A87" s="15" t="s">
        <v>216</v>
      </c>
      <c r="B87" s="16" t="s">
        <v>71</v>
      </c>
      <c r="C87" s="16" t="s">
        <v>357</v>
      </c>
    </row>
    <row r="88" spans="1:3" ht="39" x14ac:dyDescent="0.25">
      <c r="A88" s="15" t="s">
        <v>217</v>
      </c>
      <c r="B88" s="16" t="s">
        <v>218</v>
      </c>
      <c r="C88" s="16" t="s">
        <v>357</v>
      </c>
    </row>
    <row r="89" spans="1:3" ht="39" x14ac:dyDescent="0.25">
      <c r="A89" s="15" t="s">
        <v>219</v>
      </c>
      <c r="B89" s="16" t="s">
        <v>220</v>
      </c>
      <c r="C89" s="16" t="s">
        <v>357</v>
      </c>
    </row>
    <row r="90" spans="1:3" ht="39" x14ac:dyDescent="0.25">
      <c r="A90" s="15" t="s">
        <v>221</v>
      </c>
      <c r="B90" s="16" t="s">
        <v>222</v>
      </c>
      <c r="C90" s="16" t="s">
        <v>357</v>
      </c>
    </row>
    <row r="91" spans="1:3" ht="39" x14ac:dyDescent="0.25">
      <c r="A91" s="15" t="s">
        <v>56</v>
      </c>
      <c r="B91" s="16" t="s">
        <v>223</v>
      </c>
      <c r="C91" s="16" t="s">
        <v>357</v>
      </c>
    </row>
    <row r="92" spans="1:3" ht="39" x14ac:dyDescent="0.25">
      <c r="A92" s="15" t="s">
        <v>224</v>
      </c>
      <c r="B92" s="16" t="s">
        <v>225</v>
      </c>
      <c r="C92" s="16" t="s">
        <v>357</v>
      </c>
    </row>
    <row r="93" spans="1:3" ht="39" x14ac:dyDescent="0.25">
      <c r="A93" s="15" t="s">
        <v>226</v>
      </c>
      <c r="B93" s="16" t="s">
        <v>227</v>
      </c>
      <c r="C93" s="16" t="s">
        <v>357</v>
      </c>
    </row>
    <row r="94" spans="1:3" ht="39" x14ac:dyDescent="0.25">
      <c r="A94" s="15" t="s">
        <v>228</v>
      </c>
      <c r="B94" s="16" t="s">
        <v>229</v>
      </c>
      <c r="C94" s="16" t="s">
        <v>357</v>
      </c>
    </row>
    <row r="95" spans="1:3" ht="39" x14ac:dyDescent="0.25">
      <c r="A95" s="15" t="s">
        <v>230</v>
      </c>
      <c r="B95" s="16" t="s">
        <v>231</v>
      </c>
      <c r="C95" s="16" t="s">
        <v>357</v>
      </c>
    </row>
    <row r="96" spans="1:3" ht="39" x14ac:dyDescent="0.25">
      <c r="A96" s="15" t="s">
        <v>232</v>
      </c>
      <c r="B96" s="16" t="s">
        <v>233</v>
      </c>
      <c r="C96" s="16" t="s">
        <v>357</v>
      </c>
    </row>
    <row r="97" spans="1:3" ht="39" x14ac:dyDescent="0.25">
      <c r="A97" s="15" t="s">
        <v>234</v>
      </c>
      <c r="B97" s="16" t="s">
        <v>235</v>
      </c>
      <c r="C97" s="16" t="s">
        <v>357</v>
      </c>
    </row>
    <row r="98" spans="1:3" ht="39" x14ac:dyDescent="0.25">
      <c r="A98" s="15" t="s">
        <v>236</v>
      </c>
      <c r="B98" s="16" t="s">
        <v>237</v>
      </c>
      <c r="C98" s="16" t="s">
        <v>357</v>
      </c>
    </row>
    <row r="99" spans="1:3" ht="39" x14ac:dyDescent="0.25">
      <c r="A99" s="15" t="s">
        <v>238</v>
      </c>
      <c r="B99" s="16" t="s">
        <v>239</v>
      </c>
      <c r="C99" s="16" t="s">
        <v>357</v>
      </c>
    </row>
    <row r="100" spans="1:3" ht="39" x14ac:dyDescent="0.25">
      <c r="A100" s="15" t="s">
        <v>240</v>
      </c>
      <c r="B100" s="16" t="s">
        <v>239</v>
      </c>
      <c r="C100" s="16" t="s">
        <v>357</v>
      </c>
    </row>
    <row r="101" spans="1:3" ht="39" x14ac:dyDescent="0.25">
      <c r="A101" s="15" t="s">
        <v>241</v>
      </c>
      <c r="B101" s="16" t="s">
        <v>242</v>
      </c>
      <c r="C101" s="16" t="s">
        <v>357</v>
      </c>
    </row>
    <row r="102" spans="1:3" ht="39" x14ac:dyDescent="0.25">
      <c r="A102" s="15" t="s">
        <v>243</v>
      </c>
      <c r="B102" s="16" t="s">
        <v>244</v>
      </c>
      <c r="C102" s="16" t="s">
        <v>357</v>
      </c>
    </row>
    <row r="103" spans="1:3" ht="39" x14ac:dyDescent="0.25">
      <c r="A103" s="15" t="s">
        <v>245</v>
      </c>
      <c r="B103" s="16" t="s">
        <v>246</v>
      </c>
      <c r="C103" s="16" t="s">
        <v>357</v>
      </c>
    </row>
    <row r="104" spans="1:3" ht="39" x14ac:dyDescent="0.25">
      <c r="A104" s="15" t="s">
        <v>247</v>
      </c>
      <c r="B104" s="16" t="s">
        <v>248</v>
      </c>
      <c r="C104" s="16" t="s">
        <v>357</v>
      </c>
    </row>
    <row r="105" spans="1:3" ht="39" x14ac:dyDescent="0.25">
      <c r="A105" s="15" t="s">
        <v>249</v>
      </c>
      <c r="B105" s="16" t="s">
        <v>250</v>
      </c>
      <c r="C105" s="16" t="s">
        <v>357</v>
      </c>
    </row>
    <row r="106" spans="1:3" ht="39" x14ac:dyDescent="0.25">
      <c r="A106" s="15" t="s">
        <v>251</v>
      </c>
      <c r="B106" s="16" t="s">
        <v>252</v>
      </c>
      <c r="C106" s="16" t="s">
        <v>357</v>
      </c>
    </row>
    <row r="107" spans="1:3" ht="64.5" x14ac:dyDescent="0.25">
      <c r="A107" s="15" t="s">
        <v>253</v>
      </c>
      <c r="B107" s="16" t="s">
        <v>254</v>
      </c>
      <c r="C107" s="16" t="s">
        <v>357</v>
      </c>
    </row>
    <row r="108" spans="1:3" ht="51.75" x14ac:dyDescent="0.25">
      <c r="A108" s="15" t="s">
        <v>255</v>
      </c>
      <c r="B108" s="16" t="s">
        <v>256</v>
      </c>
      <c r="C108" s="16" t="s">
        <v>357</v>
      </c>
    </row>
    <row r="109" spans="1:3" ht="39" x14ac:dyDescent="0.25">
      <c r="A109" s="15" t="s">
        <v>257</v>
      </c>
      <c r="B109" s="16" t="s">
        <v>258</v>
      </c>
      <c r="C109" s="16" t="s">
        <v>357</v>
      </c>
    </row>
    <row r="110" spans="1:3" ht="39" x14ac:dyDescent="0.25">
      <c r="A110" s="15" t="s">
        <v>259</v>
      </c>
      <c r="B110" s="16" t="s">
        <v>260</v>
      </c>
      <c r="C110" s="16" t="s">
        <v>357</v>
      </c>
    </row>
    <row r="111" spans="1:3" ht="51.75" x14ac:dyDescent="0.25">
      <c r="A111" s="15" t="s">
        <v>261</v>
      </c>
      <c r="B111" s="16" t="s">
        <v>262</v>
      </c>
      <c r="C111" s="16" t="s">
        <v>357</v>
      </c>
    </row>
    <row r="112" spans="1:3" ht="51.75" x14ac:dyDescent="0.25">
      <c r="A112" s="15" t="s">
        <v>263</v>
      </c>
      <c r="B112" s="16" t="s">
        <v>262</v>
      </c>
      <c r="C112" s="16" t="s">
        <v>357</v>
      </c>
    </row>
    <row r="113" spans="1:3" ht="39" x14ac:dyDescent="0.25">
      <c r="A113" s="15" t="s">
        <v>264</v>
      </c>
      <c r="B113" s="16" t="s">
        <v>265</v>
      </c>
      <c r="C113" s="16" t="s">
        <v>357</v>
      </c>
    </row>
    <row r="114" spans="1:3" ht="64.5" x14ac:dyDescent="0.25">
      <c r="A114" s="15" t="s">
        <v>266</v>
      </c>
      <c r="B114" s="16" t="s">
        <v>267</v>
      </c>
      <c r="C114" s="16" t="s">
        <v>357</v>
      </c>
    </row>
    <row r="115" spans="1:3" ht="39" x14ac:dyDescent="0.25">
      <c r="A115" s="15" t="s">
        <v>268</v>
      </c>
      <c r="B115" s="16" t="s">
        <v>269</v>
      </c>
      <c r="C115" s="16" t="s">
        <v>357</v>
      </c>
    </row>
    <row r="116" spans="1:3" ht="39" x14ac:dyDescent="0.25">
      <c r="A116" s="15" t="s">
        <v>270</v>
      </c>
      <c r="B116" s="16" t="s">
        <v>269</v>
      </c>
      <c r="C116" s="16" t="s">
        <v>357</v>
      </c>
    </row>
    <row r="117" spans="1:3" ht="39" x14ac:dyDescent="0.25">
      <c r="A117" s="15" t="s">
        <v>271</v>
      </c>
      <c r="B117" s="16" t="s">
        <v>382</v>
      </c>
      <c r="C117" s="16" t="s">
        <v>357</v>
      </c>
    </row>
    <row r="118" spans="1:3" ht="39" x14ac:dyDescent="0.25">
      <c r="A118" s="15" t="s">
        <v>272</v>
      </c>
      <c r="B118" s="16" t="s">
        <v>273</v>
      </c>
      <c r="C118" s="16" t="s">
        <v>357</v>
      </c>
    </row>
    <row r="119" spans="1:3" ht="39" x14ac:dyDescent="0.25">
      <c r="A119" s="15" t="s">
        <v>274</v>
      </c>
      <c r="B119" s="16" t="s">
        <v>273</v>
      </c>
      <c r="C119" s="16" t="s">
        <v>357</v>
      </c>
    </row>
    <row r="120" spans="1:3" ht="39" x14ac:dyDescent="0.25">
      <c r="A120" s="15" t="s">
        <v>275</v>
      </c>
      <c r="B120" s="16" t="s">
        <v>276</v>
      </c>
      <c r="C120" s="16" t="s">
        <v>357</v>
      </c>
    </row>
    <row r="121" spans="1:3" ht="39" x14ac:dyDescent="0.25">
      <c r="A121" s="15" t="s">
        <v>277</v>
      </c>
      <c r="B121" s="16" t="s">
        <v>278</v>
      </c>
      <c r="C121" s="16" t="s">
        <v>357</v>
      </c>
    </row>
    <row r="122" spans="1:3" ht="39" x14ac:dyDescent="0.25">
      <c r="A122" s="15" t="s">
        <v>279</v>
      </c>
      <c r="B122" s="16" t="s">
        <v>280</v>
      </c>
      <c r="C122" s="16" t="s">
        <v>357</v>
      </c>
    </row>
    <row r="123" spans="1:3" ht="39" x14ac:dyDescent="0.25">
      <c r="A123" s="15" t="s">
        <v>281</v>
      </c>
      <c r="B123" s="16" t="s">
        <v>282</v>
      </c>
      <c r="C123" s="16" t="s">
        <v>357</v>
      </c>
    </row>
    <row r="124" spans="1:3" ht="39" x14ac:dyDescent="0.25">
      <c r="A124" s="15" t="s">
        <v>283</v>
      </c>
      <c r="B124" s="16" t="s">
        <v>284</v>
      </c>
      <c r="C124" s="16" t="s">
        <v>357</v>
      </c>
    </row>
    <row r="125" spans="1:3" ht="39" x14ac:dyDescent="0.25">
      <c r="A125" s="15" t="s">
        <v>285</v>
      </c>
      <c r="B125" s="16" t="s">
        <v>286</v>
      </c>
      <c r="C125" s="16" t="s">
        <v>357</v>
      </c>
    </row>
  </sheetData>
  <hyperlinks>
    <hyperlink ref="B2" r:id="rId1" display="hans.lovaasen@abgsc.no"/>
    <hyperlink ref="B4" r:id="rId2"/>
    <hyperlink ref="B5" r:id="rId3"/>
    <hyperlink ref="B6" r:id="rId4" display="christopher.silfverling@uk.natixis.com"/>
    <hyperlink ref="B8" r:id="rId5"/>
    <hyperlink ref="B9" r:id="rId6"/>
    <hyperlink ref="B10" r:id="rId7"/>
    <hyperlink ref="B12" r:id="rId8" display="ops@blueoakcapital.com"/>
    <hyperlink ref="B13" r:id="rId9"/>
    <hyperlink ref="B14" r:id="rId10" display="GPless@convergex.com"/>
    <hyperlink ref="B15" r:id="rId11" display="GPless@convergex.com"/>
    <hyperlink ref="B17" r:id="rId12"/>
    <hyperlink ref="B18" r:id="rId13"/>
    <hyperlink ref="B19" r:id="rId14"/>
    <hyperlink ref="B20" r:id="rId15"/>
    <hyperlink ref="B21" r:id="rId16"/>
    <hyperlink ref="B22" r:id="rId17" display="dguthmann@cheuvreux.com;"/>
    <hyperlink ref="B23" r:id="rId18"/>
    <hyperlink ref="B24" r:id="rId19"/>
    <hyperlink ref="B26" r:id="rId20"/>
    <hyperlink ref="B29" r:id="rId21" display="equitysales.support@credit-suisse.com ;list.ops-llc-age-ban-set@credit-suisse.com;"/>
    <hyperlink ref="B31" r:id="rId22" display="osse@carnegie.no;settlementsus@dcarnegie.com;richard.joyce@carnegie.co.uk"/>
    <hyperlink ref="B32" r:id="rId23"/>
    <hyperlink ref="B33" r:id="rId24"/>
    <hyperlink ref="B34" r:id="rId25"/>
    <hyperlink ref="B39" r:id="rId26"/>
    <hyperlink ref="B40" r:id="rId27"/>
    <hyperlink ref="B41" r:id="rId28"/>
    <hyperlink ref="B42" r:id="rId29"/>
    <hyperlink ref="B43" r:id="rId30"/>
    <hyperlink ref="B45" r:id="rId31" display="equityops@gfigroup.co.uk; ;EquitySettleNY@gfigroup.com; "/>
    <hyperlink ref="B48" r:id="rId32"/>
    <hyperlink ref="B50" r:id="rId33" display="eqconfirms@icap.com; "/>
    <hyperlink ref="B51" r:id="rId34" display="Western.EuropeSetts@uk.ing.com; "/>
    <hyperlink ref="B52" r:id="rId35"/>
    <hyperlink ref="B56" r:id="rId36"/>
    <hyperlink ref="B57" r:id="rId37"/>
    <hyperlink ref="B58" r:id="rId38" display="Intl_market_support@jefferies.com ; "/>
    <hyperlink ref="B59" r:id="rId39" display="eqcs.uk.team3@jpmorgan.com;"/>
    <hyperlink ref="B62" r:id="rId40" display="settlements_ph@kbcpeelhunt.com ; "/>
    <hyperlink ref="B63" r:id="rId41"/>
    <hyperlink ref="B64" r:id="rId42" display="lonops@kbw.com; "/>
    <hyperlink ref="B66" r:id="rId43"/>
    <hyperlink ref="B67" r:id="rId44"/>
    <hyperlink ref="B68" r:id="rId45" display="LTS@knight.com; "/>
    <hyperlink ref="B69" r:id="rId46" display="CMartin@ladenburg.com; "/>
    <hyperlink ref="B70" r:id="rId47"/>
    <hyperlink ref="B71" r:id="rId48" display="broking.operations@liberumcapital.com ; "/>
    <hyperlink ref="B73" r:id="rId49" display="Nybackoffice@louiscapital.com; "/>
    <hyperlink ref="B74" r:id="rId50" display="sean.parry@macquarie.com; "/>
    <hyperlink ref="B75" r:id="rId51"/>
    <hyperlink ref="B76" r:id="rId52"/>
    <hyperlink ref="B77" r:id="rId53"/>
    <hyperlink ref="B78" r:id="rId54"/>
    <hyperlink ref="B79" r:id="rId55" display="tdemmel@MKMPARTNERS.com; "/>
    <hyperlink ref="B80" r:id="rId56" display="mlbscheckinglondon@baml.com"/>
    <hyperlink ref="B81" r:id="rId57"/>
    <hyperlink ref="B83" r:id="rId58"/>
    <hyperlink ref="B84" r:id="rId59" display="nick.howells@ncb.ie; "/>
    <hyperlink ref="B85" r:id="rId60"/>
    <hyperlink ref="B86" r:id="rId61" display="ghilman@LekSecurities.com; "/>
    <hyperlink ref="B90" r:id="rId62"/>
    <hyperlink ref="B91" r:id="rId63"/>
    <hyperlink ref="B92" r:id="rId64"/>
    <hyperlink ref="B93" r:id="rId65" display="time.vines@olivetreesecurities.com; "/>
    <hyperlink ref="B94" r:id="rId66" display="ben.woodley@orielsecurities.com; "/>
    <hyperlink ref="B95" r:id="rId67" display="trade.support@panmure.com; "/>
    <hyperlink ref="B96" r:id="rId68"/>
    <hyperlink ref="B97" r:id="rId69"/>
    <hyperlink ref="B98" r:id="rId70"/>
    <hyperlink ref="B99" r:id="rId71" display="JGalloway@rencap.com,"/>
    <hyperlink ref="B101" r:id="rId72" display="eqclientconfirms@rbs.com;"/>
    <hyperlink ref="B102" r:id="rId73"/>
    <hyperlink ref="B103" r:id="rId74"/>
    <hyperlink ref="B104" r:id="rId75" display="backoffice@platou.com; "/>
    <hyperlink ref="B106" r:id="rId76"/>
    <hyperlink ref="B109" r:id="rId77"/>
    <hyperlink ref="B110" r:id="rId78" display="PAR-EQTY-MO-Support@sgcib.com; "/>
    <hyperlink ref="B111" r:id="rId79" display="equity.settlements@schneidertrading.com; "/>
    <hyperlink ref="B113" r:id="rId80" display="settlementsus@dcarnegie.com ; "/>
    <hyperlink ref="B114" r:id="rId81" display="cedmo@tradition.com; "/>
    <hyperlink ref="B116" r:id="rId82" display="schan@triadsecurities.com ; "/>
    <hyperlink ref="B119" r:id="rId83" display="settlements@uralsib.com; "/>
    <hyperlink ref="B120" r:id="rId84" display="ferudun.emanet@vontobel.ch; "/>
    <hyperlink ref="B121" r:id="rId85" display="client_services@westlb.co.uk; "/>
    <hyperlink ref="B122" r:id="rId86"/>
    <hyperlink ref="B123" r:id="rId87" display="billy@wsaccess.com; "/>
    <hyperlink ref="B88" r:id="rId88" display="ronak.patel@nomura.com ; "/>
    <hyperlink ref="B87" r:id="rId89" display="christopher.silfverling@uk.natixis.com"/>
    <hyperlink ref="B11" r:id="rId90"/>
    <hyperlink ref="B38" r:id="rId91"/>
    <hyperlink ref="B30" r:id="rId92"/>
    <hyperlink ref="B46" r:id="rId93" display="equityops@gfigroup.co.uk; ;EquitySettleNY@gfigroup.com; "/>
    <hyperlink ref="B54" r:id="rId94" display="mailto:Shiran_S@IBI.co.il"/>
    <hyperlink ref="B60" r:id="rId95" display="eqcs.uk.team3@jpmorgan.com"/>
    <hyperlink ref="B107" r:id="rId96"/>
    <hyperlink ref="B118" r:id="rId97" display="settlements@uralsib.com; "/>
    <hyperlink ref="B44" r:id="rId98"/>
    <hyperlink ref="B25" r:id="rId99"/>
    <hyperlink ref="B47" r:id="rId100"/>
    <hyperlink ref="B124" r:id="rId101"/>
    <hyperlink ref="B100" r:id="rId102" display="JGalloway@rencap.com,"/>
    <hyperlink ref="B53" r:id="rId103"/>
    <hyperlink ref="B125" r:id="rId104"/>
    <hyperlink ref="B37" r:id="rId105"/>
    <hyperlink ref="B36" r:id="rId106"/>
    <hyperlink ref="B16" r:id="rId107"/>
    <hyperlink ref="B115" r:id="rId108" display="schan@triadsecurities.com ; "/>
    <hyperlink ref="B117" r:id="rId109" display="sh-frost-london@ubs.com; 'sh-stm-equitysupport@ubs.com';sh-des-eu@ubs.com;sh-frost-london@ubs.com"/>
  </hyperlinks>
  <pageMargins left="0.7" right="0.7" top="0.75" bottom="0.75" header="0.3" footer="0.3"/>
  <pageSetup orientation="portrait" r:id="rId11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C9"/>
  <sheetViews>
    <sheetView workbookViewId="0"/>
  </sheetViews>
  <sheetFormatPr defaultRowHeight="15" x14ac:dyDescent="0.25"/>
  <cols>
    <col min="1" max="1" width="34.42578125" bestFit="1" customWidth="1"/>
    <col min="2" max="6" width="15.42578125" bestFit="1" customWidth="1"/>
    <col min="7" max="7" width="12.140625" customWidth="1"/>
    <col min="8" max="8" width="13" customWidth="1"/>
    <col min="9" max="9" width="77.28515625" bestFit="1" customWidth="1"/>
    <col min="14" max="52" width="0" hidden="1" customWidth="1"/>
  </cols>
  <sheetData>
    <row r="1" spans="1:55" ht="15.75" thickBot="1" x14ac:dyDescent="0.3">
      <c r="A1" s="7" t="s">
        <v>44</v>
      </c>
      <c r="B1" s="39" t="s">
        <v>383</v>
      </c>
      <c r="C1" s="39" t="s">
        <v>388</v>
      </c>
      <c r="D1" s="39" t="s">
        <v>389</v>
      </c>
      <c r="E1" s="39" t="s">
        <v>390</v>
      </c>
      <c r="F1" s="39" t="s">
        <v>391</v>
      </c>
      <c r="G1" s="23"/>
      <c r="H1" s="23"/>
      <c r="I1" s="27"/>
      <c r="K1" s="32" t="s">
        <v>392</v>
      </c>
      <c r="BB1" t="s">
        <v>393</v>
      </c>
    </row>
    <row r="2" spans="1:55" ht="15.75" thickBot="1" x14ac:dyDescent="0.3">
      <c r="A2" s="10"/>
      <c r="B2" s="40" t="s">
        <v>377</v>
      </c>
      <c r="C2" s="40" t="s">
        <v>378</v>
      </c>
      <c r="D2" s="40" t="s">
        <v>379</v>
      </c>
      <c r="E2" s="40" t="s">
        <v>380</v>
      </c>
      <c r="F2" s="40" t="s">
        <v>381</v>
      </c>
      <c r="G2" s="24" t="s">
        <v>304</v>
      </c>
      <c r="H2" s="24" t="s">
        <v>305</v>
      </c>
      <c r="I2" s="28" t="s">
        <v>306</v>
      </c>
      <c r="K2" t="s">
        <v>394</v>
      </c>
      <c r="L2">
        <v>2288</v>
      </c>
      <c r="BB2" t="s">
        <v>394</v>
      </c>
      <c r="BC2">
        <v>1603</v>
      </c>
    </row>
    <row r="3" spans="1:55" ht="15.75" thickBot="1" x14ac:dyDescent="0.3">
      <c r="A3" s="10" t="s">
        <v>45</v>
      </c>
      <c r="B3" s="38"/>
      <c r="C3" s="38">
        <v>27669</v>
      </c>
      <c r="D3" s="38">
        <v>31362</v>
      </c>
      <c r="E3" s="38"/>
      <c r="F3" s="38"/>
      <c r="G3" s="25">
        <f t="shared" ref="G3:H3" si="0">SUM(G4:G6)</f>
        <v>59031</v>
      </c>
      <c r="H3" s="25">
        <f t="shared" si="0"/>
        <v>0</v>
      </c>
      <c r="I3" s="28"/>
      <c r="K3" t="s">
        <v>395</v>
      </c>
      <c r="L3">
        <v>777</v>
      </c>
      <c r="BB3" t="s">
        <v>395</v>
      </c>
      <c r="BC3">
        <v>398</v>
      </c>
    </row>
    <row r="4" spans="1:55" ht="15.75" thickBot="1" x14ac:dyDescent="0.3">
      <c r="A4" s="10" t="s">
        <v>46</v>
      </c>
      <c r="B4" s="38"/>
      <c r="C4" s="54">
        <v>24424</v>
      </c>
      <c r="D4" s="54">
        <v>26784</v>
      </c>
      <c r="E4" s="55"/>
      <c r="F4" s="55"/>
      <c r="G4" s="25">
        <f>B4+C4+D4+E4+F4</f>
        <v>51208</v>
      </c>
      <c r="H4" s="25"/>
      <c r="I4" s="28"/>
      <c r="K4" t="s">
        <v>396</v>
      </c>
      <c r="L4">
        <v>9</v>
      </c>
      <c r="BB4" t="s">
        <v>399</v>
      </c>
      <c r="BC4">
        <v>17</v>
      </c>
    </row>
    <row r="5" spans="1:55" ht="15.75" thickBot="1" x14ac:dyDescent="0.3">
      <c r="A5" s="10" t="s">
        <v>47</v>
      </c>
      <c r="B5" s="38"/>
      <c r="C5" s="38">
        <v>1128</v>
      </c>
      <c r="D5" s="38">
        <v>2294</v>
      </c>
      <c r="E5" s="55"/>
      <c r="F5" s="38"/>
      <c r="G5" s="25">
        <f>B5+C5+D5+E5+F5</f>
        <v>3422</v>
      </c>
      <c r="H5" s="25"/>
      <c r="I5" s="28"/>
      <c r="K5" t="s">
        <v>399</v>
      </c>
      <c r="L5">
        <v>17</v>
      </c>
      <c r="BB5" t="s">
        <v>400</v>
      </c>
      <c r="BC5">
        <v>2</v>
      </c>
    </row>
    <row r="6" spans="1:55" ht="15.75" thickBot="1" x14ac:dyDescent="0.3">
      <c r="A6" s="10" t="s">
        <v>48</v>
      </c>
      <c r="B6" s="38"/>
      <c r="C6" s="38">
        <v>2117</v>
      </c>
      <c r="D6" s="38">
        <v>2284</v>
      </c>
      <c r="E6" s="38"/>
      <c r="F6" s="38"/>
      <c r="G6" s="25">
        <f>B6+C6+D6+E6+F6</f>
        <v>4401</v>
      </c>
      <c r="H6" s="25"/>
      <c r="I6" s="28"/>
      <c r="K6" t="s">
        <v>400</v>
      </c>
      <c r="L6">
        <v>2</v>
      </c>
      <c r="BB6" t="s">
        <v>401</v>
      </c>
      <c r="BC6">
        <v>2</v>
      </c>
    </row>
    <row r="7" spans="1:55" ht="15.75" thickBot="1" x14ac:dyDescent="0.3">
      <c r="A7" s="10" t="s">
        <v>49</v>
      </c>
      <c r="B7" s="38"/>
      <c r="C7" s="38">
        <v>2084</v>
      </c>
      <c r="D7" s="38">
        <v>2260</v>
      </c>
      <c r="E7" s="38"/>
      <c r="F7" s="38"/>
      <c r="G7" s="25">
        <f>B7+C7+D7+E7+F7</f>
        <v>4344</v>
      </c>
      <c r="H7" s="25"/>
      <c r="I7" s="28"/>
      <c r="K7" t="s">
        <v>401</v>
      </c>
      <c r="L7">
        <v>2</v>
      </c>
      <c r="BB7" t="s">
        <v>402</v>
      </c>
      <c r="BC7">
        <v>1</v>
      </c>
    </row>
    <row r="8" spans="1:55" ht="15.75" thickBot="1" x14ac:dyDescent="0.3">
      <c r="A8" s="10" t="s">
        <v>50</v>
      </c>
      <c r="B8" s="38"/>
      <c r="C8" s="38">
        <v>33</v>
      </c>
      <c r="D8" s="38">
        <v>24</v>
      </c>
      <c r="E8" s="38"/>
      <c r="F8" s="38"/>
      <c r="G8" s="25">
        <f>B8+C8+D8+E8+F8</f>
        <v>57</v>
      </c>
      <c r="H8" s="25"/>
      <c r="I8" s="28"/>
      <c r="K8" t="s">
        <v>402</v>
      </c>
      <c r="L8">
        <v>1</v>
      </c>
    </row>
    <row r="9" spans="1:55" ht="15.75" thickBot="1" x14ac:dyDescent="0.3">
      <c r="A9" s="10" t="s">
        <v>51</v>
      </c>
      <c r="B9" s="41"/>
      <c r="C9" s="41">
        <v>7.6511619501969719E-2</v>
      </c>
      <c r="D9" s="41">
        <v>7.2826988074740126E-2</v>
      </c>
      <c r="E9" s="41"/>
      <c r="F9" s="41"/>
      <c r="G9" s="26">
        <f t="shared" ref="G9" si="1">G6/G3</f>
        <v>7.4554047873151397E-2</v>
      </c>
      <c r="H9" s="26"/>
      <c r="I9" s="28"/>
    </row>
  </sheetData>
  <pageMargins left="0.7" right="0.7" top="0.75" bottom="0.75" header="0.3" footer="0.3"/>
  <pageSetup paperSize="9" orientation="portrait" horizontalDpi="4294967294" verticalDpi="0" r:id="rId1"/>
  <drawing r:id="rId2"/>
  <legacyDrawing r:id="rId3"/>
  <controls>
    <mc:AlternateContent xmlns:mc="http://schemas.openxmlformats.org/markup-compatibility/2006">
      <mc:Choice Requires="x14">
        <control shapeId="7169" r:id="rId4" name="MTDBtn">
          <controlPr defaultSize="0" autoFill="0" autoLine="0" r:id="rId5">
            <anchor moveWithCells="1">
              <from>
                <xdr:col>0</xdr:col>
                <xdr:colOff>114300</xdr:colOff>
                <xdr:row>9</xdr:row>
                <xdr:rowOff>180975</xdr:rowOff>
              </from>
              <to>
                <xdr:col>0</xdr:col>
                <xdr:colOff>1962150</xdr:colOff>
                <xdr:row>11</xdr:row>
                <xdr:rowOff>171450</xdr:rowOff>
              </to>
            </anchor>
          </controlPr>
        </control>
      </mc:Choice>
      <mc:Fallback>
        <control shapeId="7169" r:id="rId4" name="MTDBtn"/>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7"/>
  <sheetViews>
    <sheetView workbookViewId="0">
      <selection activeCell="B29" sqref="B29"/>
    </sheetView>
  </sheetViews>
  <sheetFormatPr defaultRowHeight="15" x14ac:dyDescent="0.25"/>
  <cols>
    <col min="1" max="1" width="20.42578125" style="29" bestFit="1" customWidth="1"/>
    <col min="2" max="2" width="82.85546875" style="29" bestFit="1" customWidth="1"/>
    <col min="3" max="3" width="34.85546875" style="29" customWidth="1"/>
    <col min="4" max="16384" width="9.140625" style="29"/>
  </cols>
  <sheetData>
    <row r="1" spans="1:3" x14ac:dyDescent="0.25">
      <c r="A1" s="37" t="s">
        <v>344</v>
      </c>
    </row>
    <row r="2" spans="1:3" x14ac:dyDescent="0.25">
      <c r="A2" s="36"/>
    </row>
    <row r="3" spans="1:3" x14ac:dyDescent="0.25">
      <c r="A3" s="35" t="s">
        <v>343</v>
      </c>
      <c r="B3" s="35" t="s">
        <v>342</v>
      </c>
      <c r="C3" s="35" t="s">
        <v>341</v>
      </c>
    </row>
    <row r="4" spans="1:3" x14ac:dyDescent="0.25">
      <c r="A4" s="35" t="s">
        <v>340</v>
      </c>
      <c r="B4" s="35" t="s">
        <v>339</v>
      </c>
      <c r="C4" s="35" t="s">
        <v>336</v>
      </c>
    </row>
    <row r="5" spans="1:3" x14ac:dyDescent="0.25">
      <c r="A5" s="35" t="s">
        <v>338</v>
      </c>
      <c r="B5" s="35" t="s">
        <v>337</v>
      </c>
      <c r="C5" s="35" t="s">
        <v>336</v>
      </c>
    </row>
    <row r="6" spans="1:3" ht="36" customHeight="1" x14ac:dyDescent="0.25">
      <c r="A6" s="35" t="s">
        <v>335</v>
      </c>
      <c r="B6" s="34" t="s">
        <v>334</v>
      </c>
      <c r="C6" s="35" t="s">
        <v>333</v>
      </c>
    </row>
    <row r="7" spans="1:3" ht="27.75" customHeight="1" x14ac:dyDescent="0.25">
      <c r="A7" s="34" t="s">
        <v>332</v>
      </c>
      <c r="B7" s="34" t="s">
        <v>331</v>
      </c>
      <c r="C7" s="34" t="s">
        <v>330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B10"/>
  <sheetViews>
    <sheetView workbookViewId="0">
      <selection activeCell="A2" sqref="A2"/>
    </sheetView>
  </sheetViews>
  <sheetFormatPr defaultRowHeight="15" x14ac:dyDescent="0.25"/>
  <cols>
    <col min="1" max="1" width="11" bestFit="1" customWidth="1"/>
  </cols>
  <sheetData>
    <row r="2" spans="2:2" x14ac:dyDescent="0.25">
      <c r="B2" s="29"/>
    </row>
    <row r="3" spans="2:2" x14ac:dyDescent="0.25">
      <c r="B3" s="29"/>
    </row>
    <row r="4" spans="2:2" x14ac:dyDescent="0.25">
      <c r="B4" s="29"/>
    </row>
    <row r="5" spans="2:2" x14ac:dyDescent="0.25">
      <c r="B5" s="29"/>
    </row>
    <row r="6" spans="2:2" x14ac:dyDescent="0.25">
      <c r="B6" s="29"/>
    </row>
    <row r="7" spans="2:2" x14ac:dyDescent="0.25">
      <c r="B7" s="29"/>
    </row>
    <row r="8" spans="2:2" x14ac:dyDescent="0.25">
      <c r="B8" s="29"/>
    </row>
    <row r="9" spans="2:2" x14ac:dyDescent="0.25">
      <c r="B9" s="29"/>
    </row>
    <row r="10" spans="2:2" x14ac:dyDescent="0.25">
      <c r="B10" s="29"/>
    </row>
  </sheetData>
  <conditionalFormatting sqref="B1:B10">
    <cfRule type="expression" dxfId="0" priority="1">
      <formula>IF($A1=1,$B1="Hight")</formula>
    </cfRule>
  </conditionalFormatting>
  <pageMargins left="0.7" right="0.7" top="0.75" bottom="0.75" header="0.3" footer="0.3"/>
  <pageSetup orientation="portrait" r:id="rId1"/>
  <cellWatches>
    <cellWatch r="A8"/>
  </cellWatch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3"/>
  <sheetViews>
    <sheetView workbookViewId="0"/>
  </sheetViews>
  <sheetFormatPr defaultRowHeight="15" x14ac:dyDescent="0.25"/>
  <sheetData>
    <row r="2" spans="1:1" x14ac:dyDescent="0.25">
      <c r="A2" s="29"/>
    </row>
    <row r="3" spans="1:1" x14ac:dyDescent="0.25">
      <c r="A3" s="2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Macro</vt:lpstr>
      <vt:lpstr>Mapping</vt:lpstr>
      <vt:lpstr>Temp</vt:lpstr>
      <vt:lpstr>Dump</vt:lpstr>
      <vt:lpstr>Comments_Mail</vt:lpstr>
      <vt:lpstr>Contacts</vt:lpstr>
      <vt:lpstr>EOD_Recap</vt:lpstr>
      <vt:lpstr>Disclaimer</vt:lpstr>
      <vt:lpstr>Sheet1</vt:lpstr>
      <vt:lpstr>Sheet3</vt:lpstr>
    </vt:vector>
  </TitlesOfParts>
  <Company>Millennium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Swapnil Kulkarni</cp:lastModifiedBy>
  <dcterms:created xsi:type="dcterms:W3CDTF">2016-10-03T06:04:01Z</dcterms:created>
  <dcterms:modified xsi:type="dcterms:W3CDTF">2018-02-18T22:01:46Z</dcterms:modified>
</cp:coreProperties>
</file>