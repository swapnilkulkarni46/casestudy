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Xl3DPieChart" sheetId="21" r:id="rId3"/>
    <sheet name="Summary" sheetId="3" r:id="rId4"/>
    <sheet name="MailFormat" sheetId="4" r:id="rId5"/>
  </sheets>
  <functionGroups builtInGroupCount="17"/>
  <definedNames>
    <definedName name="MLPHolidays">Holidays!$A$2:$A$25</definedName>
    <definedName name="ProcessName">OFFSET(Holidays!$D$2,0,0,COUNTA(Holidays!$D:$D)-1)</definedName>
  </definedNames>
  <calcPr calcId="144525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A6" i="4" l="1"/>
  <c r="B4" i="4" l="1"/>
  <c r="N4" i="4"/>
  <c r="M4" i="4"/>
  <c r="L4" i="4"/>
  <c r="K4" i="4"/>
  <c r="J4" i="4"/>
  <c r="I4" i="4"/>
  <c r="H4" i="4"/>
  <c r="G4" i="4"/>
  <c r="F4" i="4"/>
  <c r="E4" i="4"/>
  <c r="D4" i="4"/>
  <c r="C4" i="4"/>
  <c r="N11" i="1" l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J10" i="1"/>
  <c r="N10" i="1"/>
  <c r="F10" i="1"/>
  <c r="B8" i="1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<sst xmlns="http://schemas.openxmlformats.org/spreadsheetml/2006/main" count="62" uniqueCount="35">
  <si>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</si>
  <si>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</si>
  <si>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</si>
  <si>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</si>
  <si>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</si>
  <si>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</si>
  <si>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</si>
  <si>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</si>
  <si>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</si>
  <si>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</si>
  <si>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</si>
  <si>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</si>
  <si>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</si>
  <si>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</si>
  <si>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</si>
  <si>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</si>
  <si>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</si>
  <si>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</si>
  <si>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</si>
  <si>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</si>
  <si>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</si>
  <si>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</si>
  <si>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</si>
  <si>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</si>
  <si>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</si>
  <si>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</si>
  <si>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</si>
  <si>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May-18</t>
  </si>
  <si>
    <t>Please find the attached IHG report that we have generated for today.</t>
  </si>
  <si>
    <t>To</t>
  </si>
  <si>
    <t>CC</t>
  </si>
  <si>
    <t>Sajith.kurup@mlp.com</t>
  </si>
  <si>
    <t>Subject:-</t>
  </si>
  <si>
    <t>BCC</t>
  </si>
  <si>
    <t>Swapnil.Kulkarni@mlp.com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</si>
</sst>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d/yyyy"/>
    <numFmt numFmtId="165" formatCode="0;[Red]0"/>
    <numFmt numFmtId="166" formatCode="m/dd/yyyy\ hh:mm:ss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21" fontId="0" fillId="3" borderId="0" xfId="0" applyNumberFormat="1" applyFill="1" applyBorder="1"/>
    <xf numFmtId="21" fontId="0" fillId="3" borderId="0" xfId="0" applyNumberFormat="1" applyFill="1"/>
    <xf numFmtId="17" fontId="1" fillId="11" borderId="3" xfId="0" applyNumberFormat="1" applyFont="1" applyFill="1" applyBorder="1"/>
    <xf numFmtId="21" fontId="9" fillId="10" borderId="3" xfId="0" applyNumberFormat="1" applyFont="1" applyFill="1" applyBorder="1"/>
    <xf numFmtId="21" fontId="0" fillId="3" borderId="0" xfId="0" applyNumberFormat="1" applyFill="1"/>
    <xf numFmtId="21" fontId="0" fillId="3" borderId="3" xfId="0" applyNumberFormat="1" applyFill="1" applyBorder="1"/>
    <xf numFmtId="165" fontId="0" fillId="3" borderId="0" xfId="0" applyNumberFormat="1" applyFill="1"/>
    <xf numFmtId="165" fontId="0" fillId="3" borderId="3" xfId="0" applyNumberFormat="1" applyFill="1" applyBorder="1"/>
    <xf numFmtId="165" fontId="11" fillId="8" borderId="3" xfId="0" applyNumberFormat="1" applyFont="1" applyFill="1" applyBorder="1"/>
    <xf numFmtId="21" fontId="11" fillId="8" borderId="3" xfId="0" applyNumberFormat="1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12" fillId="3" borderId="10" xfId="0" applyFont="1" applyFill="1" applyBorder="1" applyAlignment="1">
      <alignment vertical="center"/>
    </xf>
    <xf numFmtId="0" fontId="0" fillId="3" borderId="11" xfId="0" applyFill="1" applyBorder="1"/>
    <xf numFmtId="0" fontId="12" fillId="3" borderId="10" xfId="0" applyFont="1" applyFill="1" applyBorder="1"/>
    <xf numFmtId="0" fontId="0" fillId="3" borderId="1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3" fillId="3" borderId="4" xfId="2" applyFill="1" applyBorder="1" applyAlignment="1">
      <alignment horizontal="left" wrapText="1"/>
    </xf>
    <xf numFmtId="0" fontId="13" fillId="3" borderId="5" xfId="2" applyFill="1" applyBorder="1" applyAlignment="1">
      <alignment horizontal="left" wrapText="1"/>
    </xf>
    <xf numFmtId="0" fontId="13" fillId="3" borderId="6" xfId="2" applyFill="1" applyBorder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/>
    </xf>
    <xf numFmtId="0" fontId="0" fillId="3" borderId="6" xfId="0" applyFill="1" applyBorder="1" applyAlignment="1">
      <alignment horizontal="left" wrapText="1"/>
    </xf>
    <xf numFmtId="0" fontId="12" fillId="3" borderId="4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2" fillId="3" borderId="6" xfId="0" applyFont="1" applyFill="1" applyBorder="1" applyAlignment="1">
      <alignment horizontal="left" vertical="center" wrapText="1"/>
    </xf>
    <xf numFmtId="0" fontId="14" fillId="3" borderId="3" xfId="0" applyFont="1" applyFill="1" applyBorder="1" applyAlignment="1">
      <alignment vertical="center"/>
    </xf>
    <xf numFmtId="0" fontId="15" fillId="0" borderId="0" xfId="0" applyFont="1"/>
    <xf numFmtId="0" fontId="16" fillId="3" borderId="5" xfId="2" applyFont="1" applyFill="1" applyBorder="1" applyAlignment="1">
      <alignment horizontal="left" wrapText="1"/>
    </xf>
    <xf numFmtId="0" fontId="16" fillId="3" borderId="6" xfId="2" applyFont="1" applyFill="1" applyBorder="1" applyAlignment="1">
      <alignment horizontal="left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Total Breaks For May-18</a:t>
            </a:r>
          </a:p>
        </c:rich>
      </c:tx>
      <c:layout/>
      <c:overlay val="0"/>
    </c:title>
    <c:autoTitleDeleted val="0"/>
    <c:view3D>
      <c:rotX val="1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</c:dLbls>
          <c:cat>
            <c:strRef>
              <c:f>Summary!$G$11:$G$13</c:f>
              <c:strCache>
                <c:ptCount val="3"/>
                <c:pt idx="0">
                  <c:v>CSA Recon</c:v>
                </c:pt>
                <c:pt idx="1">
                  <c:v>Equity Fails</c:v>
                </c:pt>
                <c:pt idx="2">
                  <c:v>FI Bonds</c:v>
                </c:pt>
              </c:strCache>
            </c:strRef>
          </c:cat>
          <c:val>
            <c:numRef>
              <c:f>Summary!$H$11:$H$13</c:f>
              <c:numCache>
                <c:formatCode>0;[Red]0</c:formatCode>
                <c:ptCount val="3"/>
                <c:pt idx="0">
                  <c:v>44</c:v>
                </c:pt>
                <c:pt idx="1">
                  <c:v>110</c:v>
                </c:pt>
                <c:pt idx="2">
                  <c:v>220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legend>
      <c:legendPos val="t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7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[0]!GenerateSummary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Swapnil.Kulkarni@mlp.com" TargetMode="External"/><Relationship Id="rId1" Type="http://schemas.openxmlformats.org/officeDocument/2006/relationships/hyperlink" Target="mailto:Sajith.kurup@ml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1"/>
  <sheetViews>
    <sheetView tabSelected="1" zoomScale="90" zoomScaleNormal="90" workbookViewId="0">
      <selection activeCell="B8" sqref="B8"/>
    </sheetView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43221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1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May-18</v>
      </c>
      <c r="C8" s="54" t="s">
        <v>6</v>
      </c>
      <c r="D8" s="54"/>
      <c r="E8" s="54"/>
      <c r="F8" s="54"/>
      <c r="G8" s="54" t="s">
        <v>8</v>
      </c>
      <c r="H8" s="54"/>
      <c r="I8" s="54"/>
      <c r="J8" s="54"/>
      <c r="K8" s="54" t="s">
        <v>1</v>
      </c>
      <c r="L8" s="54"/>
      <c r="M8" s="54"/>
      <c r="N8" s="54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43222</v>
      </c>
      <c r="C10" s="30">
        <v>2</v>
      </c>
      <c r="D10" s="32">
        <v>43222.365081018521</v>
      </c>
      <c r="E10" s="32">
        <v>43222.368321759262</v>
      </c>
      <c r="F10" s="37">
        <f t="shared" ref="F10:F31" si="0">IF($E10&lt;&gt;"",$E10-$D10,"")</f>
        <v>3.2407407416030765E-3</v>
      </c>
      <c r="G10" s="30">
        <v>5</v>
      </c>
      <c r="H10" s="32">
        <v>43222.323414351849</v>
      </c>
      <c r="I10" s="32">
        <v>43222.368321759262</v>
      </c>
      <c r="J10" s="37">
        <f t="shared" ref="J10:J31" si="1">IF($I10&lt;&gt;"",$I10-$H10,"")</f>
        <v>4.4907407413120382E-2</v>
      </c>
      <c r="K10" s="30">
        <v>10</v>
      </c>
      <c r="L10" s="32">
        <v>43222.312997685185</v>
      </c>
      <c r="M10" s="32">
        <v>43222.368321759262</v>
      </c>
      <c r="N10" s="37">
        <f t="shared" ref="N10:N31" si="2">IF($M10&lt;&gt;"",$M10-$L10,"")</f>
        <v>5.5324074077361729E-2</v>
      </c>
    </row>
    <row r="11" spans="1:27" x14ac:dyDescent="0.25">
      <c r="B11" s="24">
        <v>43223</v>
      </c>
      <c r="C11" s="30">
        <v>2</v>
      </c>
      <c r="D11" s="32">
        <v>43222.365081018521</v>
      </c>
      <c r="E11" s="32">
        <v>43222.368321759262</v>
      </c>
      <c r="F11" s="37">
        <f t="shared" si="0"/>
        <v>3.2407407416030765E-3</v>
      </c>
      <c r="G11" s="30">
        <v>5</v>
      </c>
      <c r="H11" s="32">
        <v>43222.323414351849</v>
      </c>
      <c r="I11" s="32">
        <v>43222.368321759262</v>
      </c>
      <c r="J11" s="37">
        <f t="shared" si="1"/>
        <v>4.4907407413120382E-2</v>
      </c>
      <c r="K11" s="30">
        <v>10</v>
      </c>
      <c r="L11" s="32">
        <v>43222.312997685185</v>
      </c>
      <c r="M11" s="32">
        <v>43222.368321759262</v>
      </c>
      <c r="N11" s="37">
        <f t="shared" si="2"/>
        <v>5.5324074077361729E-2</v>
      </c>
    </row>
    <row r="12" spans="1:27" x14ac:dyDescent="0.25">
      <c r="B12" s="24">
        <v>43224</v>
      </c>
      <c r="C12" s="30">
        <v>2</v>
      </c>
      <c r="D12" s="32">
        <v>43222.365081018521</v>
      </c>
      <c r="E12" s="32">
        <v>43222.368321759262</v>
      </c>
      <c r="F12" s="37">
        <f t="shared" si="0"/>
        <v>3.2407407416030765E-3</v>
      </c>
      <c r="G12" s="30">
        <v>5</v>
      </c>
      <c r="H12" s="32">
        <v>43222.323414351849</v>
      </c>
      <c r="I12" s="32">
        <v>43222.368321759262</v>
      </c>
      <c r="J12" s="37">
        <f t="shared" si="1"/>
        <v>4.4907407413120382E-2</v>
      </c>
      <c r="K12" s="30">
        <v>10</v>
      </c>
      <c r="L12" s="32">
        <v>43222.312997685185</v>
      </c>
      <c r="M12" s="32">
        <v>43222.368321759262</v>
      </c>
      <c r="N12" s="37">
        <f t="shared" si="2"/>
        <v>5.5324074077361729E-2</v>
      </c>
    </row>
    <row r="13" spans="1:27" x14ac:dyDescent="0.25">
      <c r="B13" s="24">
        <v>43227</v>
      </c>
      <c r="C13" s="30">
        <v>2</v>
      </c>
      <c r="D13" s="32">
        <v>43222.365081018521</v>
      </c>
      <c r="E13" s="32">
        <v>43222.368321759262</v>
      </c>
      <c r="F13" s="37">
        <f t="shared" si="0"/>
        <v>3.2407407416030765E-3</v>
      </c>
      <c r="G13" s="30">
        <v>5</v>
      </c>
      <c r="H13" s="32">
        <v>43222.323414351849</v>
      </c>
      <c r="I13" s="32">
        <v>43222.368321759262</v>
      </c>
      <c r="J13" s="37">
        <f t="shared" si="1"/>
        <v>4.4907407413120382E-2</v>
      </c>
      <c r="K13" s="30">
        <v>10</v>
      </c>
      <c r="L13" s="32">
        <v>43222.312997685185</v>
      </c>
      <c r="M13" s="32">
        <v>43222.368321759262</v>
      </c>
      <c r="N13" s="37">
        <f t="shared" si="2"/>
        <v>5.5324074077361729E-2</v>
      </c>
    </row>
    <row r="14" spans="1:27" x14ac:dyDescent="0.25">
      <c r="B14" s="24">
        <v>43228</v>
      </c>
      <c r="C14" s="30">
        <v>2</v>
      </c>
      <c r="D14" s="32">
        <v>43222.365081018521</v>
      </c>
      <c r="E14" s="32">
        <v>43222.368321759262</v>
      </c>
      <c r="F14" s="37">
        <f t="shared" si="0"/>
        <v>3.2407407416030765E-3</v>
      </c>
      <c r="G14" s="30">
        <v>5</v>
      </c>
      <c r="H14" s="32">
        <v>43222.323414351849</v>
      </c>
      <c r="I14" s="32">
        <v>43222.368321759262</v>
      </c>
      <c r="J14" s="37">
        <f t="shared" si="1"/>
        <v>4.4907407413120382E-2</v>
      </c>
      <c r="K14" s="30">
        <v>10</v>
      </c>
      <c r="L14" s="32">
        <v>43222.312997685185</v>
      </c>
      <c r="M14" s="32">
        <v>43222.368321759262</v>
      </c>
      <c r="N14" s="37">
        <f t="shared" si="2"/>
        <v>5.5324074077361729E-2</v>
      </c>
    </row>
    <row r="15" spans="1:27" x14ac:dyDescent="0.25">
      <c r="B15" s="24">
        <v>43229</v>
      </c>
      <c r="C15" s="30">
        <v>2</v>
      </c>
      <c r="D15" s="32">
        <v>43222.365081018521</v>
      </c>
      <c r="E15" s="32">
        <v>43222.368321759262</v>
      </c>
      <c r="F15" s="37">
        <f t="shared" si="0"/>
        <v>3.2407407416030765E-3</v>
      </c>
      <c r="G15" s="30">
        <v>5</v>
      </c>
      <c r="H15" s="32">
        <v>43222.323414351849</v>
      </c>
      <c r="I15" s="32">
        <v>43222.368321759262</v>
      </c>
      <c r="J15" s="37">
        <f t="shared" si="1"/>
        <v>4.4907407413120382E-2</v>
      </c>
      <c r="K15" s="30">
        <v>10</v>
      </c>
      <c r="L15" s="32">
        <v>43222.312997685185</v>
      </c>
      <c r="M15" s="32">
        <v>43222.368321759262</v>
      </c>
      <c r="N15" s="37">
        <f t="shared" si="2"/>
        <v>5.5324074077361729E-2</v>
      </c>
    </row>
    <row r="16" spans="1:27" x14ac:dyDescent="0.25">
      <c r="B16" s="24">
        <v>43230</v>
      </c>
      <c r="C16" s="30">
        <v>2</v>
      </c>
      <c r="D16" s="32">
        <v>43222.365081018521</v>
      </c>
      <c r="E16" s="32">
        <v>43222.368321759262</v>
      </c>
      <c r="F16" s="37">
        <f t="shared" si="0"/>
        <v>3.2407407416030765E-3</v>
      </c>
      <c r="G16" s="30">
        <v>5</v>
      </c>
      <c r="H16" s="32">
        <v>43222.323414351849</v>
      </c>
      <c r="I16" s="32">
        <v>43222.368321759262</v>
      </c>
      <c r="J16" s="37">
        <f t="shared" si="1"/>
        <v>4.4907407413120382E-2</v>
      </c>
      <c r="K16" s="30">
        <v>10</v>
      </c>
      <c r="L16" s="32">
        <v>43222.312997685185</v>
      </c>
      <c r="M16" s="32">
        <v>43222.368321759262</v>
      </c>
      <c r="N16" s="37">
        <f t="shared" si="2"/>
        <v>5.5324074077361729E-2</v>
      </c>
    </row>
    <row r="17" spans="2:14" x14ac:dyDescent="0.25">
      <c r="B17" s="24">
        <v>43231</v>
      </c>
      <c r="C17" s="30">
        <v>2</v>
      </c>
      <c r="D17" s="32">
        <v>43222.365081018521</v>
      </c>
      <c r="E17" s="32">
        <v>43222.368321759262</v>
      </c>
      <c r="F17" s="37">
        <f t="shared" si="0"/>
        <v>3.2407407416030765E-3</v>
      </c>
      <c r="G17" s="30">
        <v>5</v>
      </c>
      <c r="H17" s="32">
        <v>43222.323414351849</v>
      </c>
      <c r="I17" s="32">
        <v>43222.368321759262</v>
      </c>
      <c r="J17" s="37">
        <f t="shared" si="1"/>
        <v>4.4907407413120382E-2</v>
      </c>
      <c r="K17" s="30">
        <v>10</v>
      </c>
      <c r="L17" s="32">
        <v>43222.312997685185</v>
      </c>
      <c r="M17" s="32">
        <v>43222.368321759262</v>
      </c>
      <c r="N17" s="37">
        <f t="shared" si="2"/>
        <v>5.5324074077361729E-2</v>
      </c>
    </row>
    <row r="18" spans="2:14" x14ac:dyDescent="0.25">
      <c r="B18" s="24">
        <v>43234</v>
      </c>
      <c r="C18" s="30">
        <v>2</v>
      </c>
      <c r="D18" s="32">
        <v>43222.365081018521</v>
      </c>
      <c r="E18" s="32">
        <v>43222.368321759262</v>
      </c>
      <c r="F18" s="37">
        <f t="shared" si="0"/>
        <v>3.2407407416030765E-3</v>
      </c>
      <c r="G18" s="30">
        <v>5</v>
      </c>
      <c r="H18" s="32">
        <v>43222.323414351849</v>
      </c>
      <c r="I18" s="32">
        <v>43222.368321759262</v>
      </c>
      <c r="J18" s="37">
        <f t="shared" si="1"/>
        <v>4.4907407413120382E-2</v>
      </c>
      <c r="K18" s="30">
        <v>10</v>
      </c>
      <c r="L18" s="32">
        <v>43222.312997685185</v>
      </c>
      <c r="M18" s="32">
        <v>43222.368321759262</v>
      </c>
      <c r="N18" s="37">
        <f t="shared" si="2"/>
        <v>5.5324074077361729E-2</v>
      </c>
    </row>
    <row r="19" spans="2:14" x14ac:dyDescent="0.25">
      <c r="B19" s="24">
        <v>43235</v>
      </c>
      <c r="C19" s="30">
        <v>2</v>
      </c>
      <c r="D19" s="32">
        <v>43222.365081018521</v>
      </c>
      <c r="E19" s="32">
        <v>43222.368321759262</v>
      </c>
      <c r="F19" s="37">
        <f t="shared" si="0"/>
        <v>3.2407407416030765E-3</v>
      </c>
      <c r="G19" s="30">
        <v>5</v>
      </c>
      <c r="H19" s="32">
        <v>43222.323414351849</v>
      </c>
      <c r="I19" s="32">
        <v>43222.368321759262</v>
      </c>
      <c r="J19" s="37">
        <f t="shared" si="1"/>
        <v>4.4907407413120382E-2</v>
      </c>
      <c r="K19" s="30">
        <v>10</v>
      </c>
      <c r="L19" s="32">
        <v>43222.312997685185</v>
      </c>
      <c r="M19" s="32">
        <v>43222.368321759262</v>
      </c>
      <c r="N19" s="37">
        <f t="shared" si="2"/>
        <v>5.5324074077361729E-2</v>
      </c>
    </row>
    <row r="20" spans="2:14" x14ac:dyDescent="0.25">
      <c r="B20" s="24">
        <v>43236</v>
      </c>
      <c r="C20" s="30">
        <v>2</v>
      </c>
      <c r="D20" s="32">
        <v>43222.365081018521</v>
      </c>
      <c r="E20" s="32">
        <v>43222.368321759262</v>
      </c>
      <c r="F20" s="37">
        <f t="shared" si="0"/>
        <v>3.2407407416030765E-3</v>
      </c>
      <c r="G20" s="30">
        <v>5</v>
      </c>
      <c r="H20" s="32">
        <v>43222.323414351849</v>
      </c>
      <c r="I20" s="32">
        <v>43222.368321759262</v>
      </c>
      <c r="J20" s="37">
        <f t="shared" si="1"/>
        <v>4.4907407413120382E-2</v>
      </c>
      <c r="K20" s="30">
        <v>10</v>
      </c>
      <c r="L20" s="32">
        <v>43222.312997685185</v>
      </c>
      <c r="M20" s="32">
        <v>43222.368321759262</v>
      </c>
      <c r="N20" s="37">
        <f t="shared" si="2"/>
        <v>5.5324074077361729E-2</v>
      </c>
    </row>
    <row r="21" spans="2:14" x14ac:dyDescent="0.25">
      <c r="B21" s="24">
        <v>43237</v>
      </c>
      <c r="C21" s="30">
        <v>2</v>
      </c>
      <c r="D21" s="32">
        <v>43222.365081018521</v>
      </c>
      <c r="E21" s="32">
        <v>43222.368321759262</v>
      </c>
      <c r="F21" s="37">
        <f t="shared" si="0"/>
        <v>3.2407407416030765E-3</v>
      </c>
      <c r="G21" s="30">
        <v>5</v>
      </c>
      <c r="H21" s="32">
        <v>43222.323414351849</v>
      </c>
      <c r="I21" s="32">
        <v>43222.368321759262</v>
      </c>
      <c r="J21" s="37">
        <f t="shared" si="1"/>
        <v>4.4907407413120382E-2</v>
      </c>
      <c r="K21" s="30">
        <v>10</v>
      </c>
      <c r="L21" s="32">
        <v>43222.312997685185</v>
      </c>
      <c r="M21" s="32">
        <v>43222.368321759262</v>
      </c>
      <c r="N21" s="37">
        <f t="shared" si="2"/>
        <v>5.5324074077361729E-2</v>
      </c>
    </row>
    <row r="22" spans="2:14" x14ac:dyDescent="0.25">
      <c r="B22" s="24">
        <v>43238</v>
      </c>
      <c r="C22" s="30">
        <v>2</v>
      </c>
      <c r="D22" s="32">
        <v>43222.365081018521</v>
      </c>
      <c r="E22" s="32">
        <v>43222.368321759262</v>
      </c>
      <c r="F22" s="37">
        <f t="shared" si="0"/>
        <v>3.2407407416030765E-3</v>
      </c>
      <c r="G22" s="30">
        <v>5</v>
      </c>
      <c r="H22" s="32">
        <v>43222.323414351849</v>
      </c>
      <c r="I22" s="32">
        <v>43222.368321759262</v>
      </c>
      <c r="J22" s="37">
        <f t="shared" si="1"/>
        <v>4.4907407413120382E-2</v>
      </c>
      <c r="K22" s="30">
        <v>10</v>
      </c>
      <c r="L22" s="32">
        <v>43222.312997685185</v>
      </c>
      <c r="M22" s="32">
        <v>43222.368321759262</v>
      </c>
      <c r="N22" s="37">
        <f t="shared" si="2"/>
        <v>5.5324074077361729E-2</v>
      </c>
    </row>
    <row r="23" spans="2:14" x14ac:dyDescent="0.25">
      <c r="B23" s="24">
        <v>43241</v>
      </c>
      <c r="C23" s="30">
        <v>2</v>
      </c>
      <c r="D23" s="32">
        <v>43222.365081018521</v>
      </c>
      <c r="E23" s="32">
        <v>43222.368321759262</v>
      </c>
      <c r="F23" s="37">
        <f t="shared" si="0"/>
        <v>3.2407407416030765E-3</v>
      </c>
      <c r="G23" s="30">
        <v>5</v>
      </c>
      <c r="H23" s="32">
        <v>43222.323414351849</v>
      </c>
      <c r="I23" s="32">
        <v>43222.368321759262</v>
      </c>
      <c r="J23" s="37">
        <f t="shared" si="1"/>
        <v>4.4907407413120382E-2</v>
      </c>
      <c r="K23" s="30">
        <v>10</v>
      </c>
      <c r="L23" s="32">
        <v>43222.312997685185</v>
      </c>
      <c r="M23" s="32">
        <v>43222.368321759262</v>
      </c>
      <c r="N23" s="37">
        <f t="shared" si="2"/>
        <v>5.5324074077361729E-2</v>
      </c>
    </row>
    <row r="24" spans="2:14" x14ac:dyDescent="0.25">
      <c r="B24" s="24">
        <v>43242</v>
      </c>
      <c r="C24" s="30">
        <v>2</v>
      </c>
      <c r="D24" s="32">
        <v>43222.365081018521</v>
      </c>
      <c r="E24" s="32">
        <v>43222.368321759262</v>
      </c>
      <c r="F24" s="37">
        <f t="shared" si="0"/>
        <v>3.2407407416030765E-3</v>
      </c>
      <c r="G24" s="30">
        <v>5</v>
      </c>
      <c r="H24" s="32">
        <v>43222.323414351849</v>
      </c>
      <c r="I24" s="32">
        <v>43222.368321759262</v>
      </c>
      <c r="J24" s="37">
        <f t="shared" si="1"/>
        <v>4.4907407413120382E-2</v>
      </c>
      <c r="K24" s="30">
        <v>10</v>
      </c>
      <c r="L24" s="32">
        <v>43222.312997685185</v>
      </c>
      <c r="M24" s="32">
        <v>43222.368321759262</v>
      </c>
      <c r="N24" s="37">
        <f t="shared" si="2"/>
        <v>5.5324074077361729E-2</v>
      </c>
    </row>
    <row r="25" spans="2:14" x14ac:dyDescent="0.25">
      <c r="B25" s="24">
        <v>43243</v>
      </c>
      <c r="C25" s="30">
        <v>2</v>
      </c>
      <c r="D25" s="32">
        <v>43222.365081018521</v>
      </c>
      <c r="E25" s="32">
        <v>43222.368321759262</v>
      </c>
      <c r="F25" s="37">
        <f t="shared" si="0"/>
        <v>3.2407407416030765E-3</v>
      </c>
      <c r="G25" s="30">
        <v>5</v>
      </c>
      <c r="H25" s="32">
        <v>43222.323414351849</v>
      </c>
      <c r="I25" s="32">
        <v>43222.368321759262</v>
      </c>
      <c r="J25" s="37">
        <f t="shared" si="1"/>
        <v>4.4907407413120382E-2</v>
      </c>
      <c r="K25" s="30">
        <v>10</v>
      </c>
      <c r="L25" s="32">
        <v>43222.312997685185</v>
      </c>
      <c r="M25" s="32">
        <v>43222.368321759262</v>
      </c>
      <c r="N25" s="37">
        <f t="shared" si="2"/>
        <v>5.5324074077361729E-2</v>
      </c>
    </row>
    <row r="26" spans="2:14" x14ac:dyDescent="0.25">
      <c r="B26" s="24">
        <v>43244</v>
      </c>
      <c r="C26" s="30">
        <v>2</v>
      </c>
      <c r="D26" s="32">
        <v>43222.365081018521</v>
      </c>
      <c r="E26" s="32">
        <v>43222.368321759262</v>
      </c>
      <c r="F26" s="37">
        <f t="shared" si="0"/>
        <v>3.2407407416030765E-3</v>
      </c>
      <c r="G26" s="30">
        <v>5</v>
      </c>
      <c r="H26" s="32">
        <v>43222.323414351849</v>
      </c>
      <c r="I26" s="32">
        <v>43222.368321759262</v>
      </c>
      <c r="J26" s="37">
        <f t="shared" si="1"/>
        <v>4.4907407413120382E-2</v>
      </c>
      <c r="K26" s="30">
        <v>10</v>
      </c>
      <c r="L26" s="32">
        <v>43222.312997685185</v>
      </c>
      <c r="M26" s="32">
        <v>43222.368321759262</v>
      </c>
      <c r="N26" s="37">
        <f t="shared" si="2"/>
        <v>5.5324074077361729E-2</v>
      </c>
    </row>
    <row r="27" spans="2:14" x14ac:dyDescent="0.25">
      <c r="B27" s="24">
        <v>43245</v>
      </c>
      <c r="C27" s="30">
        <v>2</v>
      </c>
      <c r="D27" s="32">
        <v>43222.365081018521</v>
      </c>
      <c r="E27" s="32">
        <v>43222.368321759262</v>
      </c>
      <c r="F27" s="37">
        <f t="shared" si="0"/>
        <v>3.2407407416030765E-3</v>
      </c>
      <c r="G27" s="30">
        <v>5</v>
      </c>
      <c r="H27" s="32">
        <v>43222.323414351849</v>
      </c>
      <c r="I27" s="32">
        <v>43222.368321759262</v>
      </c>
      <c r="J27" s="37">
        <f t="shared" si="1"/>
        <v>4.4907407413120382E-2</v>
      </c>
      <c r="K27" s="30">
        <v>10</v>
      </c>
      <c r="L27" s="32">
        <v>43222.312997685185</v>
      </c>
      <c r="M27" s="32">
        <v>43222.368321759262</v>
      </c>
      <c r="N27" s="37">
        <f t="shared" si="2"/>
        <v>5.5324074077361729E-2</v>
      </c>
    </row>
    <row r="28" spans="2:14" x14ac:dyDescent="0.25">
      <c r="B28" s="24">
        <v>43248</v>
      </c>
      <c r="C28" s="30">
        <v>2</v>
      </c>
      <c r="D28" s="32">
        <v>43222.365081018521</v>
      </c>
      <c r="E28" s="32">
        <v>43222.368321759262</v>
      </c>
      <c r="F28" s="37">
        <f t="shared" si="0"/>
        <v>3.2407407416030765E-3</v>
      </c>
      <c r="G28" s="30">
        <v>5</v>
      </c>
      <c r="H28" s="32">
        <v>43222.323414351849</v>
      </c>
      <c r="I28" s="32">
        <v>43222.368321759262</v>
      </c>
      <c r="J28" s="37">
        <f t="shared" si="1"/>
        <v>4.4907407413120382E-2</v>
      </c>
      <c r="K28" s="30">
        <v>10</v>
      </c>
      <c r="L28" s="32">
        <v>43222.312997685185</v>
      </c>
      <c r="M28" s="32">
        <v>43222.368321759262</v>
      </c>
      <c r="N28" s="37">
        <f t="shared" si="2"/>
        <v>5.5324074077361729E-2</v>
      </c>
    </row>
    <row r="29" spans="2:14" x14ac:dyDescent="0.25">
      <c r="B29" s="24">
        <v>43249</v>
      </c>
      <c r="C29" s="30">
        <v>2</v>
      </c>
      <c r="D29" s="32">
        <v>43222.365081018521</v>
      </c>
      <c r="E29" s="32">
        <v>43222.368321759262</v>
      </c>
      <c r="F29" s="37">
        <f t="shared" si="0"/>
        <v>3.2407407416030765E-3</v>
      </c>
      <c r="G29" s="30">
        <v>5</v>
      </c>
      <c r="H29" s="32">
        <v>43222.323414351849</v>
      </c>
      <c r="I29" s="32">
        <v>43222.368321759262</v>
      </c>
      <c r="J29" s="37">
        <f t="shared" si="1"/>
        <v>4.4907407413120382E-2</v>
      </c>
      <c r="K29" s="30">
        <v>10</v>
      </c>
      <c r="L29" s="32">
        <v>43222.312997685185</v>
      </c>
      <c r="M29" s="32">
        <v>43222.368321759262</v>
      </c>
      <c r="N29" s="37">
        <f t="shared" si="2"/>
        <v>5.5324074077361729E-2</v>
      </c>
    </row>
    <row r="30" spans="2:14" x14ac:dyDescent="0.25">
      <c r="B30" s="24">
        <v>43250</v>
      </c>
      <c r="C30" s="30">
        <v>2</v>
      </c>
      <c r="D30" s="32">
        <v>43222.365081018521</v>
      </c>
      <c r="E30" s="32">
        <v>43222.368321759262</v>
      </c>
      <c r="F30" s="37">
        <f t="shared" si="0"/>
        <v>3.2407407416030765E-3</v>
      </c>
      <c r="G30" s="30">
        <v>5</v>
      </c>
      <c r="H30" s="32">
        <v>43222.323414351849</v>
      </c>
      <c r="I30" s="32">
        <v>43222.368321759262</v>
      </c>
      <c r="J30" s="37">
        <f t="shared" si="1"/>
        <v>4.4907407413120382E-2</v>
      </c>
      <c r="K30" s="30">
        <v>10</v>
      </c>
      <c r="L30" s="32">
        <v>43222.312997685185</v>
      </c>
      <c r="M30" s="32">
        <v>43222.368321759262</v>
      </c>
      <c r="N30" s="37">
        <f t="shared" si="2"/>
        <v>5.5324074077361729E-2</v>
      </c>
    </row>
    <row r="31" spans="2:14" x14ac:dyDescent="0.25">
      <c r="B31" s="24">
        <v>43251</v>
      </c>
      <c r="C31" s="30">
        <v>2</v>
      </c>
      <c r="D31" s="32">
        <v>43222.365081018521</v>
      </c>
      <c r="E31" s="32">
        <v>43222.368321759262</v>
      </c>
      <c r="F31" s="37">
        <f t="shared" si="0"/>
        <v>3.2407407416030765E-3</v>
      </c>
      <c r="G31" s="30">
        <v>5</v>
      </c>
      <c r="H31" s="32">
        <v>43222.323414351849</v>
      </c>
      <c r="I31" s="32">
        <v>43222.368321759262</v>
      </c>
      <c r="J31" s="37">
        <f t="shared" si="1"/>
        <v>4.4907407413120382E-2</v>
      </c>
      <c r="K31" s="30">
        <v>10</v>
      </c>
      <c r="L31" s="32">
        <v>43222.312997685185</v>
      </c>
      <c r="M31" s="32">
        <v>43222.368321759262</v>
      </c>
      <c r="N31" s="37">
        <f t="shared" si="2"/>
        <v>5.5324074077361729E-2</v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Holiday sheet column D" promptTitle="Data Selection" prompt="Select the data from the drop down, if any new data then add it in Holidays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>
      <selection activeCell="M7" sqref="M7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May-18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43222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43223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43224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43227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43228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43229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43230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43231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43234</v>
      </c>
    </row>
    <row r="11" spans="1:14" x14ac:dyDescent="0.25">
      <c r="A11" s="1"/>
      <c r="B11" s="2"/>
      <c r="I11" s="9">
        <f>WORKDAY(Monthly!$B$3-DAY(Monthly!$B$3),10,MLPHolidays)</f>
        <v>43235</v>
      </c>
    </row>
    <row r="12" spans="1:14" x14ac:dyDescent="0.25">
      <c r="A12" s="1"/>
      <c r="B12" s="2"/>
      <c r="I12" s="9">
        <f>WORKDAY(Monthly!$B$3-DAY(Monthly!$B$3),11,MLPHolidays)</f>
        <v>43236</v>
      </c>
    </row>
    <row r="13" spans="1:14" x14ac:dyDescent="0.25">
      <c r="A13" s="1"/>
      <c r="B13" s="2"/>
      <c r="I13" s="9">
        <f>WORKDAY(Monthly!$B$3-DAY(Monthly!$B$3),12,MLPHolidays)</f>
        <v>43237</v>
      </c>
    </row>
    <row r="14" spans="1:14" x14ac:dyDescent="0.25">
      <c r="A14" s="1"/>
      <c r="B14" s="2"/>
      <c r="I14" s="9">
        <f>WORKDAY(Monthly!$B$3-DAY(Monthly!$B$3),13,MLPHolidays)</f>
        <v>43238</v>
      </c>
    </row>
    <row r="15" spans="1:14" x14ac:dyDescent="0.25">
      <c r="A15" s="1"/>
      <c r="B15" s="2"/>
      <c r="I15" s="9">
        <f>WORKDAY(Monthly!$B$3-DAY(Monthly!$B$3),14,MLPHolidays)</f>
        <v>43241</v>
      </c>
    </row>
    <row r="16" spans="1:14" x14ac:dyDescent="0.25">
      <c r="A16" s="1"/>
      <c r="B16" s="2"/>
      <c r="I16" s="9">
        <f>WORKDAY(Monthly!$B$3-DAY(Monthly!$B$3),15,MLPHolidays)</f>
        <v>43242</v>
      </c>
    </row>
    <row r="17" spans="1:9" x14ac:dyDescent="0.25">
      <c r="A17" s="1"/>
      <c r="B17" s="2"/>
      <c r="I17" s="9">
        <f>WORKDAY(Monthly!$B$3-DAY(Monthly!$B$3),16,MLPHolidays)</f>
        <v>43243</v>
      </c>
    </row>
    <row r="18" spans="1:9" x14ac:dyDescent="0.25">
      <c r="A18" s="1"/>
      <c r="B18" s="2"/>
      <c r="I18" s="9">
        <f>WORKDAY(Monthly!$B$3-DAY(Monthly!$B$3),17,MLPHolidays)</f>
        <v>43244</v>
      </c>
    </row>
    <row r="19" spans="1:9" x14ac:dyDescent="0.25">
      <c r="A19" s="1"/>
      <c r="B19" s="2"/>
      <c r="I19" s="9">
        <f>WORKDAY(Monthly!$B$3-DAY(Monthly!$B$3),18,MLPHolidays)</f>
        <v>43245</v>
      </c>
    </row>
    <row r="20" spans="1:9" x14ac:dyDescent="0.25">
      <c r="A20" s="1"/>
      <c r="B20" s="2"/>
      <c r="I20" s="9">
        <f>WORKDAY(Monthly!$B$3-DAY(Monthly!$B$3),19,MLPHolidays)</f>
        <v>43248</v>
      </c>
    </row>
    <row r="21" spans="1:9" x14ac:dyDescent="0.25">
      <c r="A21" s="1"/>
      <c r="B21" s="2"/>
      <c r="I21" s="9">
        <f>WORKDAY(Monthly!$B$3-DAY(Monthly!$B$3),20,MLPHolidays)</f>
        <v>43249</v>
      </c>
    </row>
    <row r="22" spans="1:9" x14ac:dyDescent="0.25">
      <c r="A22" s="1"/>
      <c r="B22" s="2"/>
      <c r="I22" s="9">
        <f>WORKDAY(Monthly!$B$3-DAY(Monthly!$B$3),21,MLPHolidays)</f>
        <v>43250</v>
      </c>
    </row>
    <row r="23" spans="1:9" x14ac:dyDescent="0.25">
      <c r="A23" s="1"/>
      <c r="B23" s="2"/>
      <c r="I23" s="9">
        <f>WORKDAY(Monthly!$B$3-DAY(Monthly!$B$3),22,MLPHolidays)</f>
        <v>43251</v>
      </c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Q24"/>
  <sheetViews>
    <sheetView topLeftCell="E1" workbookViewId="0">
      <selection activeCell="P3" sqref="P3"/>
    </sheetView>
  </sheetViews>
  <sheetFormatPr defaultRowHeight="15" x14ac:dyDescent="0.25"/>
  <cols>
    <col min="1" max="1" width="9.7109375" style="4" customWidth="1"/>
    <col min="2" max="4" width="12.7109375" style="38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2.7109375" style="40" customWidth="1"/>
    <col min="18" max="16384" width="9.140625" style="4"/>
  </cols>
  <sheetData>
    <row r="1" spans="1:16" x14ac:dyDescent="0.25">
      <c r="A1" s="36">
        <v>43238</v>
      </c>
      <c r="B1" s="55" t="s">
        <v>19</v>
      </c>
      <c r="C1" s="55"/>
      <c r="D1" s="55"/>
      <c r="M1" s="36">
        <v>43238</v>
      </c>
      <c r="N1" s="55" t="s">
        <v>20</v>
      </c>
      <c r="O1" s="55"/>
      <c r="P1" s="55"/>
    </row>
    <row r="2" spans="1:16" x14ac:dyDescent="0.25">
      <c r="A2" s="25" t="s">
        <v>18</v>
      </c>
      <c r="B2" s="39" t="s">
        <v>6</v>
      </c>
      <c r="C2" s="39" t="s">
        <v>8</v>
      </c>
      <c r="D2" s="39" t="s">
        <v>1</v>
      </c>
      <c r="M2" s="25" t="s">
        <v>18</v>
      </c>
      <c r="N2" s="41" t="s">
        <v>6</v>
      </c>
      <c r="O2" s="41" t="s">
        <v>8</v>
      </c>
      <c r="P2" s="41" t="s">
        <v>1</v>
      </c>
    </row>
    <row r="3" spans="1:16" x14ac:dyDescent="0.25">
      <c r="A3" s="26">
        <v>43222</v>
      </c>
      <c r="B3" s="39">
        <v>3.2407407416030765E-3</v>
      </c>
      <c r="C3" s="39">
        <v>4.4907407413120382E-2</v>
      </c>
      <c r="D3" s="39">
        <v>5.5324074077361729E-2</v>
      </c>
      <c r="M3" s="26">
        <v>43222</v>
      </c>
      <c r="N3" s="41">
        <v>2</v>
      </c>
      <c r="O3" s="41">
        <v>5</v>
      </c>
      <c r="P3" s="41">
        <v>10</v>
      </c>
    </row>
    <row r="4" spans="1:16" x14ac:dyDescent="0.25">
      <c r="A4" s="26">
        <v>43223</v>
      </c>
      <c r="B4" s="39">
        <v>3.2407407416030765E-3</v>
      </c>
      <c r="C4" s="39">
        <v>4.4907407413120382E-2</v>
      </c>
      <c r="D4" s="39">
        <v>5.5324074077361729E-2</v>
      </c>
      <c r="M4" s="26">
        <v>43223</v>
      </c>
      <c r="N4" s="41">
        <v>2</v>
      </c>
      <c r="O4" s="41">
        <v>5</v>
      </c>
      <c r="P4" s="41">
        <v>10</v>
      </c>
    </row>
    <row r="5" spans="1:16" x14ac:dyDescent="0.25">
      <c r="A5" s="26">
        <v>43224</v>
      </c>
      <c r="B5" s="39">
        <v>3.2407407416030765E-3</v>
      </c>
      <c r="C5" s="39">
        <v>4.4907407413120382E-2</v>
      </c>
      <c r="D5" s="39">
        <v>5.5324074077361729E-2</v>
      </c>
      <c r="M5" s="26">
        <v>43224</v>
      </c>
      <c r="N5" s="41">
        <v>2</v>
      </c>
      <c r="O5" s="41">
        <v>5</v>
      </c>
      <c r="P5" s="41">
        <v>10</v>
      </c>
    </row>
    <row r="6" spans="1:16" x14ac:dyDescent="0.25">
      <c r="A6" s="26">
        <v>43227</v>
      </c>
      <c r="B6" s="39">
        <v>3.2407407416030765E-3</v>
      </c>
      <c r="C6" s="39">
        <v>4.4907407413120382E-2</v>
      </c>
      <c r="D6" s="39">
        <v>5.5324074077361729E-2</v>
      </c>
      <c r="M6" s="26">
        <v>43227</v>
      </c>
      <c r="N6" s="41">
        <v>2</v>
      </c>
      <c r="O6" s="41">
        <v>5</v>
      </c>
      <c r="P6" s="41">
        <v>10</v>
      </c>
    </row>
    <row r="7" spans="1:16" x14ac:dyDescent="0.25">
      <c r="A7" s="26">
        <v>43228</v>
      </c>
      <c r="B7" s="39">
        <v>3.2407407416030765E-3</v>
      </c>
      <c r="C7" s="39">
        <v>4.4907407413120382E-2</v>
      </c>
      <c r="D7" s="39">
        <v>5.5324074077361729E-2</v>
      </c>
      <c r="M7" s="26">
        <v>43228</v>
      </c>
      <c r="N7" s="41">
        <v>2</v>
      </c>
      <c r="O7" s="41">
        <v>5</v>
      </c>
      <c r="P7" s="41">
        <v>10</v>
      </c>
    </row>
    <row r="8" spans="1:16" x14ac:dyDescent="0.25">
      <c r="A8" s="26">
        <v>43229</v>
      </c>
      <c r="B8" s="39">
        <v>3.2407407416030765E-3</v>
      </c>
      <c r="C8" s="39">
        <v>4.4907407413120382E-2</v>
      </c>
      <c r="D8" s="39">
        <v>5.5324074077361729E-2</v>
      </c>
      <c r="M8" s="26">
        <v>43229</v>
      </c>
      <c r="N8" s="41">
        <v>2</v>
      </c>
      <c r="O8" s="41">
        <v>5</v>
      </c>
      <c r="P8" s="41">
        <v>10</v>
      </c>
    </row>
    <row r="9" spans="1:16" x14ac:dyDescent="0.25">
      <c r="A9" s="26">
        <v>43230</v>
      </c>
      <c r="B9" s="39">
        <v>3.2407407416030765E-3</v>
      </c>
      <c r="C9" s="39">
        <v>4.4907407413120382E-2</v>
      </c>
      <c r="D9" s="39">
        <v>5.5324074077361729E-2</v>
      </c>
      <c r="G9" s="27" t="s">
        <v>27</v>
      </c>
      <c r="M9" s="26">
        <v>43230</v>
      </c>
      <c r="N9" s="41">
        <v>2</v>
      </c>
      <c r="O9" s="41">
        <v>5</v>
      </c>
      <c r="P9" s="41">
        <v>10</v>
      </c>
    </row>
    <row r="10" spans="1:16" x14ac:dyDescent="0.25">
      <c r="A10" s="26">
        <v>43231</v>
      </c>
      <c r="B10" s="39">
        <v>3.2407407416030765E-3</v>
      </c>
      <c r="C10" s="39">
        <v>4.4907407413120382E-2</v>
      </c>
      <c r="D10" s="39">
        <v>5.5324074077361729E-2</v>
      </c>
      <c r="G10" s="28" t="s">
        <v>21</v>
      </c>
      <c r="H10" s="42" t="s">
        <v>22</v>
      </c>
      <c r="I10" s="43" t="s">
        <v>23</v>
      </c>
      <c r="J10" s="43" t="s">
        <v>24</v>
      </c>
      <c r="M10" s="26">
        <v>43231</v>
      </c>
      <c r="N10" s="41">
        <v>2</v>
      </c>
      <c r="O10" s="41">
        <v>5</v>
      </c>
      <c r="P10" s="41">
        <v>10</v>
      </c>
    </row>
    <row r="11" spans="1:16" x14ac:dyDescent="0.25">
      <c r="A11" s="26">
        <v>43234</v>
      </c>
      <c r="B11" s="39">
        <v>3.2407407416030765E-3</v>
      </c>
      <c r="C11" s="39">
        <v>4.4907407413120382E-2</v>
      </c>
      <c r="D11" s="39">
        <v>5.5324074077361729E-2</v>
      </c>
      <c r="G11" s="25" t="s">
        <v>6</v>
      </c>
      <c r="H11" s="41">
        <v>44</v>
      </c>
      <c r="I11" s="39">
        <v>7.1296296315267682E-2</v>
      </c>
      <c r="J11" s="39">
        <v>3.2407407416030765E-3</v>
      </c>
      <c r="M11" s="26">
        <v>43234</v>
      </c>
      <c r="N11" s="41">
        <v>2</v>
      </c>
      <c r="O11" s="41">
        <v>5</v>
      </c>
      <c r="P11" s="41">
        <v>10</v>
      </c>
    </row>
    <row r="12" spans="1:16" x14ac:dyDescent="0.25">
      <c r="A12" s="26">
        <v>43235</v>
      </c>
      <c r="B12" s="39">
        <v>3.2407407416030765E-3</v>
      </c>
      <c r="C12" s="39">
        <v>4.4907407413120382E-2</v>
      </c>
      <c r="D12" s="39">
        <v>5.5324074077361729E-2</v>
      </c>
      <c r="G12" s="25" t="s">
        <v>8</v>
      </c>
      <c r="H12" s="41">
        <v>110</v>
      </c>
      <c r="I12" s="39">
        <v>0.98796296308864839</v>
      </c>
      <c r="J12" s="39">
        <v>4.4907407413120382E-2</v>
      </c>
      <c r="M12" s="26">
        <v>43235</v>
      </c>
      <c r="N12" s="41">
        <v>2</v>
      </c>
      <c r="O12" s="41">
        <v>5</v>
      </c>
      <c r="P12" s="41">
        <v>10</v>
      </c>
    </row>
    <row r="13" spans="1:16" x14ac:dyDescent="0.25">
      <c r="A13" s="26">
        <v>43236</v>
      </c>
      <c r="B13" s="39">
        <v>3.2407407416030765E-3</v>
      </c>
      <c r="C13" s="39">
        <v>4.4907407413120382E-2</v>
      </c>
      <c r="D13" s="39">
        <v>5.5324074077361729E-2</v>
      </c>
      <c r="G13" s="25" t="s">
        <v>1</v>
      </c>
      <c r="H13" s="41">
        <v>220</v>
      </c>
      <c r="I13" s="39">
        <v>1.217129629701958</v>
      </c>
      <c r="J13" s="39">
        <v>5.5324074077361729E-2</v>
      </c>
      <c r="M13" s="26">
        <v>43236</v>
      </c>
      <c r="N13" s="41">
        <v>2</v>
      </c>
      <c r="O13" s="41">
        <v>5</v>
      </c>
      <c r="P13" s="41">
        <v>10</v>
      </c>
    </row>
    <row r="14" spans="1:16" x14ac:dyDescent="0.25">
      <c r="A14" s="26">
        <v>43237</v>
      </c>
      <c r="B14" s="39">
        <v>3.2407407416030765E-3</v>
      </c>
      <c r="C14" s="39">
        <v>4.4907407413120382E-2</v>
      </c>
      <c r="D14" s="39">
        <v>5.5324074077361729E-2</v>
      </c>
      <c r="M14" s="26">
        <v>43237</v>
      </c>
      <c r="N14" s="41">
        <v>2</v>
      </c>
      <c r="O14" s="41">
        <v>5</v>
      </c>
      <c r="P14" s="41">
        <v>10</v>
      </c>
    </row>
    <row r="15" spans="1:16" x14ac:dyDescent="0.25">
      <c r="A15" s="26">
        <v>43238</v>
      </c>
      <c r="B15" s="39">
        <v>3.2407407416030765E-3</v>
      </c>
      <c r="C15" s="39">
        <v>4.4907407413120382E-2</v>
      </c>
      <c r="D15" s="39">
        <v>5.5324074077361729E-2</v>
      </c>
      <c r="M15" s="26">
        <v>43238</v>
      </c>
      <c r="N15" s="41">
        <v>2</v>
      </c>
      <c r="O15" s="41">
        <v>5</v>
      </c>
      <c r="P15" s="41">
        <v>10</v>
      </c>
    </row>
    <row r="16" spans="1:16" x14ac:dyDescent="0.25">
      <c r="A16" s="26">
        <v>43241</v>
      </c>
      <c r="B16" s="39">
        <v>3.2407407416030765E-3</v>
      </c>
      <c r="C16" s="39">
        <v>4.4907407413120382E-2</v>
      </c>
      <c r="D16" s="39">
        <v>5.5324074077361729E-2</v>
      </c>
      <c r="M16" s="26">
        <v>43241</v>
      </c>
      <c r="N16" s="41">
        <v>2</v>
      </c>
      <c r="O16" s="41">
        <v>5</v>
      </c>
      <c r="P16" s="41">
        <v>10</v>
      </c>
    </row>
    <row r="17" spans="1:16" x14ac:dyDescent="0.25">
      <c r="A17" s="26">
        <v>43242</v>
      </c>
      <c r="B17" s="39">
        <v>3.2407407416030765E-3</v>
      </c>
      <c r="C17" s="39">
        <v>4.4907407413120382E-2</v>
      </c>
      <c r="D17" s="39">
        <v>5.5324074077361729E-2</v>
      </c>
      <c r="M17" s="26">
        <v>43242</v>
      </c>
      <c r="N17" s="41">
        <v>2</v>
      </c>
      <c r="O17" s="41">
        <v>5</v>
      </c>
      <c r="P17" s="41">
        <v>10</v>
      </c>
    </row>
    <row r="18" spans="1:16" x14ac:dyDescent="0.25">
      <c r="A18" s="26">
        <v>43243</v>
      </c>
      <c r="B18" s="39">
        <v>3.2407407416030765E-3</v>
      </c>
      <c r="C18" s="39">
        <v>4.4907407413120382E-2</v>
      </c>
      <c r="D18" s="39">
        <v>5.5324074077361729E-2</v>
      </c>
      <c r="M18" s="26">
        <v>43243</v>
      </c>
      <c r="N18" s="41">
        <v>2</v>
      </c>
      <c r="O18" s="41">
        <v>5</v>
      </c>
      <c r="P18" s="41">
        <v>10</v>
      </c>
    </row>
    <row r="19" spans="1:16" x14ac:dyDescent="0.25">
      <c r="A19" s="26">
        <v>43244</v>
      </c>
      <c r="B19" s="39">
        <v>3.2407407416030765E-3</v>
      </c>
      <c r="C19" s="39">
        <v>4.4907407413120382E-2</v>
      </c>
      <c r="D19" s="39">
        <v>5.5324074077361729E-2</v>
      </c>
      <c r="M19" s="26">
        <v>43244</v>
      </c>
      <c r="N19" s="41">
        <v>2</v>
      </c>
      <c r="O19" s="41">
        <v>5</v>
      </c>
      <c r="P19" s="41">
        <v>10</v>
      </c>
    </row>
    <row r="20" spans="1:16" x14ac:dyDescent="0.25">
      <c r="A20" s="26">
        <v>43245</v>
      </c>
      <c r="B20" s="39">
        <v>3.2407407416030765E-3</v>
      </c>
      <c r="C20" s="39">
        <v>4.4907407413120382E-2</v>
      </c>
      <c r="D20" s="39">
        <v>5.5324074077361729E-2</v>
      </c>
      <c r="M20" s="26">
        <v>43245</v>
      </c>
      <c r="N20" s="41">
        <v>2</v>
      </c>
      <c r="O20" s="41">
        <v>5</v>
      </c>
      <c r="P20" s="41">
        <v>10</v>
      </c>
    </row>
    <row r="21" spans="1:16" x14ac:dyDescent="0.25">
      <c r="A21" s="26">
        <v>43248</v>
      </c>
      <c r="B21" s="39">
        <v>3.2407407416030765E-3</v>
      </c>
      <c r="C21" s="39">
        <v>4.4907407413120382E-2</v>
      </c>
      <c r="D21" s="39">
        <v>5.5324074077361729E-2</v>
      </c>
      <c r="M21" s="26">
        <v>43248</v>
      </c>
      <c r="N21" s="41">
        <v>2</v>
      </c>
      <c r="O21" s="41">
        <v>5</v>
      </c>
      <c r="P21" s="41">
        <v>10</v>
      </c>
    </row>
    <row r="22" spans="1:16" x14ac:dyDescent="0.25">
      <c r="A22" s="26">
        <v>43249</v>
      </c>
      <c r="B22" s="39">
        <v>3.2407407416030765E-3</v>
      </c>
      <c r="C22" s="39">
        <v>4.4907407413120382E-2</v>
      </c>
      <c r="D22" s="39">
        <v>5.5324074077361729E-2</v>
      </c>
      <c r="M22" s="26">
        <v>43249</v>
      </c>
      <c r="N22" s="41">
        <v>2</v>
      </c>
      <c r="O22" s="41">
        <v>5</v>
      </c>
      <c r="P22" s="41">
        <v>10</v>
      </c>
    </row>
    <row r="23" spans="1:16" x14ac:dyDescent="0.25">
      <c r="A23" s="26">
        <v>43250</v>
      </c>
      <c r="B23" s="39">
        <v>3.2407407416030765E-3</v>
      </c>
      <c r="C23" s="39">
        <v>4.4907407413120382E-2</v>
      </c>
      <c r="D23" s="39">
        <v>5.5324074077361729E-2</v>
      </c>
      <c r="M23" s="26">
        <v>43250</v>
      </c>
      <c r="N23" s="41">
        <v>2</v>
      </c>
      <c r="O23" s="41">
        <v>5</v>
      </c>
      <c r="P23" s="41">
        <v>10</v>
      </c>
    </row>
    <row r="24" spans="1:16" x14ac:dyDescent="0.25">
      <c r="A24" s="26">
        <v>43251</v>
      </c>
      <c r="B24" s="39">
        <v>3.2407407416030765E-3</v>
      </c>
      <c r="C24" s="39">
        <v>4.4907407413120382E-2</v>
      </c>
      <c r="D24" s="39">
        <v>5.5324074077361729E-2</v>
      </c>
      <c r="M24" s="26">
        <v>43251</v>
      </c>
      <c r="N24" s="41">
        <v>2</v>
      </c>
      <c r="O24" s="41">
        <v>5</v>
      </c>
      <c r="P24" s="41">
        <v>10</v>
      </c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N15"/>
  <sheetViews>
    <sheetView workbookViewId="0">
      <selection activeCell="B4" sqref="B4:N4"/>
    </sheetView>
  </sheetViews>
  <sheetFormatPr defaultRowHeight="15" x14ac:dyDescent="0.25"/>
  <sheetData>
    <row r="1" spans="1:14" x14ac:dyDescent="0.25">
      <c r="A1" s="25" t="s">
        <v>29</v>
      </c>
      <c r="B1" s="56" t="s">
        <v>34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8"/>
    </row>
    <row r="2" spans="1:14" x14ac:dyDescent="0.25">
      <c r="A2" s="25" t="s">
        <v>30</v>
      </c>
      <c r="B2" s="56" t="s">
        <v>31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8"/>
    </row>
    <row r="3" spans="1:14" x14ac:dyDescent="0.25">
      <c r="A3" s="25" t="s">
        <v>33</v>
      </c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1"/>
    </row>
    <row r="4" spans="1:14" x14ac:dyDescent="0.25">
      <c r="A4" s="65" t="s">
        <v>32</v>
      </c>
      <c r="B4" s="62" t="str">
        <f>IF(Monthly!$B$3&lt;&gt;"",TEXT(Monthly!$B$3,"MMM-YY"),"") &amp; " Timesheet Report"</f>
        <v>May-18 Timesheet Report</v>
      </c>
      <c r="C4" s="63" t="str">
        <f>IF(Monthly!$B$3&lt;&gt;"",TEXT(Monthly!$B$3,"MMM-YY"),"")</f>
        <v>May-18</v>
      </c>
      <c r="D4" s="63" t="str">
        <f>IF(Monthly!$B$3&lt;&gt;"",TEXT(Monthly!$B$3,"MMM-YY"),"")</f>
        <v>May-18</v>
      </c>
      <c r="E4" s="63" t="str">
        <f>IF(Monthly!$B$3&lt;&gt;"",TEXT(Monthly!$B$3,"MMM-YY"),"")</f>
        <v>May-18</v>
      </c>
      <c r="F4" s="63" t="str">
        <f>IF(Monthly!$B$3&lt;&gt;"",TEXT(Monthly!$B$3,"MMM-YY"),"")</f>
        <v>May-18</v>
      </c>
      <c r="G4" s="63" t="str">
        <f>IF(Monthly!$B$3&lt;&gt;"",TEXT(Monthly!$B$3,"MMM-YY"),"")</f>
        <v>May-18</v>
      </c>
      <c r="H4" s="63" t="str">
        <f>IF(Monthly!$B$3&lt;&gt;"",TEXT(Monthly!$B$3,"MMM-YY"),"")</f>
        <v>May-18</v>
      </c>
      <c r="I4" s="63" t="str">
        <f>IF(Monthly!$B$3&lt;&gt;"",TEXT(Monthly!$B$3,"MMM-YY"),"")</f>
        <v>May-18</v>
      </c>
      <c r="J4" s="63" t="str">
        <f>IF(Monthly!$B$3&lt;&gt;"",TEXT(Monthly!$B$3,"MMM-YY"),"")</f>
        <v>May-18</v>
      </c>
      <c r="K4" s="63" t="str">
        <f>IF(Monthly!$B$3&lt;&gt;"",TEXT(Monthly!$B$3,"MMM-YY"),"")</f>
        <v>May-18</v>
      </c>
      <c r="L4" s="63" t="str">
        <f>IF(Monthly!$B$3&lt;&gt;"",TEXT(Monthly!$B$3,"MMM-YY"),"")</f>
        <v>May-18</v>
      </c>
      <c r="M4" s="63" t="str">
        <f>IF(Monthly!$B$3&lt;&gt;"",TEXT(Monthly!$B$3,"MMM-YY"),"")</f>
        <v>May-18</v>
      </c>
      <c r="N4" s="64" t="str">
        <f>IF(Monthly!$B$3&lt;&gt;"",TEXT(Monthly!$B$3,"MMM-YY"),"")</f>
        <v>May-18</v>
      </c>
    </row>
    <row r="5" spans="1:14" x14ac:dyDescent="0.25">
      <c r="A5" s="44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6"/>
    </row>
    <row r="6" spans="1:14" x14ac:dyDescent="0.25">
      <c r="A6" s="47" t="str">
        <f>"Hi " &amp; IF(B1&lt;&gt;"",LEFT(B1,FIND(".",B1)-1),"") &amp; ","</f>
        <v>Hi Swapnil,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8"/>
    </row>
    <row r="7" spans="1:14" ht="15.75" x14ac:dyDescent="0.3">
      <c r="A7" s="66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48"/>
    </row>
    <row r="8" spans="1:14" x14ac:dyDescent="0.25">
      <c r="A8" s="49" t="s">
        <v>28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48"/>
    </row>
    <row r="9" spans="1:14" x14ac:dyDescent="0.25">
      <c r="A9" s="50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48"/>
    </row>
    <row r="10" spans="1:14" x14ac:dyDescent="0.25">
      <c r="A10" s="50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48"/>
    </row>
    <row r="11" spans="1:14" x14ac:dyDescent="0.25">
      <c r="A11" s="50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8"/>
    </row>
    <row r="12" spans="1:14" x14ac:dyDescent="0.25">
      <c r="A12" s="50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48"/>
    </row>
    <row r="13" spans="1:14" x14ac:dyDescent="0.25">
      <c r="A13" s="50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48"/>
    </row>
    <row r="14" spans="1:14" x14ac:dyDescent="0.25">
      <c r="A14" s="50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48"/>
    </row>
    <row r="15" spans="1:14" x14ac:dyDescent="0.25">
      <c r="A15" s="51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3"/>
    </row>
  </sheetData>
  <mergeCells count="4">
    <mergeCell ref="B1:N1"/>
    <mergeCell ref="B2:N2"/>
    <mergeCell ref="B3:N3"/>
    <mergeCell ref="B4:N4"/>
  </mergeCells>
  <hyperlinks>
    <hyperlink ref="B2" r:id="rId1"/>
    <hyperlink ref="B1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Monthly</vt:lpstr>
      <vt:lpstr>Holidays</vt:lpstr>
      <vt:lpstr>Summary</vt:lpstr>
      <vt:lpstr>MailFormat</vt:lpstr>
      <vt:lpstr>Xl3DPieChart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Swapnil Kulkarni</cp:lastModifiedBy>
  <dcterms:created xsi:type="dcterms:W3CDTF">2018-04-05T11:14:54Z</dcterms:created>
  <dcterms:modified xsi:type="dcterms:W3CDTF">2018-05-02T23:25:02Z</dcterms:modified>
</cp:coreProperties>
</file>