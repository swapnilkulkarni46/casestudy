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Mapping" sheetId="2" r:id="rId2"/>
    <sheet name="Summary" sheetId="3" r:id="rId3"/>
    <sheet name="MailFormat" sheetId="4" r:id="rId4"/>
  </sheets>
  <functionGroups builtInGroupCount="17"/>
  <definedNames>
    <definedName name="MLPHolidays">Mapping!$A$2:$A$25</definedName>
    <definedName name="ProcessName">OFFSET(Mapping!$D$2,0,0,COUNTA(Mapping!$D:$D)-1)</definedName>
  </definedNames>
  <calcPr calcId="145621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N10" i="1" l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B8" i="1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A8" i="4" l="1"/>
  <c r="B4" i="4" l="1"/>
  <c r="A6" i="4" l="1"/>
  <c r="N4" i="4" l="1"/>
  <c r="M4" i="4"/>
  <c r="L4" i="4"/>
  <c r="K4" i="4"/>
  <c r="J4" i="4"/>
  <c r="I4" i="4"/>
  <c r="H4" i="4"/>
  <c r="G4" i="4"/>
  <c r="F4" i="4"/>
  <c r="E4" i="4"/>
  <c r="D4" i="4"/>
  <c r="C4" i="4"/>
  <c r="I1" i="2" l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Holiday Date Format: MM/DD/YYYY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Mention All the process Activites to be included inside a process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" authorId="0">
      <text>
        <r>
          <rPr>
            <sz val="8"/>
            <color indexed="81"/>
            <rFont val="Tahoma"/>
            <family val="2"/>
          </rPr>
          <t xml:space="preserve">Mention Column width for respective Process Activites
</t>
        </r>
      </text>
    </comment>
  </commentList>
</comments>
</file>

<file path=xl/sharedStrings.xml><?xml version="1.0" encoding="utf-8"?>
<sst xmlns="http://schemas.openxmlformats.org/spreadsheetml/2006/main" count="61" uniqueCount="34">
  <si>
    <t>Start Time</t>
  </si>
  <si>
    <t>FI Bonds</t>
  </si>
  <si>
    <t>End Time</t>
  </si>
  <si>
    <t>Daily Total Time</t>
  </si>
  <si>
    <t>Holiday Name</t>
  </si>
  <si>
    <t>Holiday Date</t>
  </si>
  <si>
    <t>CSA Recon</t>
  </si>
  <si>
    <t>Breaks</t>
  </si>
  <si>
    <t>Equity Fails</t>
  </si>
  <si>
    <t>Labour Day</t>
  </si>
  <si>
    <t>Process Name</t>
  </si>
  <si>
    <t>Process Activities</t>
  </si>
  <si>
    <t>Column Widths</t>
  </si>
  <si>
    <t>Template  Creation</t>
  </si>
  <si>
    <t>Row start</t>
  </si>
  <si>
    <t>Column Formats</t>
  </si>
  <si>
    <t>0;[Red]0</t>
  </si>
  <si>
    <t>Dates</t>
  </si>
  <si>
    <t>Date</t>
  </si>
  <si>
    <t>Processwise Daily Total Time</t>
  </si>
  <si>
    <t>Processwise Daily Total Breaks</t>
  </si>
  <si>
    <t>Process</t>
  </si>
  <si>
    <t>Total Breaks</t>
  </si>
  <si>
    <t>Total Time</t>
  </si>
  <si>
    <t>Average Time</t>
  </si>
  <si>
    <t>m/dd/yyyy hh:mm:ss</t>
  </si>
  <si>
    <t>hh:mm:ss</t>
  </si>
  <si>
    <t>Overall Summary For May-18</t>
  </si>
  <si>
    <t>To</t>
  </si>
  <si>
    <t>CC</t>
  </si>
  <si>
    <t>Sajith.kurup@mlp.com</t>
  </si>
  <si>
    <t>Subject:-</t>
  </si>
  <si>
    <t>BCC</t>
  </si>
  <si>
    <t>Swapnil.kulkarni@mlp.com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</si>
</sst>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d/yyyy"/>
    <numFmt numFmtId="165" formatCode="0;[Red]0"/>
    <numFmt numFmtId="166" formatCode="m/dd/yyyy\ hh:mm:ss"/>
    <numFmt numFmtId="167" formatCode="hh:mm:ss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69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2" xfId="0" applyFill="1" applyBorder="1"/>
    <xf numFmtId="14" fontId="0" fillId="3" borderId="0" xfId="0" applyNumberFormat="1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1" fillId="3" borderId="0" xfId="0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0" fillId="0" borderId="3" xfId="0" applyBorder="1"/>
    <xf numFmtId="0" fontId="4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7" borderId="3" xfId="0" applyFont="1" applyFill="1" applyBorder="1"/>
    <xf numFmtId="0" fontId="1" fillId="0" borderId="3" xfId="0" applyFont="1" applyBorder="1"/>
    <xf numFmtId="0" fontId="1" fillId="5" borderId="1" xfId="0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Border="1" applyAlignment="1">
      <alignment horizontal="center"/>
    </xf>
    <xf numFmtId="0" fontId="7" fillId="8" borderId="3" xfId="0" applyFont="1" applyFill="1" applyBorder="1"/>
    <xf numFmtId="0" fontId="8" fillId="9" borderId="3" xfId="0" applyFont="1" applyFill="1" applyBorder="1"/>
    <xf numFmtId="164" fontId="9" fillId="10" borderId="3" xfId="0" applyNumberFormat="1" applyFont="1" applyFill="1" applyBorder="1"/>
    <xf numFmtId="0" fontId="0" fillId="3" borderId="3" xfId="0" applyFill="1" applyBorder="1"/>
    <xf numFmtId="164" fontId="0" fillId="3" borderId="3" xfId="0" applyNumberFormat="1" applyFill="1" applyBorder="1"/>
    <xf numFmtId="0" fontId="10" fillId="3" borderId="0" xfId="0" applyFont="1" applyFill="1"/>
    <xf numFmtId="0" fontId="11" fillId="8" borderId="3" xfId="0" applyFont="1" applyFill="1" applyBorder="1"/>
    <xf numFmtId="165" fontId="0" fillId="3" borderId="0" xfId="0" applyNumberFormat="1" applyFill="1" applyBorder="1"/>
    <xf numFmtId="165" fontId="9" fillId="10" borderId="3" xfId="0" applyNumberFormat="1" applyFont="1" applyFill="1" applyBorder="1"/>
    <xf numFmtId="166" fontId="0" fillId="3" borderId="0" xfId="0" applyNumberFormat="1" applyFill="1" applyBorder="1"/>
    <xf numFmtId="166" fontId="9" fillId="10" borderId="3" xfId="0" applyNumberFormat="1" applyFont="1" applyFill="1" applyBorder="1"/>
    <xf numFmtId="166" fontId="0" fillId="3" borderId="0" xfId="0" applyNumberFormat="1" applyFill="1"/>
    <xf numFmtId="21" fontId="0" fillId="3" borderId="0" xfId="0" applyNumberFormat="1" applyFill="1" applyBorder="1"/>
    <xf numFmtId="21" fontId="0" fillId="3" borderId="0" xfId="0" applyNumberFormat="1" applyFill="1"/>
    <xf numFmtId="17" fontId="1" fillId="11" borderId="3" xfId="0" applyNumberFormat="1" applyFont="1" applyFill="1" applyBorder="1"/>
    <xf numFmtId="165" fontId="0" fillId="3" borderId="0" xfId="0" applyNumberFormat="1" applyFill="1"/>
    <xf numFmtId="165" fontId="0" fillId="3" borderId="3" xfId="0" applyNumberFormat="1" applyFill="1" applyBorder="1"/>
    <xf numFmtId="165" fontId="11" fillId="8" borderId="3" xfId="0" applyNumberFormat="1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10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14" fillId="3" borderId="3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5" fillId="0" borderId="0" xfId="0" applyFont="1" applyBorder="1"/>
    <xf numFmtId="0" fontId="12" fillId="3" borderId="0" xfId="0" applyFont="1" applyFill="1" applyBorder="1"/>
    <xf numFmtId="167" fontId="9" fillId="10" borderId="3" xfId="0" applyNumberFormat="1" applyFont="1" applyFill="1" applyBorder="1"/>
    <xf numFmtId="167" fontId="0" fillId="3" borderId="0" xfId="0" applyNumberFormat="1" applyFill="1"/>
    <xf numFmtId="167" fontId="0" fillId="3" borderId="3" xfId="0" applyNumberFormat="1" applyFill="1" applyBorder="1"/>
    <xf numFmtId="167" fontId="11" fillId="8" borderId="3" xfId="0" applyNumberFormat="1" applyFont="1" applyFill="1" applyBorder="1"/>
    <xf numFmtId="0" fontId="7" fillId="8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3" fillId="3" borderId="4" xfId="2" applyFill="1" applyBorder="1" applyAlignment="1">
      <alignment horizontal="left" wrapText="1"/>
    </xf>
    <xf numFmtId="0" fontId="16" fillId="3" borderId="5" xfId="2" applyFont="1" applyFill="1" applyBorder="1" applyAlignment="1">
      <alignment horizontal="left" wrapText="1"/>
    </xf>
    <xf numFmtId="0" fontId="16" fillId="3" borderId="6" xfId="2" applyFont="1" applyFill="1" applyBorder="1" applyAlignment="1">
      <alignment horizontal="left" wrapText="1"/>
    </xf>
    <xf numFmtId="0" fontId="13" fillId="3" borderId="5" xfId="2" applyFill="1" applyBorder="1" applyAlignment="1">
      <alignment horizontal="left" wrapText="1"/>
    </xf>
    <xf numFmtId="0" fontId="13" fillId="3" borderId="6" xfId="2" applyFill="1" applyBorder="1" applyAlignment="1">
      <alignment horizontal="left" wrapText="1"/>
    </xf>
    <xf numFmtId="0" fontId="0" fillId="3" borderId="4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/>
    </xf>
    <xf numFmtId="0" fontId="0" fillId="3" borderId="6" xfId="0" applyFill="1" applyBorder="1" applyAlignment="1">
      <alignment horizontal="left" wrapText="1"/>
    </xf>
    <xf numFmtId="0" fontId="12" fillId="3" borderId="4" xfId="0" applyFont="1" applyFill="1" applyBorder="1" applyAlignment="1">
      <alignment horizontal="left" vertical="center" wrapText="1"/>
    </xf>
    <xf numFmtId="0" fontId="12" fillId="3" borderId="5" xfId="0" applyFont="1" applyFill="1" applyBorder="1" applyAlignment="1">
      <alignment horizontal="left" vertical="center" wrapText="1"/>
    </xf>
    <xf numFmtId="0" fontId="12" fillId="3" borderId="6" xfId="0" applyFont="1" applyFill="1" applyBorder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95514</xdr:colOff>
      <xdr:row>1</xdr:row>
      <xdr:rowOff>133351</xdr:rowOff>
    </xdr:from>
    <xdr:to>
      <xdr:col>2</xdr:col>
      <xdr:colOff>392505</xdr:colOff>
      <xdr:row>3</xdr:row>
      <xdr:rowOff>28575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847" y="334434"/>
          <a:ext cx="296991" cy="276224"/>
        </a:xfrm>
        <a:prstGeom prst="rect">
          <a:avLst/>
        </a:prstGeom>
      </xdr:spPr>
    </xdr:pic>
    <xdr:clientData/>
  </xdr:twoCellAnchor>
  <xdr:twoCellAnchor editAs="absolute">
    <xdr:from>
      <xdr:col>5</xdr:col>
      <xdr:colOff>75613</xdr:colOff>
      <xdr:row>2</xdr:row>
      <xdr:rowOff>150283</xdr:rowOff>
    </xdr:from>
    <xdr:to>
      <xdr:col>9</xdr:col>
      <xdr:colOff>763659</xdr:colOff>
      <xdr:row>5</xdr:row>
      <xdr:rowOff>120024</xdr:rowOff>
    </xdr:to>
    <xdr:sp macro="" textlink="">
      <xdr:nvSpPr>
        <xdr:cNvPr id="3" name="Rectangle 2"/>
        <xdr:cNvSpPr/>
      </xdr:nvSpPr>
      <xdr:spPr>
        <a:xfrm>
          <a:off x="4467696" y="541866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twoCellAnchor>
  <xdr:twoCellAnchor editAs="absolute"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[0]!startButton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 editAs="absolute"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[0]!EndButton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 editAs="absolute">
    <xdr:from>
      <xdr:col>10</xdr:col>
      <xdr:colOff>254000</xdr:colOff>
      <xdr:row>3</xdr:row>
      <xdr:rowOff>95250</xdr:rowOff>
    </xdr:from>
    <xdr:to>
      <xdr:col>12</xdr:col>
      <xdr:colOff>95250</xdr:colOff>
      <xdr:row>5</xdr:row>
      <xdr:rowOff>0</xdr:rowOff>
    </xdr:to>
    <xdr:sp macro="[0]!GenerateSummary" textlink="">
      <xdr:nvSpPr>
        <xdr:cNvPr id="7" name="Rounded Rectangle 6"/>
        <xdr:cNvSpPr/>
      </xdr:nvSpPr>
      <xdr:spPr>
        <a:xfrm>
          <a:off x="9398000" y="677333"/>
          <a:ext cx="1534583" cy="27516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 SUMMARY</a:t>
          </a:r>
        </a:p>
      </xdr:txBody>
    </xdr:sp>
    <xdr:clientData/>
  </xdr:twoCellAnchor>
  <xdr:twoCellAnchor editAs="absolute">
    <xdr:from>
      <xdr:col>12</xdr:col>
      <xdr:colOff>600488</xdr:colOff>
      <xdr:row>3</xdr:row>
      <xdr:rowOff>25399</xdr:rowOff>
    </xdr:from>
    <xdr:to>
      <xdr:col>12</xdr:col>
      <xdr:colOff>1047745</xdr:colOff>
      <xdr:row>5</xdr:row>
      <xdr:rowOff>94192</xdr:rowOff>
    </xdr:to>
    <xdr:pic macro="[0]!Expor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7821" y="607482"/>
          <a:ext cx="447257" cy="439210"/>
        </a:xfrm>
        <a:prstGeom prst="rect">
          <a:avLst/>
        </a:prstGeom>
      </xdr:spPr>
    </xdr:pic>
    <xdr:clientData/>
  </xdr:twoCellAnchor>
  <xdr:twoCellAnchor editAs="absolute">
    <xdr:from>
      <xdr:col>13</xdr:col>
      <xdr:colOff>402165</xdr:colOff>
      <xdr:row>2</xdr:row>
      <xdr:rowOff>173562</xdr:rowOff>
    </xdr:from>
    <xdr:to>
      <xdr:col>13</xdr:col>
      <xdr:colOff>970875</xdr:colOff>
      <xdr:row>5</xdr:row>
      <xdr:rowOff>85890</xdr:rowOff>
    </xdr:to>
    <xdr:pic macro="[0]!Mail_Selection_Range_Outlook_Body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748" y="565145"/>
          <a:ext cx="568710" cy="473245"/>
        </a:xfrm>
        <a:prstGeom prst="rect">
          <a:avLst/>
        </a:prstGeom>
      </xdr:spPr>
    </xdr:pic>
    <xdr:clientData/>
  </xdr:twoCellAnchor>
  <xdr:twoCellAnchor editAs="absolute">
    <xdr:from>
      <xdr:col>12</xdr:col>
      <xdr:colOff>824117</xdr:colOff>
      <xdr:row>1</xdr:row>
      <xdr:rowOff>63500</xdr:rowOff>
    </xdr:from>
    <xdr:to>
      <xdr:col>12</xdr:col>
      <xdr:colOff>825500</xdr:colOff>
      <xdr:row>3</xdr:row>
      <xdr:rowOff>25399</xdr:rowOff>
    </xdr:to>
    <xdr:cxnSp macro="">
      <xdr:nvCxnSpPr>
        <xdr:cNvPr id="9" name="Straight Arrow Connector 8"/>
        <xdr:cNvCxnSpPr>
          <a:endCxn id="5" idx="0"/>
        </xdr:cNvCxnSpPr>
      </xdr:nvCxnSpPr>
      <xdr:spPr>
        <a:xfrm flipH="1">
          <a:off x="11661450" y="264583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222250</xdr:colOff>
      <xdr:row>0</xdr:row>
      <xdr:rowOff>31751</xdr:rowOff>
    </xdr:from>
    <xdr:to>
      <xdr:col>13</xdr:col>
      <xdr:colOff>109754</xdr:colOff>
      <xdr:row>1</xdr:row>
      <xdr:rowOff>95228</xdr:rowOff>
    </xdr:to>
    <xdr:sp macro="" textlink="">
      <xdr:nvSpPr>
        <xdr:cNvPr id="11" name="TextBox 10"/>
        <xdr:cNvSpPr txBox="1"/>
      </xdr:nvSpPr>
      <xdr:spPr>
        <a:xfrm>
          <a:off x="11059583" y="31751"/>
          <a:ext cx="11363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Export Summary</a:t>
          </a:r>
          <a:endParaRPr lang="en-US" sz="1100"/>
        </a:p>
      </xdr:txBody>
    </xdr:sp>
    <xdr:clientData/>
  </xdr:twoCellAnchor>
  <xdr:twoCellAnchor editAs="absolute">
    <xdr:from>
      <xdr:col>13</xdr:col>
      <xdr:colOff>754267</xdr:colOff>
      <xdr:row>1</xdr:row>
      <xdr:rowOff>67733</xdr:rowOff>
    </xdr:from>
    <xdr:to>
      <xdr:col>13</xdr:col>
      <xdr:colOff>755650</xdr:colOff>
      <xdr:row>3</xdr:row>
      <xdr:rowOff>29632</xdr:rowOff>
    </xdr:to>
    <xdr:cxnSp macro="">
      <xdr:nvCxnSpPr>
        <xdr:cNvPr id="13" name="Straight Arrow Connector 12"/>
        <xdr:cNvCxnSpPr/>
      </xdr:nvCxnSpPr>
      <xdr:spPr>
        <a:xfrm flipH="1">
          <a:off x="12702850" y="268816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152400</xdr:colOff>
      <xdr:row>0</xdr:row>
      <xdr:rowOff>35984</xdr:rowOff>
    </xdr:from>
    <xdr:to>
      <xdr:col>14</xdr:col>
      <xdr:colOff>95240</xdr:colOff>
      <xdr:row>1</xdr:row>
      <xdr:rowOff>99461</xdr:rowOff>
    </xdr:to>
    <xdr:sp macro="" textlink="">
      <xdr:nvSpPr>
        <xdr:cNvPr id="14" name="TextBox 13"/>
        <xdr:cNvSpPr txBox="1"/>
      </xdr:nvSpPr>
      <xdr:spPr>
        <a:xfrm>
          <a:off x="12100983" y="35984"/>
          <a:ext cx="11916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Email to manager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Swapnil.kulkarni@mlp.com" TargetMode="External"/><Relationship Id="rId1" Type="http://schemas.openxmlformats.org/officeDocument/2006/relationships/hyperlink" Target="mailto:Sajith.kurup@ml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1"/>
  <sheetViews>
    <sheetView tabSelected="1" zoomScale="90" zoomScaleNormal="90" workbookViewId="0">
      <selection activeCell="B8" sqref="B8"/>
    </sheetView>
  </sheetViews>
  <sheetFormatPr defaultColWidth="9.140625" defaultRowHeight="15" x14ac:dyDescent="0.25"/>
  <cols>
    <col min="1" max="1" width="9.140625" style="3"/>
    <col min="2" max="2" width="10.42578125" style="4" bestFit="1" customWidth="1"/>
    <col min="3" max="3" width="8.7109375" style="4" customWidth="1"/>
    <col min="4" max="6" width="18.7109375" style="4" customWidth="1"/>
    <col min="7" max="7" width="8.7109375" style="4" customWidth="1"/>
    <col min="8" max="10" width="18.7109375" style="4" customWidth="1"/>
    <col min="11" max="11" width="8.7109375" style="4" customWidth="1"/>
    <col min="12" max="14" width="18.7109375" style="4" customWidth="1"/>
    <col min="15" max="15" width="8.7109375" style="4" customWidth="1"/>
    <col min="16" max="18" width="18.7109375" style="4" customWidth="1"/>
    <col min="19" max="19" width="8.7109375" style="4" customWidth="1"/>
    <col min="20" max="22" width="16.7109375" style="4" customWidth="1"/>
    <col min="23" max="23" width="8.7109375" style="3" customWidth="1"/>
    <col min="24" max="26" width="16.7109375" style="3" customWidth="1"/>
    <col min="27" max="16384" width="9.140625" style="3"/>
  </cols>
  <sheetData>
    <row r="1" spans="1:27" ht="15.75" thickBot="1" x14ac:dyDescent="0.3">
      <c r="B1" s="3"/>
      <c r="C1" s="3"/>
      <c r="D1" s="3"/>
      <c r="R1" s="3"/>
      <c r="S1" s="3"/>
      <c r="T1" s="3"/>
      <c r="U1" s="3"/>
      <c r="V1" s="3"/>
    </row>
    <row r="2" spans="1:27" s="4" customFormat="1" x14ac:dyDescent="0.25">
      <c r="A2" s="8"/>
      <c r="B2" s="11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3"/>
      <c r="S2" s="3"/>
      <c r="T2" s="3"/>
      <c r="U2" s="3"/>
      <c r="V2" s="3"/>
      <c r="W2" s="3"/>
      <c r="X2" s="3"/>
    </row>
    <row r="3" spans="1:27" s="4" customFormat="1" x14ac:dyDescent="0.25">
      <c r="A3" s="3"/>
      <c r="B3" s="12">
        <v>43221</v>
      </c>
      <c r="C3" s="29"/>
      <c r="D3" s="31"/>
      <c r="E3" s="31"/>
      <c r="F3" s="34"/>
      <c r="G3" s="3"/>
      <c r="H3" s="3"/>
      <c r="I3" s="8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7" s="4" customFormat="1" ht="14.25" customHeight="1" x14ac:dyDescent="0.25">
      <c r="A4" s="3"/>
      <c r="B4" s="11"/>
      <c r="C4" s="29"/>
      <c r="D4" s="31"/>
      <c r="E4" s="31"/>
      <c r="F4" s="3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x14ac:dyDescent="0.25">
      <c r="B5" s="19" t="s">
        <v>1</v>
      </c>
      <c r="C5" s="29"/>
      <c r="D5" s="31"/>
      <c r="E5" s="33"/>
      <c r="F5" s="35"/>
      <c r="R5" s="3"/>
      <c r="S5" s="3"/>
      <c r="T5" s="3"/>
      <c r="U5" s="3"/>
      <c r="V5" s="3"/>
    </row>
    <row r="6" spans="1:27" x14ac:dyDescent="0.25">
      <c r="B6" s="3"/>
      <c r="C6" s="29"/>
      <c r="D6" s="31"/>
      <c r="E6" s="33"/>
      <c r="F6" s="35"/>
      <c r="R6" s="3"/>
      <c r="S6" s="3"/>
      <c r="T6" s="3"/>
      <c r="U6" s="3"/>
      <c r="V6" s="3"/>
    </row>
    <row r="7" spans="1:27" x14ac:dyDescent="0.25">
      <c r="B7" s="3"/>
      <c r="C7" s="29"/>
      <c r="D7" s="31"/>
      <c r="E7" s="33"/>
      <c r="F7" s="35"/>
      <c r="R7" s="3"/>
      <c r="S7" s="3"/>
      <c r="T7" s="3"/>
      <c r="U7" s="3"/>
      <c r="V7" s="3"/>
    </row>
    <row r="8" spans="1:27" x14ac:dyDescent="0.25">
      <c r="B8" s="22" t="str">
        <f>IF(Monthly!$B$3&lt;&gt;"",TEXT(Monthly!$B$3,"MMM-YY"),"")</f>
        <v>May-18</v>
      </c>
      <c r="C8" s="56" t="s">
        <v>6</v>
      </c>
      <c r="D8" s="56"/>
      <c r="E8" s="56"/>
      <c r="F8" s="56"/>
      <c r="G8" s="56" t="s">
        <v>8</v>
      </c>
      <c r="H8" s="56"/>
      <c r="I8" s="56"/>
      <c r="J8" s="56"/>
      <c r="K8" s="56" t="s">
        <v>1</v>
      </c>
      <c r="L8" s="56"/>
      <c r="M8" s="56"/>
      <c r="N8" s="56"/>
    </row>
    <row r="9" spans="1:27" x14ac:dyDescent="0.25">
      <c r="B9" s="23" t="s">
        <v>17</v>
      </c>
      <c r="C9" s="23" t="s">
        <v>7</v>
      </c>
      <c r="D9" s="23" t="s">
        <v>0</v>
      </c>
      <c r="E9" s="23" t="s">
        <v>2</v>
      </c>
      <c r="F9" s="23" t="s">
        <v>3</v>
      </c>
      <c r="G9" s="23" t="s">
        <v>7</v>
      </c>
      <c r="H9" s="23" t="s">
        <v>0</v>
      </c>
      <c r="I9" s="23" t="s">
        <v>2</v>
      </c>
      <c r="J9" s="23" t="s">
        <v>3</v>
      </c>
      <c r="K9" s="23" t="s">
        <v>7</v>
      </c>
      <c r="L9" s="23" t="s">
        <v>0</v>
      </c>
      <c r="M9" s="23" t="s">
        <v>2</v>
      </c>
      <c r="N9" s="23" t="s">
        <v>3</v>
      </c>
    </row>
    <row r="10" spans="1:27" x14ac:dyDescent="0.25">
      <c r="B10" s="24">
        <v>43222</v>
      </c>
      <c r="C10" s="30"/>
      <c r="D10" s="32"/>
      <c r="E10" s="32"/>
      <c r="F10" s="52" t="str">
        <f t="shared" ref="F10:F31" si="0">IF($E10&lt;&gt;"",$E10-$D10,"")</f>
        <v/>
      </c>
      <c r="G10" s="30"/>
      <c r="H10" s="32"/>
      <c r="I10" s="32"/>
      <c r="J10" s="52" t="str">
        <f t="shared" ref="J10:J31" si="1">IF($I10&lt;&gt;"",$I10-$H10,"")</f>
        <v/>
      </c>
      <c r="K10" s="30"/>
      <c r="L10" s="32"/>
      <c r="M10" s="32"/>
      <c r="N10" s="52" t="str">
        <f t="shared" ref="N10:N31" si="2">IF($M10&lt;&gt;"",$M10-$L10,"")</f>
        <v/>
      </c>
    </row>
    <row r="11" spans="1:27" x14ac:dyDescent="0.25">
      <c r="B11" s="24">
        <v>43223</v>
      </c>
      <c r="C11" s="30"/>
      <c r="D11" s="32"/>
      <c r="E11" s="32"/>
      <c r="F11" s="52" t="str">
        <f t="shared" si="0"/>
        <v/>
      </c>
      <c r="G11" s="30"/>
      <c r="H11" s="32"/>
      <c r="I11" s="32"/>
      <c r="J11" s="52" t="str">
        <f t="shared" si="1"/>
        <v/>
      </c>
      <c r="K11" s="30"/>
      <c r="L11" s="32"/>
      <c r="M11" s="32"/>
      <c r="N11" s="52" t="str">
        <f t="shared" si="2"/>
        <v/>
      </c>
    </row>
    <row r="12" spans="1:27" x14ac:dyDescent="0.25">
      <c r="B12" s="24">
        <v>43224</v>
      </c>
      <c r="C12" s="30"/>
      <c r="D12" s="32"/>
      <c r="E12" s="32"/>
      <c r="F12" s="52" t="str">
        <f t="shared" si="0"/>
        <v/>
      </c>
      <c r="G12" s="30"/>
      <c r="H12" s="32"/>
      <c r="I12" s="32"/>
      <c r="J12" s="52" t="str">
        <f t="shared" si="1"/>
        <v/>
      </c>
      <c r="K12" s="30"/>
      <c r="L12" s="32"/>
      <c r="M12" s="32"/>
      <c r="N12" s="52" t="str">
        <f t="shared" si="2"/>
        <v/>
      </c>
    </row>
    <row r="13" spans="1:27" x14ac:dyDescent="0.25">
      <c r="B13" s="24">
        <v>43227</v>
      </c>
      <c r="C13" s="30"/>
      <c r="D13" s="32"/>
      <c r="E13" s="32"/>
      <c r="F13" s="52" t="str">
        <f t="shared" si="0"/>
        <v/>
      </c>
      <c r="G13" s="30"/>
      <c r="H13" s="32"/>
      <c r="I13" s="32"/>
      <c r="J13" s="52" t="str">
        <f t="shared" si="1"/>
        <v/>
      </c>
      <c r="K13" s="30"/>
      <c r="L13" s="32"/>
      <c r="M13" s="32"/>
      <c r="N13" s="52" t="str">
        <f t="shared" si="2"/>
        <v/>
      </c>
    </row>
    <row r="14" spans="1:27" x14ac:dyDescent="0.25">
      <c r="B14" s="24">
        <v>43228</v>
      </c>
      <c r="C14" s="30"/>
      <c r="D14" s="32"/>
      <c r="E14" s="32"/>
      <c r="F14" s="52" t="str">
        <f t="shared" si="0"/>
        <v/>
      </c>
      <c r="G14" s="30"/>
      <c r="H14" s="32"/>
      <c r="I14" s="32"/>
      <c r="J14" s="52" t="str">
        <f t="shared" si="1"/>
        <v/>
      </c>
      <c r="K14" s="30"/>
      <c r="L14" s="32"/>
      <c r="M14" s="32"/>
      <c r="N14" s="52" t="str">
        <f t="shared" si="2"/>
        <v/>
      </c>
    </row>
    <row r="15" spans="1:27" x14ac:dyDescent="0.25">
      <c r="B15" s="24">
        <v>43229</v>
      </c>
      <c r="C15" s="30"/>
      <c r="D15" s="32"/>
      <c r="E15" s="32"/>
      <c r="F15" s="52" t="str">
        <f t="shared" si="0"/>
        <v/>
      </c>
      <c r="G15" s="30"/>
      <c r="H15" s="32"/>
      <c r="I15" s="32"/>
      <c r="J15" s="52" t="str">
        <f t="shared" si="1"/>
        <v/>
      </c>
      <c r="K15" s="30"/>
      <c r="L15" s="32"/>
      <c r="M15" s="32"/>
      <c r="N15" s="52" t="str">
        <f t="shared" si="2"/>
        <v/>
      </c>
    </row>
    <row r="16" spans="1:27" x14ac:dyDescent="0.25">
      <c r="B16" s="24">
        <v>43230</v>
      </c>
      <c r="C16" s="30"/>
      <c r="D16" s="32"/>
      <c r="E16" s="32"/>
      <c r="F16" s="52" t="str">
        <f t="shared" si="0"/>
        <v/>
      </c>
      <c r="G16" s="30"/>
      <c r="H16" s="32"/>
      <c r="I16" s="32"/>
      <c r="J16" s="52" t="str">
        <f t="shared" si="1"/>
        <v/>
      </c>
      <c r="K16" s="30"/>
      <c r="L16" s="32"/>
      <c r="M16" s="32"/>
      <c r="N16" s="52" t="str">
        <f t="shared" si="2"/>
        <v/>
      </c>
    </row>
    <row r="17" spans="2:14" x14ac:dyDescent="0.25">
      <c r="B17" s="24">
        <v>43231</v>
      </c>
      <c r="C17" s="30"/>
      <c r="D17" s="32"/>
      <c r="E17" s="32"/>
      <c r="F17" s="52" t="str">
        <f t="shared" si="0"/>
        <v/>
      </c>
      <c r="G17" s="30"/>
      <c r="H17" s="32"/>
      <c r="I17" s="32"/>
      <c r="J17" s="52" t="str">
        <f t="shared" si="1"/>
        <v/>
      </c>
      <c r="K17" s="30"/>
      <c r="L17" s="32"/>
      <c r="M17" s="32"/>
      <c r="N17" s="52" t="str">
        <f t="shared" si="2"/>
        <v/>
      </c>
    </row>
    <row r="18" spans="2:14" x14ac:dyDescent="0.25">
      <c r="B18" s="24">
        <v>43234</v>
      </c>
      <c r="C18" s="30"/>
      <c r="D18" s="32"/>
      <c r="E18" s="32"/>
      <c r="F18" s="52" t="str">
        <f t="shared" si="0"/>
        <v/>
      </c>
      <c r="G18" s="30"/>
      <c r="H18" s="32"/>
      <c r="I18" s="32"/>
      <c r="J18" s="52" t="str">
        <f t="shared" si="1"/>
        <v/>
      </c>
      <c r="K18" s="30"/>
      <c r="L18" s="32"/>
      <c r="M18" s="32"/>
      <c r="N18" s="52" t="str">
        <f t="shared" si="2"/>
        <v/>
      </c>
    </row>
    <row r="19" spans="2:14" x14ac:dyDescent="0.25">
      <c r="B19" s="24">
        <v>43235</v>
      </c>
      <c r="C19" s="30"/>
      <c r="D19" s="32"/>
      <c r="E19" s="32"/>
      <c r="F19" s="52" t="str">
        <f t="shared" si="0"/>
        <v/>
      </c>
      <c r="G19" s="30"/>
      <c r="H19" s="32"/>
      <c r="I19" s="32"/>
      <c r="J19" s="52" t="str">
        <f t="shared" si="1"/>
        <v/>
      </c>
      <c r="K19" s="30"/>
      <c r="L19" s="32"/>
      <c r="M19" s="32"/>
      <c r="N19" s="52" t="str">
        <f t="shared" si="2"/>
        <v/>
      </c>
    </row>
    <row r="20" spans="2:14" x14ac:dyDescent="0.25">
      <c r="B20" s="24">
        <v>43236</v>
      </c>
      <c r="C20" s="30"/>
      <c r="D20" s="32"/>
      <c r="E20" s="32"/>
      <c r="F20" s="52" t="str">
        <f t="shared" si="0"/>
        <v/>
      </c>
      <c r="G20" s="30"/>
      <c r="H20" s="32"/>
      <c r="I20" s="32"/>
      <c r="J20" s="52" t="str">
        <f t="shared" si="1"/>
        <v/>
      </c>
      <c r="K20" s="30"/>
      <c r="L20" s="32"/>
      <c r="M20" s="32"/>
      <c r="N20" s="52" t="str">
        <f t="shared" si="2"/>
        <v/>
      </c>
    </row>
    <row r="21" spans="2:14" x14ac:dyDescent="0.25">
      <c r="B21" s="24">
        <v>43237</v>
      </c>
      <c r="C21" s="30"/>
      <c r="D21" s="32"/>
      <c r="E21" s="32"/>
      <c r="F21" s="52" t="str">
        <f t="shared" si="0"/>
        <v/>
      </c>
      <c r="G21" s="30"/>
      <c r="H21" s="32"/>
      <c r="I21" s="32"/>
      <c r="J21" s="52" t="str">
        <f t="shared" si="1"/>
        <v/>
      </c>
      <c r="K21" s="30"/>
      <c r="L21" s="32"/>
      <c r="M21" s="32"/>
      <c r="N21" s="52" t="str">
        <f t="shared" si="2"/>
        <v/>
      </c>
    </row>
    <row r="22" spans="2:14" x14ac:dyDescent="0.25">
      <c r="B22" s="24">
        <v>43238</v>
      </c>
      <c r="C22" s="30"/>
      <c r="D22" s="32"/>
      <c r="E22" s="32"/>
      <c r="F22" s="52" t="str">
        <f t="shared" si="0"/>
        <v/>
      </c>
      <c r="G22" s="30"/>
      <c r="H22" s="32"/>
      <c r="I22" s="32"/>
      <c r="J22" s="52" t="str">
        <f t="shared" si="1"/>
        <v/>
      </c>
      <c r="K22" s="30"/>
      <c r="L22" s="32"/>
      <c r="M22" s="32"/>
      <c r="N22" s="52" t="str">
        <f t="shared" si="2"/>
        <v/>
      </c>
    </row>
    <row r="23" spans="2:14" x14ac:dyDescent="0.25">
      <c r="B23" s="24">
        <v>43241</v>
      </c>
      <c r="C23" s="30"/>
      <c r="D23" s="32"/>
      <c r="E23" s="32"/>
      <c r="F23" s="52" t="str">
        <f t="shared" si="0"/>
        <v/>
      </c>
      <c r="G23" s="30"/>
      <c r="H23" s="32"/>
      <c r="I23" s="32"/>
      <c r="J23" s="52" t="str">
        <f t="shared" si="1"/>
        <v/>
      </c>
      <c r="K23" s="30"/>
      <c r="L23" s="32"/>
      <c r="M23" s="32"/>
      <c r="N23" s="52" t="str">
        <f t="shared" si="2"/>
        <v/>
      </c>
    </row>
    <row r="24" spans="2:14" x14ac:dyDescent="0.25">
      <c r="B24" s="24">
        <v>43242</v>
      </c>
      <c r="C24" s="30"/>
      <c r="D24" s="32"/>
      <c r="E24" s="32"/>
      <c r="F24" s="52" t="str">
        <f t="shared" si="0"/>
        <v/>
      </c>
      <c r="G24" s="30"/>
      <c r="H24" s="32"/>
      <c r="I24" s="32"/>
      <c r="J24" s="52" t="str">
        <f t="shared" si="1"/>
        <v/>
      </c>
      <c r="K24" s="30"/>
      <c r="L24" s="32"/>
      <c r="M24" s="32"/>
      <c r="N24" s="52" t="str">
        <f t="shared" si="2"/>
        <v/>
      </c>
    </row>
    <row r="25" spans="2:14" x14ac:dyDescent="0.25">
      <c r="B25" s="24">
        <v>43243</v>
      </c>
      <c r="C25" s="30"/>
      <c r="D25" s="32"/>
      <c r="E25" s="32"/>
      <c r="F25" s="52" t="str">
        <f t="shared" si="0"/>
        <v/>
      </c>
      <c r="G25" s="30"/>
      <c r="H25" s="32"/>
      <c r="I25" s="32"/>
      <c r="J25" s="52" t="str">
        <f t="shared" si="1"/>
        <v/>
      </c>
      <c r="K25" s="30"/>
      <c r="L25" s="32"/>
      <c r="M25" s="32"/>
      <c r="N25" s="52" t="str">
        <f t="shared" si="2"/>
        <v/>
      </c>
    </row>
    <row r="26" spans="2:14" x14ac:dyDescent="0.25">
      <c r="B26" s="24">
        <v>43244</v>
      </c>
      <c r="C26" s="30"/>
      <c r="D26" s="32"/>
      <c r="E26" s="32"/>
      <c r="F26" s="52" t="str">
        <f t="shared" si="0"/>
        <v/>
      </c>
      <c r="G26" s="30"/>
      <c r="H26" s="32"/>
      <c r="I26" s="32"/>
      <c r="J26" s="52" t="str">
        <f t="shared" si="1"/>
        <v/>
      </c>
      <c r="K26" s="30"/>
      <c r="L26" s="32"/>
      <c r="M26" s="32"/>
      <c r="N26" s="52" t="str">
        <f t="shared" si="2"/>
        <v/>
      </c>
    </row>
    <row r="27" spans="2:14" x14ac:dyDescent="0.25">
      <c r="B27" s="24">
        <v>43245</v>
      </c>
      <c r="C27" s="30"/>
      <c r="D27" s="32"/>
      <c r="E27" s="32"/>
      <c r="F27" s="52" t="str">
        <f t="shared" si="0"/>
        <v/>
      </c>
      <c r="G27" s="30"/>
      <c r="H27" s="32"/>
      <c r="I27" s="32"/>
      <c r="J27" s="52" t="str">
        <f t="shared" si="1"/>
        <v/>
      </c>
      <c r="K27" s="30"/>
      <c r="L27" s="32"/>
      <c r="M27" s="32"/>
      <c r="N27" s="52" t="str">
        <f t="shared" si="2"/>
        <v/>
      </c>
    </row>
    <row r="28" spans="2:14" x14ac:dyDescent="0.25">
      <c r="B28" s="24">
        <v>43248</v>
      </c>
      <c r="C28" s="30"/>
      <c r="D28" s="32"/>
      <c r="E28" s="32"/>
      <c r="F28" s="52" t="str">
        <f t="shared" si="0"/>
        <v/>
      </c>
      <c r="G28" s="30"/>
      <c r="H28" s="32"/>
      <c r="I28" s="32"/>
      <c r="J28" s="52" t="str">
        <f t="shared" si="1"/>
        <v/>
      </c>
      <c r="K28" s="30"/>
      <c r="L28" s="32"/>
      <c r="M28" s="32"/>
      <c r="N28" s="52" t="str">
        <f t="shared" si="2"/>
        <v/>
      </c>
    </row>
    <row r="29" spans="2:14" x14ac:dyDescent="0.25">
      <c r="B29" s="24">
        <v>43249</v>
      </c>
      <c r="C29" s="30"/>
      <c r="D29" s="32"/>
      <c r="E29" s="32"/>
      <c r="F29" s="52" t="str">
        <f t="shared" si="0"/>
        <v/>
      </c>
      <c r="G29" s="30"/>
      <c r="H29" s="32"/>
      <c r="I29" s="32"/>
      <c r="J29" s="52" t="str">
        <f t="shared" si="1"/>
        <v/>
      </c>
      <c r="K29" s="30"/>
      <c r="L29" s="32"/>
      <c r="M29" s="32"/>
      <c r="N29" s="52" t="str">
        <f t="shared" si="2"/>
        <v/>
      </c>
    </row>
    <row r="30" spans="2:14" x14ac:dyDescent="0.25">
      <c r="B30" s="24">
        <v>43250</v>
      </c>
      <c r="C30" s="30"/>
      <c r="D30" s="32"/>
      <c r="E30" s="32"/>
      <c r="F30" s="52" t="str">
        <f t="shared" si="0"/>
        <v/>
      </c>
      <c r="G30" s="30"/>
      <c r="H30" s="32"/>
      <c r="I30" s="32"/>
      <c r="J30" s="52" t="str">
        <f t="shared" si="1"/>
        <v/>
      </c>
      <c r="K30" s="30"/>
      <c r="L30" s="32"/>
      <c r="M30" s="32"/>
      <c r="N30" s="52" t="str">
        <f t="shared" si="2"/>
        <v/>
      </c>
    </row>
    <row r="31" spans="2:14" x14ac:dyDescent="0.25">
      <c r="B31" s="24">
        <v>43251</v>
      </c>
      <c r="C31" s="30"/>
      <c r="D31" s="32"/>
      <c r="E31" s="32"/>
      <c r="F31" s="52" t="str">
        <f t="shared" si="0"/>
        <v/>
      </c>
      <c r="G31" s="30"/>
      <c r="H31" s="32"/>
      <c r="I31" s="32"/>
      <c r="J31" s="52" t="str">
        <f t="shared" si="1"/>
        <v/>
      </c>
      <c r="K31" s="30"/>
      <c r="L31" s="32"/>
      <c r="M31" s="32"/>
      <c r="N31" s="52" t="str">
        <f t="shared" si="2"/>
        <v/>
      </c>
    </row>
  </sheetData>
  <sheetProtection selectLockedCells="1"/>
  <protectedRanges>
    <protectedRange sqref="B3" name="Range1"/>
  </protectedRanges>
  <dataConsolidate/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2">
    <dataValidation type="list" allowBlank="1" showInputMessage="1" showErrorMessage="1" errorTitle="Invalid data" error="You have entered Incorrect data, Please select data from drop down or add it in Mapping sheet column D" promptTitle="Data Selection" prompt="Select the data from the drop down, if any new data then add it in Mapping sheet Column D" sqref="B5">
      <formula1>ProcessName</formula1>
    </dataValidation>
    <dataValidation type="date" showInputMessage="1" showErrorMessage="1" errorTitle="Wrong date Selection" error="Please Enter date between 1/1/2018 and 12/31/2018" promptTitle="Date Selection" prompt="Enter date in Format &quot;m/dd/yyyy&quot; or select report date for the desired month from the calender" sqref="B3">
      <formula1>43101</formula1>
      <formula2>47848</formula2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N32"/>
  <sheetViews>
    <sheetView workbookViewId="0">
      <selection activeCell="I1" sqref="I1"/>
    </sheetView>
  </sheetViews>
  <sheetFormatPr defaultRowHeight="15" x14ac:dyDescent="0.25"/>
  <cols>
    <col min="1" max="1" width="10.140625" bestFit="1" customWidth="1"/>
    <col min="2" max="2" width="13.5703125" bestFit="1" customWidth="1"/>
    <col min="4" max="4" width="13.5703125" bestFit="1" customWidth="1"/>
    <col min="5" max="5" width="17.42578125" bestFit="1" customWidth="1"/>
    <col min="6" max="6" width="14.7109375" bestFit="1" customWidth="1"/>
    <col min="7" max="7" width="20" bestFit="1" customWidth="1"/>
    <col min="9" max="9" width="10.42578125" customWidth="1"/>
  </cols>
  <sheetData>
    <row r="1" spans="1:14" ht="45" x14ac:dyDescent="0.25">
      <c r="A1" s="5" t="s">
        <v>5</v>
      </c>
      <c r="B1" s="6" t="s">
        <v>4</v>
      </c>
      <c r="D1" s="14" t="s">
        <v>10</v>
      </c>
      <c r="E1" s="15" t="s">
        <v>11</v>
      </c>
      <c r="F1" s="15" t="s">
        <v>12</v>
      </c>
      <c r="G1" s="15" t="s">
        <v>15</v>
      </c>
      <c r="I1" s="10" t="str">
        <f>IF(Monthly!B3&lt;&gt;"","Working days in "&amp;TEXT(Monthly!B3,"MMM-YY"),"")</f>
        <v>Working days in May-18</v>
      </c>
    </row>
    <row r="2" spans="1:14" x14ac:dyDescent="0.25">
      <c r="A2" s="1">
        <v>43221</v>
      </c>
      <c r="B2" s="2" t="s">
        <v>9</v>
      </c>
      <c r="D2" s="13" t="s">
        <v>6</v>
      </c>
      <c r="E2" s="13" t="s">
        <v>7</v>
      </c>
      <c r="F2" s="16">
        <v>8</v>
      </c>
      <c r="G2" s="16" t="s">
        <v>16</v>
      </c>
      <c r="I2" s="9">
        <f>WORKDAY(Monthly!$B$3-DAY(Monthly!$B$3),1,MLPHolidays)</f>
        <v>43222</v>
      </c>
    </row>
    <row r="3" spans="1:14" x14ac:dyDescent="0.25">
      <c r="A3" s="1"/>
      <c r="B3" s="2"/>
      <c r="D3" s="13" t="s">
        <v>8</v>
      </c>
      <c r="E3" s="13" t="s">
        <v>0</v>
      </c>
      <c r="F3" s="16">
        <v>18</v>
      </c>
      <c r="G3" s="16" t="s">
        <v>25</v>
      </c>
      <c r="I3" s="9">
        <f>WORKDAY(Monthly!$B$3-DAY(Monthly!$B$3),2,MLPHolidays)</f>
        <v>43223</v>
      </c>
      <c r="M3" s="17" t="s">
        <v>13</v>
      </c>
      <c r="N3" s="17"/>
    </row>
    <row r="4" spans="1:14" x14ac:dyDescent="0.25">
      <c r="A4" s="1"/>
      <c r="B4" s="2"/>
      <c r="D4" s="13" t="s">
        <v>1</v>
      </c>
      <c r="E4" s="13" t="s">
        <v>2</v>
      </c>
      <c r="F4" s="16">
        <v>18</v>
      </c>
      <c r="G4" s="16" t="s">
        <v>25</v>
      </c>
      <c r="I4" s="9">
        <f>WORKDAY(Monthly!$B$3-DAY(Monthly!$B$3),3,MLPHolidays)</f>
        <v>43224</v>
      </c>
      <c r="M4" s="18" t="s">
        <v>14</v>
      </c>
      <c r="N4" s="18">
        <v>8</v>
      </c>
    </row>
    <row r="5" spans="1:14" x14ac:dyDescent="0.25">
      <c r="A5" s="1"/>
      <c r="B5" s="2"/>
      <c r="D5" s="13"/>
      <c r="E5" s="13" t="s">
        <v>3</v>
      </c>
      <c r="F5" s="16">
        <v>18</v>
      </c>
      <c r="G5" s="16" t="s">
        <v>26</v>
      </c>
      <c r="I5" s="9">
        <f>WORKDAY(Monthly!$B$3-DAY(Monthly!$B$3),4,MLPHolidays)</f>
        <v>43227</v>
      </c>
    </row>
    <row r="6" spans="1:14" x14ac:dyDescent="0.25">
      <c r="A6" s="1"/>
      <c r="B6" s="2"/>
      <c r="D6" s="13"/>
      <c r="E6" s="13"/>
      <c r="F6" s="16"/>
      <c r="G6" s="16"/>
      <c r="I6" s="9">
        <f>WORKDAY(Monthly!$B$3-DAY(Monthly!$B$3),5,MLPHolidays)</f>
        <v>43228</v>
      </c>
    </row>
    <row r="7" spans="1:14" x14ac:dyDescent="0.25">
      <c r="A7" s="1"/>
      <c r="B7" s="2"/>
      <c r="D7" s="20"/>
      <c r="E7" s="20"/>
      <c r="F7" s="21"/>
      <c r="G7" s="21"/>
      <c r="I7" s="9">
        <f>WORKDAY(Monthly!$B$3-DAY(Monthly!$B$3),6,MLPHolidays)</f>
        <v>43229</v>
      </c>
    </row>
    <row r="8" spans="1:14" x14ac:dyDescent="0.25">
      <c r="A8" s="1"/>
      <c r="B8" s="2"/>
      <c r="D8" s="20"/>
      <c r="E8" s="20"/>
      <c r="F8" s="21"/>
      <c r="G8" s="21"/>
      <c r="I8" s="9">
        <f>WORKDAY(Monthly!$B$3-DAY(Monthly!$B$3),7,MLPHolidays)</f>
        <v>43230</v>
      </c>
    </row>
    <row r="9" spans="1:14" x14ac:dyDescent="0.25">
      <c r="A9" s="1"/>
      <c r="B9" s="2"/>
      <c r="D9" s="20"/>
      <c r="E9" s="20"/>
      <c r="F9" s="21"/>
      <c r="G9" s="21"/>
      <c r="I9" s="9">
        <f>WORKDAY(Monthly!$B$3-DAY(Monthly!$B$3),8,MLPHolidays)</f>
        <v>43231</v>
      </c>
    </row>
    <row r="10" spans="1:14" x14ac:dyDescent="0.25">
      <c r="A10" s="1"/>
      <c r="B10" s="2"/>
      <c r="D10" s="20"/>
      <c r="E10" s="20"/>
      <c r="F10" s="21"/>
      <c r="G10" s="21"/>
      <c r="I10" s="9">
        <f>WORKDAY(Monthly!$B$3-DAY(Monthly!$B$3),9,MLPHolidays)</f>
        <v>43234</v>
      </c>
    </row>
    <row r="11" spans="1:14" x14ac:dyDescent="0.25">
      <c r="A11" s="1"/>
      <c r="B11" s="2"/>
      <c r="I11" s="9">
        <f>WORKDAY(Monthly!$B$3-DAY(Monthly!$B$3),10,MLPHolidays)</f>
        <v>43235</v>
      </c>
    </row>
    <row r="12" spans="1:14" x14ac:dyDescent="0.25">
      <c r="A12" s="1"/>
      <c r="B12" s="2"/>
      <c r="I12" s="9">
        <f>WORKDAY(Monthly!$B$3-DAY(Monthly!$B$3),11,MLPHolidays)</f>
        <v>43236</v>
      </c>
    </row>
    <row r="13" spans="1:14" x14ac:dyDescent="0.25">
      <c r="A13" s="1"/>
      <c r="B13" s="2"/>
      <c r="I13" s="9">
        <f>WORKDAY(Monthly!$B$3-DAY(Monthly!$B$3),12,MLPHolidays)</f>
        <v>43237</v>
      </c>
    </row>
    <row r="14" spans="1:14" x14ac:dyDescent="0.25">
      <c r="A14" s="1"/>
      <c r="B14" s="2"/>
      <c r="I14" s="9">
        <f>WORKDAY(Monthly!$B$3-DAY(Monthly!$B$3),13,MLPHolidays)</f>
        <v>43238</v>
      </c>
    </row>
    <row r="15" spans="1:14" x14ac:dyDescent="0.25">
      <c r="A15" s="1"/>
      <c r="B15" s="2"/>
      <c r="I15" s="9">
        <f>WORKDAY(Monthly!$B$3-DAY(Monthly!$B$3),14,MLPHolidays)</f>
        <v>43241</v>
      </c>
    </row>
    <row r="16" spans="1:14" x14ac:dyDescent="0.25">
      <c r="A16" s="1"/>
      <c r="B16" s="2"/>
      <c r="I16" s="9">
        <f>WORKDAY(Monthly!$B$3-DAY(Monthly!$B$3),15,MLPHolidays)</f>
        <v>43242</v>
      </c>
    </row>
    <row r="17" spans="1:9" x14ac:dyDescent="0.25">
      <c r="A17" s="1"/>
      <c r="B17" s="2"/>
      <c r="I17" s="9">
        <f>WORKDAY(Monthly!$B$3-DAY(Monthly!$B$3),16,MLPHolidays)</f>
        <v>43243</v>
      </c>
    </row>
    <row r="18" spans="1:9" x14ac:dyDescent="0.25">
      <c r="A18" s="1"/>
      <c r="B18" s="2"/>
      <c r="I18" s="9">
        <f>WORKDAY(Monthly!$B$3-DAY(Monthly!$B$3),17,MLPHolidays)</f>
        <v>43244</v>
      </c>
    </row>
    <row r="19" spans="1:9" x14ac:dyDescent="0.25">
      <c r="A19" s="1"/>
      <c r="B19" s="2"/>
      <c r="I19" s="9">
        <f>WORKDAY(Monthly!$B$3-DAY(Monthly!$B$3),18,MLPHolidays)</f>
        <v>43245</v>
      </c>
    </row>
    <row r="20" spans="1:9" x14ac:dyDescent="0.25">
      <c r="A20" s="1"/>
      <c r="B20" s="2"/>
      <c r="I20" s="9">
        <f>WORKDAY(Monthly!$B$3-DAY(Monthly!$B$3),19,MLPHolidays)</f>
        <v>43248</v>
      </c>
    </row>
    <row r="21" spans="1:9" x14ac:dyDescent="0.25">
      <c r="A21" s="1"/>
      <c r="B21" s="2"/>
      <c r="I21" s="9">
        <f>WORKDAY(Monthly!$B$3-DAY(Monthly!$B$3),20,MLPHolidays)</f>
        <v>43249</v>
      </c>
    </row>
    <row r="22" spans="1:9" x14ac:dyDescent="0.25">
      <c r="A22" s="1"/>
      <c r="B22" s="2"/>
      <c r="I22" s="9">
        <f>WORKDAY(Monthly!$B$3-DAY(Monthly!$B$3),21,MLPHolidays)</f>
        <v>43250</v>
      </c>
    </row>
    <row r="23" spans="1:9" x14ac:dyDescent="0.25">
      <c r="A23" s="1"/>
      <c r="B23" s="2"/>
      <c r="I23" s="9">
        <f>WORKDAY(Monthly!$B$3-DAY(Monthly!$B$3),22,MLPHolidays)</f>
        <v>43251</v>
      </c>
    </row>
    <row r="24" spans="1:9" x14ac:dyDescent="0.25">
      <c r="A24" s="1"/>
      <c r="B24" s="2"/>
      <c r="I24" s="9"/>
    </row>
    <row r="25" spans="1:9" x14ac:dyDescent="0.25">
      <c r="A25" s="1"/>
      <c r="B25" s="2"/>
      <c r="I25" s="9"/>
    </row>
    <row r="26" spans="1:9" x14ac:dyDescent="0.25">
      <c r="I26" s="9"/>
    </row>
    <row r="27" spans="1:9" x14ac:dyDescent="0.25">
      <c r="I27" s="9"/>
    </row>
    <row r="28" spans="1:9" x14ac:dyDescent="0.25">
      <c r="I28" s="9"/>
    </row>
    <row r="29" spans="1:9" x14ac:dyDescent="0.25">
      <c r="I29" s="9"/>
    </row>
    <row r="30" spans="1:9" x14ac:dyDescent="0.25">
      <c r="I30" s="9"/>
    </row>
    <row r="31" spans="1:9" x14ac:dyDescent="0.25">
      <c r="I31" s="9"/>
    </row>
    <row r="32" spans="1:9" x14ac:dyDescent="0.25">
      <c r="I32" s="9"/>
    </row>
  </sheetData>
  <customSheetViews>
    <customSheetView guid="{B788D2DB-8FF9-4A02-A5ED-09AB2230C169}">
      <pageMargins left="0.7" right="0.7" top="0.75" bottom="0.75" header="0.3" footer="0.3"/>
    </customSheetView>
  </customSheetViews>
  <dataValidations count="2">
    <dataValidation type="date" allowBlank="1" showInputMessage="1" showErrorMessage="1" errorTitle="Date Only" error="Only Date between 1/1/2018 and 12/31/2030 can be entered" promptTitle="Insert a Date" prompt="You need to insert date into this cell with Format &quot;MM/DD/YYYY&quot;" sqref="A2:A25">
      <formula1>43101</formula1>
      <formula2>47848</formula2>
    </dataValidation>
    <dataValidation type="whole" operator="greaterThanOrEqual" showInputMessage="1" showErrorMessage="1" errorTitle="Wrong Row No Entry" error="PleaseEnter row number &gt;= 8" promptTitle="Insert Row Start" prompt="Please enter any value &gt;= 8" sqref="N4">
      <formula1>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Q24"/>
  <sheetViews>
    <sheetView workbookViewId="0"/>
  </sheetViews>
  <sheetFormatPr defaultRowHeight="15" x14ac:dyDescent="0.25"/>
  <cols>
    <col min="1" max="1" width="9.7109375" style="4" customWidth="1"/>
    <col min="2" max="4" width="12.7109375" style="53" customWidth="1"/>
    <col min="5" max="6" width="9.140625" style="4"/>
    <col min="7" max="10" width="16.7109375" style="4" customWidth="1"/>
    <col min="11" max="12" width="9.140625" style="4"/>
    <col min="13" max="13" width="9.7109375" style="4" customWidth="1"/>
    <col min="14" max="17" width="12.7109375" style="37" customWidth="1"/>
    <col min="18" max="16384" width="9.140625" style="4"/>
  </cols>
  <sheetData>
    <row r="1" spans="1:16" x14ac:dyDescent="0.25">
      <c r="A1" s="36">
        <v>43238</v>
      </c>
      <c r="B1" s="57" t="s">
        <v>19</v>
      </c>
      <c r="C1" s="57"/>
      <c r="D1" s="57"/>
      <c r="M1" s="36">
        <v>43238</v>
      </c>
      <c r="N1" s="57" t="s">
        <v>20</v>
      </c>
      <c r="O1" s="57"/>
      <c r="P1" s="57"/>
    </row>
    <row r="2" spans="1:16" x14ac:dyDescent="0.25">
      <c r="A2" s="25" t="s">
        <v>18</v>
      </c>
      <c r="B2" s="54" t="s">
        <v>6</v>
      </c>
      <c r="C2" s="54" t="s">
        <v>8</v>
      </c>
      <c r="D2" s="54" t="s">
        <v>1</v>
      </c>
      <c r="M2" s="25" t="s">
        <v>18</v>
      </c>
      <c r="N2" s="38" t="s">
        <v>6</v>
      </c>
      <c r="O2" s="38" t="s">
        <v>8</v>
      </c>
      <c r="P2" s="38" t="s">
        <v>1</v>
      </c>
    </row>
    <row r="3" spans="1:16" x14ac:dyDescent="0.25">
      <c r="A3" s="26">
        <v>43222</v>
      </c>
      <c r="B3" s="54"/>
      <c r="C3" s="54"/>
      <c r="D3" s="54"/>
      <c r="M3" s="26">
        <v>43222</v>
      </c>
      <c r="N3" s="38"/>
      <c r="O3" s="38"/>
      <c r="P3" s="38"/>
    </row>
    <row r="4" spans="1:16" x14ac:dyDescent="0.25">
      <c r="A4" s="26">
        <v>43223</v>
      </c>
      <c r="B4" s="54"/>
      <c r="C4" s="54"/>
      <c r="D4" s="54"/>
      <c r="M4" s="26">
        <v>43223</v>
      </c>
      <c r="N4" s="38"/>
      <c r="O4" s="38"/>
      <c r="P4" s="38"/>
    </row>
    <row r="5" spans="1:16" x14ac:dyDescent="0.25">
      <c r="A5" s="26">
        <v>43224</v>
      </c>
      <c r="B5" s="54"/>
      <c r="C5" s="54"/>
      <c r="D5" s="54"/>
      <c r="M5" s="26">
        <v>43224</v>
      </c>
      <c r="N5" s="38"/>
      <c r="O5" s="38"/>
      <c r="P5" s="38"/>
    </row>
    <row r="6" spans="1:16" x14ac:dyDescent="0.25">
      <c r="A6" s="26">
        <v>43227</v>
      </c>
      <c r="B6" s="54"/>
      <c r="C6" s="54"/>
      <c r="D6" s="54"/>
      <c r="M6" s="26">
        <v>43227</v>
      </c>
      <c r="N6" s="38"/>
      <c r="O6" s="38"/>
      <c r="P6" s="38"/>
    </row>
    <row r="7" spans="1:16" x14ac:dyDescent="0.25">
      <c r="A7" s="26">
        <v>43228</v>
      </c>
      <c r="B7" s="54"/>
      <c r="C7" s="54"/>
      <c r="D7" s="54"/>
      <c r="M7" s="26">
        <v>43228</v>
      </c>
      <c r="N7" s="38"/>
      <c r="O7" s="38"/>
      <c r="P7" s="38"/>
    </row>
    <row r="8" spans="1:16" x14ac:dyDescent="0.25">
      <c r="A8" s="26">
        <v>43229</v>
      </c>
      <c r="B8" s="54"/>
      <c r="C8" s="54"/>
      <c r="D8" s="54"/>
      <c r="M8" s="26">
        <v>43229</v>
      </c>
      <c r="N8" s="38"/>
      <c r="O8" s="38"/>
      <c r="P8" s="38"/>
    </row>
    <row r="9" spans="1:16" x14ac:dyDescent="0.25">
      <c r="A9" s="26">
        <v>43230</v>
      </c>
      <c r="B9" s="54"/>
      <c r="C9" s="54"/>
      <c r="D9" s="54"/>
      <c r="G9" s="27" t="s">
        <v>27</v>
      </c>
      <c r="M9" s="26">
        <v>43230</v>
      </c>
      <c r="N9" s="38"/>
      <c r="O9" s="38"/>
      <c r="P9" s="38"/>
    </row>
    <row r="10" spans="1:16" x14ac:dyDescent="0.25">
      <c r="A10" s="26">
        <v>43231</v>
      </c>
      <c r="B10" s="54"/>
      <c r="C10" s="54"/>
      <c r="D10" s="54"/>
      <c r="G10" s="28" t="s">
        <v>21</v>
      </c>
      <c r="H10" s="39" t="s">
        <v>22</v>
      </c>
      <c r="I10" s="55" t="s">
        <v>23</v>
      </c>
      <c r="J10" s="55" t="s">
        <v>24</v>
      </c>
      <c r="M10" s="26">
        <v>43231</v>
      </c>
      <c r="N10" s="38"/>
      <c r="O10" s="38"/>
      <c r="P10" s="38"/>
    </row>
    <row r="11" spans="1:16" x14ac:dyDescent="0.25">
      <c r="A11" s="26">
        <v>43234</v>
      </c>
      <c r="B11" s="54"/>
      <c r="C11" s="54"/>
      <c r="D11" s="54"/>
      <c r="G11" s="25" t="s">
        <v>6</v>
      </c>
      <c r="H11" s="38"/>
      <c r="I11" s="54"/>
      <c r="J11" s="54"/>
      <c r="M11" s="26">
        <v>43234</v>
      </c>
      <c r="N11" s="38"/>
      <c r="O11" s="38"/>
      <c r="P11" s="38"/>
    </row>
    <row r="12" spans="1:16" x14ac:dyDescent="0.25">
      <c r="A12" s="26">
        <v>43235</v>
      </c>
      <c r="B12" s="54"/>
      <c r="C12" s="54"/>
      <c r="D12" s="54"/>
      <c r="G12" s="25" t="s">
        <v>8</v>
      </c>
      <c r="H12" s="38"/>
      <c r="I12" s="54"/>
      <c r="J12" s="54"/>
      <c r="M12" s="26">
        <v>43235</v>
      </c>
      <c r="N12" s="38"/>
      <c r="O12" s="38"/>
      <c r="P12" s="38"/>
    </row>
    <row r="13" spans="1:16" x14ac:dyDescent="0.25">
      <c r="A13" s="26">
        <v>43236</v>
      </c>
      <c r="B13" s="54"/>
      <c r="C13" s="54"/>
      <c r="D13" s="54"/>
      <c r="G13" s="25" t="s">
        <v>1</v>
      </c>
      <c r="H13" s="38"/>
      <c r="I13" s="54"/>
      <c r="J13" s="54"/>
      <c r="M13" s="26">
        <v>43236</v>
      </c>
      <c r="N13" s="38"/>
      <c r="O13" s="38"/>
      <c r="P13" s="38"/>
    </row>
    <row r="14" spans="1:16" x14ac:dyDescent="0.25">
      <c r="A14" s="26">
        <v>43237</v>
      </c>
      <c r="B14" s="54"/>
      <c r="C14" s="54"/>
      <c r="D14" s="54"/>
      <c r="M14" s="26">
        <v>43237</v>
      </c>
      <c r="N14" s="38"/>
      <c r="O14" s="38"/>
      <c r="P14" s="38"/>
    </row>
    <row r="15" spans="1:16" x14ac:dyDescent="0.25">
      <c r="A15" s="26">
        <v>43238</v>
      </c>
      <c r="B15" s="54"/>
      <c r="C15" s="54"/>
      <c r="D15" s="54"/>
      <c r="M15" s="26">
        <v>43238</v>
      </c>
      <c r="N15" s="38"/>
      <c r="O15" s="38"/>
      <c r="P15" s="38"/>
    </row>
    <row r="16" spans="1:16" x14ac:dyDescent="0.25">
      <c r="A16" s="26">
        <v>43241</v>
      </c>
      <c r="B16" s="54"/>
      <c r="C16" s="54"/>
      <c r="D16" s="54"/>
      <c r="M16" s="26">
        <v>43241</v>
      </c>
      <c r="N16" s="38"/>
      <c r="O16" s="38"/>
      <c r="P16" s="38"/>
    </row>
    <row r="17" spans="1:16" x14ac:dyDescent="0.25">
      <c r="A17" s="26">
        <v>43242</v>
      </c>
      <c r="B17" s="54"/>
      <c r="C17" s="54"/>
      <c r="D17" s="54"/>
      <c r="M17" s="26">
        <v>43242</v>
      </c>
      <c r="N17" s="38"/>
      <c r="O17" s="38"/>
      <c r="P17" s="38"/>
    </row>
    <row r="18" spans="1:16" x14ac:dyDescent="0.25">
      <c r="A18" s="26">
        <v>43243</v>
      </c>
      <c r="B18" s="54"/>
      <c r="C18" s="54"/>
      <c r="D18" s="54"/>
      <c r="M18" s="26">
        <v>43243</v>
      </c>
      <c r="N18" s="38"/>
      <c r="O18" s="38"/>
      <c r="P18" s="38"/>
    </row>
    <row r="19" spans="1:16" x14ac:dyDescent="0.25">
      <c r="A19" s="26">
        <v>43244</v>
      </c>
      <c r="B19" s="54"/>
      <c r="C19" s="54"/>
      <c r="D19" s="54"/>
      <c r="M19" s="26">
        <v>43244</v>
      </c>
      <c r="N19" s="38"/>
      <c r="O19" s="38"/>
      <c r="P19" s="38"/>
    </row>
    <row r="20" spans="1:16" x14ac:dyDescent="0.25">
      <c r="A20" s="26">
        <v>43245</v>
      </c>
      <c r="B20" s="54"/>
      <c r="C20" s="54"/>
      <c r="D20" s="54"/>
      <c r="M20" s="26">
        <v>43245</v>
      </c>
      <c r="N20" s="38"/>
      <c r="O20" s="38"/>
      <c r="P20" s="38"/>
    </row>
    <row r="21" spans="1:16" x14ac:dyDescent="0.25">
      <c r="A21" s="26">
        <v>43248</v>
      </c>
      <c r="B21" s="54"/>
      <c r="C21" s="54"/>
      <c r="D21" s="54"/>
      <c r="M21" s="26">
        <v>43248</v>
      </c>
      <c r="N21" s="38"/>
      <c r="O21" s="38"/>
      <c r="P21" s="38"/>
    </row>
    <row r="22" spans="1:16" x14ac:dyDescent="0.25">
      <c r="A22" s="26">
        <v>43249</v>
      </c>
      <c r="B22" s="54"/>
      <c r="C22" s="54"/>
      <c r="D22" s="54"/>
      <c r="M22" s="26">
        <v>43249</v>
      </c>
      <c r="N22" s="38"/>
      <c r="O22" s="38"/>
      <c r="P22" s="38"/>
    </row>
    <row r="23" spans="1:16" x14ac:dyDescent="0.25">
      <c r="A23" s="26">
        <v>43250</v>
      </c>
      <c r="B23" s="54"/>
      <c r="C23" s="54"/>
      <c r="D23" s="54"/>
      <c r="M23" s="26">
        <v>43250</v>
      </c>
      <c r="N23" s="38"/>
      <c r="O23" s="38"/>
      <c r="P23" s="38"/>
    </row>
    <row r="24" spans="1:16" x14ac:dyDescent="0.25">
      <c r="A24" s="26">
        <v>43251</v>
      </c>
      <c r="B24" s="54"/>
      <c r="C24" s="54"/>
      <c r="D24" s="54"/>
      <c r="M24" s="26">
        <v>43251</v>
      </c>
      <c r="N24" s="38"/>
      <c r="O24" s="38"/>
      <c r="P24" s="38"/>
    </row>
  </sheetData>
  <customSheetViews>
    <customSheetView guid="{B788D2DB-8FF9-4A02-A5ED-09AB2230C169}">
      <pageMargins left="0.7" right="0.7" top="0.75" bottom="0.75" header="0.3" footer="0.3"/>
    </customSheetView>
  </customSheetViews>
  <mergeCells count="2">
    <mergeCell ref="B1:D1"/>
    <mergeCell ref="N1:P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N15"/>
  <sheetViews>
    <sheetView workbookViewId="0">
      <selection activeCell="A6" sqref="A6"/>
    </sheetView>
  </sheetViews>
  <sheetFormatPr defaultRowHeight="15" x14ac:dyDescent="0.25"/>
  <sheetData>
    <row r="1" spans="1:14" x14ac:dyDescent="0.25">
      <c r="A1" s="25" t="s">
        <v>28</v>
      </c>
      <c r="B1" s="58" t="s">
        <v>33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60"/>
    </row>
    <row r="2" spans="1:14" x14ac:dyDescent="0.25">
      <c r="A2" s="25" t="s">
        <v>29</v>
      </c>
      <c r="B2" s="58" t="s">
        <v>30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2"/>
    </row>
    <row r="3" spans="1:14" x14ac:dyDescent="0.25">
      <c r="A3" s="25" t="s">
        <v>32</v>
      </c>
      <c r="B3" s="63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5"/>
    </row>
    <row r="4" spans="1:14" x14ac:dyDescent="0.25">
      <c r="A4" s="48" t="s">
        <v>31</v>
      </c>
      <c r="B4" s="66" t="str">
        <f>IF(Monthly!$B$3&lt;&gt;"",TEXT(Monthly!$B$3,"MMM-YY"),"") &amp; " Timesheet Report"</f>
        <v>May-18 Timesheet Report</v>
      </c>
      <c r="C4" s="67" t="str">
        <f>IF(Monthly!$B$3&lt;&gt;"",TEXT(Monthly!$B$3,"MMM-YY"),"")</f>
        <v>May-18</v>
      </c>
      <c r="D4" s="67" t="str">
        <f>IF(Monthly!$B$3&lt;&gt;"",TEXT(Monthly!$B$3,"MMM-YY"),"")</f>
        <v>May-18</v>
      </c>
      <c r="E4" s="67" t="str">
        <f>IF(Monthly!$B$3&lt;&gt;"",TEXT(Monthly!$B$3,"MMM-YY"),"")</f>
        <v>May-18</v>
      </c>
      <c r="F4" s="67" t="str">
        <f>IF(Monthly!$B$3&lt;&gt;"",TEXT(Monthly!$B$3,"MMM-YY"),"")</f>
        <v>May-18</v>
      </c>
      <c r="G4" s="67" t="str">
        <f>IF(Monthly!$B$3&lt;&gt;"",TEXT(Monthly!$B$3,"MMM-YY"),"")</f>
        <v>May-18</v>
      </c>
      <c r="H4" s="67" t="str">
        <f>IF(Monthly!$B$3&lt;&gt;"",TEXT(Monthly!$B$3,"MMM-YY"),"")</f>
        <v>May-18</v>
      </c>
      <c r="I4" s="67" t="str">
        <f>IF(Monthly!$B$3&lt;&gt;"",TEXT(Monthly!$B$3,"MMM-YY"),"")</f>
        <v>May-18</v>
      </c>
      <c r="J4" s="67" t="str">
        <f>IF(Monthly!$B$3&lt;&gt;"",TEXT(Monthly!$B$3,"MMM-YY"),"")</f>
        <v>May-18</v>
      </c>
      <c r="K4" s="67" t="str">
        <f>IF(Monthly!$B$3&lt;&gt;"",TEXT(Monthly!$B$3,"MMM-YY"),"")</f>
        <v>May-18</v>
      </c>
      <c r="L4" s="67" t="str">
        <f>IF(Monthly!$B$3&lt;&gt;"",TEXT(Monthly!$B$3,"MMM-YY"),"")</f>
        <v>May-18</v>
      </c>
      <c r="M4" s="67" t="str">
        <f>IF(Monthly!$B$3&lt;&gt;"",TEXT(Monthly!$B$3,"MMM-YY"),"")</f>
        <v>May-18</v>
      </c>
      <c r="N4" s="68" t="str">
        <f>IF(Monthly!$B$3&lt;&gt;"",TEXT(Monthly!$B$3,"MMM-YY"),"")</f>
        <v>May-18</v>
      </c>
    </row>
    <row r="5" spans="1:14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2"/>
    </row>
    <row r="6" spans="1:14" x14ac:dyDescent="0.25">
      <c r="A6" s="49" t="str">
        <f>"Hi " &amp; IF(B1&lt;&gt;"",LEFT(B1,FIND(".",B1)-1),"") &amp; ","</f>
        <v>Hi Swapnil,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43"/>
    </row>
    <row r="7" spans="1:14" ht="15.75" x14ac:dyDescent="0.3">
      <c r="A7" s="50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43"/>
    </row>
    <row r="8" spans="1:14" x14ac:dyDescent="0.25">
      <c r="A8" s="51" t="str">
        <f xml:space="preserve"> "Please find attached Timesheet report for " &amp; IF(Monthly!$B$3&lt;&gt;"",TEXT(Monthly!$B$3,"MMM-YY"),"")</f>
        <v>Please find attached Timesheet report for May-18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43"/>
    </row>
    <row r="9" spans="1:14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43"/>
    </row>
    <row r="10" spans="1:14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43"/>
    </row>
    <row r="11" spans="1:14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43"/>
    </row>
    <row r="12" spans="1:14" x14ac:dyDescent="0.25">
      <c r="A12" s="4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43"/>
    </row>
    <row r="13" spans="1:14" x14ac:dyDescent="0.25">
      <c r="A13" s="4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43"/>
    </row>
    <row r="14" spans="1:14" x14ac:dyDescent="0.25">
      <c r="A14" s="4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43"/>
    </row>
    <row r="15" spans="1:14" x14ac:dyDescent="0.25">
      <c r="A15" s="45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7"/>
    </row>
  </sheetData>
  <mergeCells count="4">
    <mergeCell ref="B1:N1"/>
    <mergeCell ref="B2:N2"/>
    <mergeCell ref="B3:N3"/>
    <mergeCell ref="B4:N4"/>
  </mergeCells>
  <hyperlinks>
    <hyperlink ref="B2" r:id="rId1"/>
    <hyperlink ref="B1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Monthly</vt:lpstr>
      <vt:lpstr>Mapping</vt:lpstr>
      <vt:lpstr>Summary</vt:lpstr>
      <vt:lpstr>MailFormat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2018-04-05T11:14:54Z</dcterms:created>
  <dcterms:modified xsi:type="dcterms:W3CDTF">2018-05-16T13:11:44Z</dcterms:modified>
</cp:coreProperties>
</file>