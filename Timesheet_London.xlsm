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20" windowWidth="15180" windowHeight="5265"/>
  </bookViews>
  <sheets>
    <sheet name="Monthly" sheetId="1" r:id="rId1"/>
    <sheet name="Holidays" sheetId="2" r:id="rId2"/>
    <sheet name="Summary" sheetId="3" r:id="rId3"/>
  </sheets>
  <functionGroups builtInGroupCount="17"/>
  <definedNames>
    <definedName name="MLPHolidays">Holidays!$A$2:$A$25</definedName>
    <definedName name="ProcessName">OFFSET(Holidays!$D$2,0,0,COUNTA(Holidays!$D:$D)-1)</definedName>
  </definedNames>
  <calcPr calcId="145621" calcOnSave="0" concurrentCalc="0"/>
  <customWorkbookViews>
    <customWorkbookView name="Administrator - Personal View" guid="{B788D2DB-8FF9-4A02-A5ED-09AB2230C169}" mergeInterval="0" personalView="1" maximized="1" windowWidth="1600" windowHeight="694" activeSheetId="1"/>
  </customWorkbookViews>
</workbook>
</file>

<file path=xl/calcChain.xml><?xml version="1.0" encoding="utf-8"?>
<calcChain xmlns="http://schemas.openxmlformats.org/spreadsheetml/2006/main">
  <c r="B8" i="1" l="1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A1" i="3"/>
  <c r="G1" i="2"/>
</calcChain>
</file>

<file path=xl/sharedStrings.xml><?xml version="1.0" encoding="utf-8"?>
<sst xmlns="http://schemas.openxmlformats.org/spreadsheetml/2006/main" count="43" uniqueCount="23">
  <si>
    <t>Start Time</t>
  </si>
  <si>
    <t>FI Bonds</t>
  </si>
  <si>
    <t>End Time</t>
  </si>
  <si>
    <t>CSA</t>
  </si>
  <si>
    <t>Equity</t>
  </si>
  <si>
    <t>Daily Total Time</t>
  </si>
  <si>
    <t>Date</t>
  </si>
  <si>
    <t>Processes (Total Time)</t>
  </si>
  <si>
    <t>Holiday Name</t>
  </si>
  <si>
    <t>Holiday Date</t>
  </si>
  <si>
    <t>Export The summary</t>
  </si>
  <si>
    <t>Email the report to manager</t>
  </si>
  <si>
    <t>Template Creation</t>
  </si>
  <si>
    <t>Dates</t>
  </si>
  <si>
    <t>CSA Recon</t>
  </si>
  <si>
    <t>Breaks</t>
  </si>
  <si>
    <t>Equity Fails</t>
  </si>
  <si>
    <t>Labour Day</t>
  </si>
  <si>
    <t>Process</t>
  </si>
  <si>
    <t>Total Time</t>
  </si>
  <si>
    <t>Average Time</t>
  </si>
  <si>
    <t>Process Name</t>
  </si>
  <si>
    <t>Process Activities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</si>
</sst>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d/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medium">
        <color theme="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theme="0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xfId="0"/>
    <xf numFmtId="14" fontId="2" fillId="0" borderId="1" xfId="1" applyNumberFormat="1" applyBorder="1"/>
    <xf numFmtId="0" fontId="0" fillId="0" borderId="1" xfId="0" applyBorder="1"/>
    <xf numFmtId="0" fontId="0" fillId="3" borderId="0" xfId="0" applyFill="1" applyBorder="1"/>
    <xf numFmtId="0" fontId="0" fillId="3" borderId="0" xfId="0" applyFill="1"/>
    <xf numFmtId="0" fontId="3" fillId="2" borderId="1" xfId="1" applyFont="1" applyFill="1" applyBorder="1" applyAlignment="1">
      <alignment vertical="center" wrapText="1"/>
    </xf>
    <xf numFmtId="0" fontId="1" fillId="2" borderId="1" xfId="0" applyFont="1" applyFill="1" applyBorder="1" applyAlignment="1">
      <alignment vertical="center"/>
    </xf>
    <xf numFmtId="0" fontId="0" fillId="3" borderId="5" xfId="0" applyFill="1" applyBorder="1"/>
    <xf numFmtId="0" fontId="0" fillId="3" borderId="6" xfId="0" applyFill="1" applyBorder="1"/>
    <xf numFmtId="14" fontId="0" fillId="3" borderId="0" xfId="0" applyNumberFormat="1" applyFill="1" applyBorder="1"/>
    <xf numFmtId="0" fontId="0" fillId="3" borderId="7" xfId="0" applyFill="1" applyBorder="1"/>
    <xf numFmtId="14" fontId="0" fillId="0" borderId="1" xfId="0" applyNumberFormat="1" applyBorder="1"/>
    <xf numFmtId="0" fontId="0" fillId="4" borderId="1" xfId="0" applyFill="1" applyBorder="1" applyAlignment="1">
      <alignment horizontal="center" wrapText="1"/>
    </xf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1" fillId="2" borderId="1" xfId="0" applyNumberFormat="1" applyFont="1" applyFill="1" applyBorder="1"/>
    <xf numFmtId="0" fontId="1" fillId="3" borderId="0" xfId="0" applyFont="1" applyFill="1" applyBorder="1"/>
    <xf numFmtId="164" fontId="1" fillId="2" borderId="17" xfId="0" applyNumberFormat="1" applyFont="1" applyFill="1" applyBorder="1"/>
    <xf numFmtId="17" fontId="1" fillId="3" borderId="1" xfId="0" applyNumberFormat="1" applyFont="1" applyFill="1" applyBorder="1" applyAlignment="1" applyProtection="1">
      <alignment horizontal="left"/>
    </xf>
    <xf numFmtId="0" fontId="1" fillId="3" borderId="1" xfId="0" applyFont="1" applyFill="1" applyBorder="1" applyAlignment="1" applyProtection="1">
      <alignment horizontal="left"/>
      <protection locked="0"/>
    </xf>
    <xf numFmtId="164" fontId="4" fillId="5" borderId="17" xfId="0" applyNumberFormat="1" applyFont="1" applyFill="1" applyBorder="1"/>
    <xf numFmtId="0" fontId="4" fillId="5" borderId="17" xfId="0" applyFont="1" applyFill="1" applyBorder="1"/>
    <xf numFmtId="0" fontId="4" fillId="5" borderId="17" xfId="0" applyFont="1" applyFill="1" applyBorder="1" applyAlignment="1"/>
    <xf numFmtId="0" fontId="0" fillId="3" borderId="17" xfId="0" applyFill="1" applyBorder="1"/>
    <xf numFmtId="164" fontId="0" fillId="3" borderId="17" xfId="0" applyNumberFormat="1" applyFill="1" applyBorder="1"/>
    <xf numFmtId="0" fontId="5" fillId="2" borderId="17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left"/>
    </xf>
    <xf numFmtId="0" fontId="0" fillId="0" borderId="17" xfId="0" applyBorder="1"/>
    <xf numFmtId="0" fontId="6" fillId="6" borderId="17" xfId="0" applyFont="1" applyFill="1" applyBorder="1" applyAlignment="1">
      <alignment horizontal="center" vertical="center"/>
    </xf>
    <xf numFmtId="0" fontId="6" fillId="6" borderId="17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74348</xdr:colOff>
      <xdr:row>1</xdr:row>
      <xdr:rowOff>122768</xdr:rowOff>
    </xdr:from>
    <xdr:to>
      <xdr:col>2</xdr:col>
      <xdr:colOff>371339</xdr:colOff>
      <xdr:row>3</xdr:row>
      <xdr:rowOff>17992</xdr:rowOff>
    </xdr:to>
    <xdr:pic macro="[0]!Sheet1.Image_Date_Click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448" y="323851"/>
          <a:ext cx="296991" cy="276224"/>
        </a:xfrm>
        <a:prstGeom prst="rect">
          <a:avLst/>
        </a:prstGeom>
      </xdr:spPr>
    </xdr:pic>
    <xdr:clientData/>
  </xdr:twoCellAnchor>
  <xdr:oneCellAnchor>
    <xdr:from>
      <xdr:col>5</xdr:col>
      <xdr:colOff>594196</xdr:colOff>
      <xdr:row>0</xdr:row>
      <xdr:rowOff>55033</xdr:rowOff>
    </xdr:from>
    <xdr:ext cx="5016630" cy="530658"/>
    <xdr:sp macro="" textlink="">
      <xdr:nvSpPr>
        <xdr:cNvPr id="3" name="Rectangle 2"/>
        <xdr:cNvSpPr/>
      </xdr:nvSpPr>
      <xdr:spPr>
        <a:xfrm>
          <a:off x="4604221" y="55033"/>
          <a:ext cx="5016630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8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TIME SHEET</a:t>
          </a:r>
          <a:r>
            <a:rPr lang="en-US" sz="2800" b="1" cap="none" spc="0" baseline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 (LONDON PROCESS)</a:t>
          </a:r>
        </a:p>
      </xdr:txBody>
    </xdr:sp>
    <xdr:clientData/>
  </xdr:oneCellAnchor>
  <xdr:twoCellAnchor>
    <xdr:from>
      <xdr:col>2</xdr:col>
      <xdr:colOff>563036</xdr:colOff>
      <xdr:row>3</xdr:row>
      <xdr:rowOff>122769</xdr:rowOff>
    </xdr:from>
    <xdr:to>
      <xdr:col>3</xdr:col>
      <xdr:colOff>652992</xdr:colOff>
      <xdr:row>5</xdr:row>
      <xdr:rowOff>9526</xdr:rowOff>
    </xdr:to>
    <xdr:sp macro="" textlink="">
      <xdr:nvSpPr>
        <xdr:cNvPr id="4" name="Rounded Rectangle 3"/>
        <xdr:cNvSpPr/>
      </xdr:nvSpPr>
      <xdr:spPr>
        <a:xfrm>
          <a:off x="2129369" y="704852"/>
          <a:ext cx="756706" cy="257174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START</a:t>
          </a:r>
        </a:p>
      </xdr:txBody>
    </xdr:sp>
    <xdr:clientData/>
  </xdr:twoCellAnchor>
  <xdr:twoCellAnchor>
    <xdr:from>
      <xdr:col>3</xdr:col>
      <xdr:colOff>879476</xdr:colOff>
      <xdr:row>3</xdr:row>
      <xdr:rowOff>122769</xdr:rowOff>
    </xdr:from>
    <xdr:to>
      <xdr:col>4</xdr:col>
      <xdr:colOff>676275</xdr:colOff>
      <xdr:row>5</xdr:row>
      <xdr:rowOff>9526</xdr:rowOff>
    </xdr:to>
    <xdr:sp macro="" textlink="">
      <xdr:nvSpPr>
        <xdr:cNvPr id="6" name="Rounded Rectangle 5"/>
        <xdr:cNvSpPr/>
      </xdr:nvSpPr>
      <xdr:spPr>
        <a:xfrm>
          <a:off x="2908301" y="703794"/>
          <a:ext cx="787399" cy="258232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END</a:t>
          </a:r>
        </a:p>
      </xdr:txBody>
    </xdr:sp>
    <xdr:clientData/>
  </xdr:twoCellAnchor>
  <xdr:twoCellAnchor>
    <xdr:from>
      <xdr:col>18</xdr:col>
      <xdr:colOff>94192</xdr:colOff>
      <xdr:row>1</xdr:row>
      <xdr:rowOff>6352</xdr:rowOff>
    </xdr:from>
    <xdr:to>
      <xdr:col>19</xdr:col>
      <xdr:colOff>455084</xdr:colOff>
      <xdr:row>2</xdr:row>
      <xdr:rowOff>63499</xdr:rowOff>
    </xdr:to>
    <xdr:sp macro="[0]!GenerateFormat" textlink="">
      <xdr:nvSpPr>
        <xdr:cNvPr id="7" name="Rounded Rectangle 6"/>
        <xdr:cNvSpPr/>
      </xdr:nvSpPr>
      <xdr:spPr>
        <a:xfrm>
          <a:off x="12434359" y="207435"/>
          <a:ext cx="974725" cy="247647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GENERATE</a:t>
          </a:r>
        </a:p>
      </xdr:txBody>
    </xdr:sp>
    <xdr:clientData/>
  </xdr:twoCellAnchor>
  <xdr:twoCellAnchor editAs="oneCell">
    <xdr:from>
      <xdr:col>18</xdr:col>
      <xdr:colOff>304155</xdr:colOff>
      <xdr:row>3</xdr:row>
      <xdr:rowOff>63499</xdr:rowOff>
    </xdr:from>
    <xdr:to>
      <xdr:col>19</xdr:col>
      <xdr:colOff>137579</xdr:colOff>
      <xdr:row>5</xdr:row>
      <xdr:rowOff>132292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44322" y="645582"/>
          <a:ext cx="447257" cy="439210"/>
        </a:xfrm>
        <a:prstGeom prst="rect">
          <a:avLst/>
        </a:prstGeom>
      </xdr:spPr>
    </xdr:pic>
    <xdr:clientData/>
  </xdr:twoCellAnchor>
  <xdr:twoCellAnchor editAs="oneCell">
    <xdr:from>
      <xdr:col>18</xdr:col>
      <xdr:colOff>243416</xdr:colOff>
      <xdr:row>6</xdr:row>
      <xdr:rowOff>42331</xdr:rowOff>
    </xdr:from>
    <xdr:to>
      <xdr:col>19</xdr:col>
      <xdr:colOff>198293</xdr:colOff>
      <xdr:row>8</xdr:row>
      <xdr:rowOff>134576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83583" y="1185331"/>
          <a:ext cx="568710" cy="47324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32"/>
  <sheetViews>
    <sheetView tabSelected="1" zoomScale="90" zoomScaleNormal="90" workbookViewId="0">
      <selection activeCell="D11" sqref="D11"/>
    </sheetView>
  </sheetViews>
  <sheetFormatPr defaultColWidth="9.140625" defaultRowHeight="15" x14ac:dyDescent="0.25"/>
  <cols>
    <col min="1" max="1" width="9.140625" style="3"/>
    <col min="2" max="2" width="14.28515625" style="4" customWidth="1"/>
    <col min="3" max="3" width="7" style="4" customWidth="1"/>
    <col min="4" max="6" width="16.85546875" style="4" bestFit="1" customWidth="1"/>
    <col min="7" max="7" width="7" style="4" bestFit="1" customWidth="1"/>
    <col min="8" max="9" width="14.85546875" style="4" bestFit="1" customWidth="1"/>
    <col min="10" max="10" width="15.42578125" style="4" bestFit="1" customWidth="1"/>
    <col min="11" max="11" width="7" style="4" bestFit="1" customWidth="1"/>
    <col min="12" max="13" width="14.85546875" style="4" bestFit="1" customWidth="1"/>
    <col min="14" max="14" width="15.42578125" style="4" bestFit="1" customWidth="1"/>
    <col min="15" max="22" width="9.140625" style="4"/>
    <col min="23" max="16384" width="9.140625" style="3"/>
  </cols>
  <sheetData>
    <row r="1" spans="1:27" ht="15.75" thickBot="1" x14ac:dyDescent="0.3">
      <c r="B1" s="3"/>
      <c r="C1" s="3"/>
      <c r="D1" s="3"/>
      <c r="S1" s="13"/>
      <c r="T1" s="14"/>
      <c r="U1" s="14"/>
      <c r="V1" s="14"/>
      <c r="W1" s="15"/>
    </row>
    <row r="2" spans="1:27" s="4" customFormat="1" x14ac:dyDescent="0.25">
      <c r="A2" s="9"/>
      <c r="B2" s="25"/>
      <c r="C2" s="3"/>
      <c r="D2" s="3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16"/>
      <c r="T2" s="7"/>
      <c r="U2" s="3" t="s">
        <v>12</v>
      </c>
      <c r="V2" s="8"/>
      <c r="W2" s="17"/>
    </row>
    <row r="3" spans="1:27" s="4" customFormat="1" x14ac:dyDescent="0.25">
      <c r="A3" s="3"/>
      <c r="B3" s="27">
        <v>43221</v>
      </c>
      <c r="C3" s="3"/>
      <c r="D3" s="3"/>
      <c r="E3" s="3"/>
      <c r="F3" s="3"/>
      <c r="G3" s="3"/>
      <c r="H3" s="3"/>
      <c r="I3" s="9"/>
      <c r="J3" s="3"/>
      <c r="K3" s="3"/>
      <c r="L3" s="3"/>
      <c r="M3" s="3"/>
      <c r="N3" s="3"/>
      <c r="O3" s="3"/>
      <c r="P3" s="3"/>
      <c r="Q3" s="3"/>
      <c r="R3" s="3"/>
      <c r="S3" s="18"/>
      <c r="T3" s="3"/>
      <c r="U3" s="3"/>
      <c r="V3" s="10"/>
      <c r="W3" s="17"/>
    </row>
    <row r="4" spans="1:27" s="4" customFormat="1" ht="14.25" customHeight="1" x14ac:dyDescent="0.25">
      <c r="A4" s="3"/>
      <c r="B4" s="25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18"/>
      <c r="T4" s="3"/>
      <c r="U4" s="3"/>
      <c r="V4" s="3"/>
      <c r="W4" s="17"/>
      <c r="X4" s="3"/>
      <c r="Y4" s="3"/>
      <c r="Z4" s="3"/>
      <c r="AA4" s="3"/>
    </row>
    <row r="5" spans="1:27" x14ac:dyDescent="0.25">
      <c r="B5" s="28" t="s">
        <v>3</v>
      </c>
      <c r="C5" s="3"/>
      <c r="D5" s="3"/>
      <c r="S5" s="18"/>
      <c r="T5" s="3"/>
      <c r="U5" s="3" t="s">
        <v>10</v>
      </c>
      <c r="V5" s="3"/>
      <c r="W5" s="17"/>
    </row>
    <row r="6" spans="1:27" x14ac:dyDescent="0.25">
      <c r="B6" s="3"/>
      <c r="C6" s="3"/>
      <c r="D6" s="3"/>
      <c r="S6" s="18"/>
      <c r="T6" s="3"/>
      <c r="U6" s="3"/>
      <c r="V6" s="3"/>
      <c r="W6" s="17"/>
    </row>
    <row r="7" spans="1:27" x14ac:dyDescent="0.25">
      <c r="B7" s="3"/>
      <c r="C7" s="3"/>
      <c r="D7" s="3"/>
      <c r="S7" s="18"/>
      <c r="T7" s="3"/>
      <c r="U7" s="3"/>
      <c r="V7" s="3"/>
      <c r="W7" s="17"/>
    </row>
    <row r="8" spans="1:27" x14ac:dyDescent="0.25">
      <c r="B8" s="26" t="str">
        <f>IF(Monthly!$B$3&lt;&gt;"",TEXT(Monthly!$B$3,"MMM-YY"),"")</f>
        <v>May-18</v>
      </c>
      <c r="C8" s="34" t="s">
        <v>14</v>
      </c>
      <c r="D8" s="34"/>
      <c r="E8" s="34"/>
      <c r="F8" s="34"/>
      <c r="G8" s="34" t="s">
        <v>16</v>
      </c>
      <c r="H8" s="34"/>
      <c r="I8" s="34"/>
      <c r="J8" s="34"/>
      <c r="K8" s="34" t="s">
        <v>1</v>
      </c>
      <c r="L8" s="34"/>
      <c r="M8" s="34"/>
      <c r="N8" s="34"/>
      <c r="S8" s="18"/>
      <c r="T8" s="3"/>
      <c r="U8" s="3" t="s">
        <v>11</v>
      </c>
      <c r="V8" s="3"/>
      <c r="W8" s="17"/>
    </row>
    <row r="9" spans="1:27" ht="15.75" thickBot="1" x14ac:dyDescent="0.3">
      <c r="B9" s="29" t="s">
        <v>13</v>
      </c>
      <c r="C9" s="30" t="s">
        <v>15</v>
      </c>
      <c r="D9" s="30" t="s">
        <v>0</v>
      </c>
      <c r="E9" s="30" t="s">
        <v>2</v>
      </c>
      <c r="F9" s="31" t="s">
        <v>5</v>
      </c>
      <c r="G9" s="30" t="s">
        <v>15</v>
      </c>
      <c r="H9" s="30" t="s">
        <v>0</v>
      </c>
      <c r="I9" s="30" t="s">
        <v>2</v>
      </c>
      <c r="J9" s="31" t="s">
        <v>5</v>
      </c>
      <c r="K9" s="30" t="s">
        <v>15</v>
      </c>
      <c r="L9" s="30" t="s">
        <v>0</v>
      </c>
      <c r="M9" s="30" t="s">
        <v>2</v>
      </c>
      <c r="N9" s="31" t="s">
        <v>5</v>
      </c>
      <c r="S9" s="19"/>
      <c r="T9" s="20"/>
      <c r="U9" s="20"/>
      <c r="V9" s="20"/>
      <c r="W9" s="21"/>
    </row>
    <row r="10" spans="1:27" x14ac:dyDescent="0.25">
      <c r="B10" s="33">
        <v>43221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</row>
    <row r="11" spans="1:27" x14ac:dyDescent="0.25">
      <c r="B11" s="33">
        <v>43222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</row>
    <row r="12" spans="1:27" x14ac:dyDescent="0.25">
      <c r="B12" s="33">
        <v>43223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</row>
    <row r="13" spans="1:27" x14ac:dyDescent="0.25">
      <c r="B13" s="33">
        <v>43224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</row>
    <row r="14" spans="1:27" x14ac:dyDescent="0.25">
      <c r="B14" s="33">
        <v>43227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</row>
    <row r="15" spans="1:27" x14ac:dyDescent="0.25">
      <c r="B15" s="33">
        <v>43228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</row>
    <row r="16" spans="1:27" x14ac:dyDescent="0.25">
      <c r="B16" s="33">
        <v>43229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</row>
    <row r="17" spans="2:14" x14ac:dyDescent="0.25">
      <c r="B17" s="33">
        <v>43230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</row>
    <row r="18" spans="2:14" x14ac:dyDescent="0.25">
      <c r="B18" s="33">
        <v>43231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</row>
    <row r="19" spans="2:14" x14ac:dyDescent="0.25">
      <c r="B19" s="33">
        <v>43234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</row>
    <row r="20" spans="2:14" x14ac:dyDescent="0.25">
      <c r="B20" s="33">
        <v>43235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</row>
    <row r="21" spans="2:14" x14ac:dyDescent="0.25">
      <c r="B21" s="33">
        <v>43236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</row>
    <row r="22" spans="2:14" x14ac:dyDescent="0.25">
      <c r="B22" s="33">
        <v>43237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</row>
    <row r="23" spans="2:14" x14ac:dyDescent="0.25">
      <c r="B23" s="33">
        <v>43238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</row>
    <row r="24" spans="2:14" x14ac:dyDescent="0.25">
      <c r="B24" s="33">
        <v>43241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</row>
    <row r="25" spans="2:14" x14ac:dyDescent="0.25">
      <c r="B25" s="33">
        <v>43242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</row>
    <row r="26" spans="2:14" x14ac:dyDescent="0.25">
      <c r="B26" s="33">
        <v>43243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</row>
    <row r="27" spans="2:14" x14ac:dyDescent="0.25">
      <c r="B27" s="33">
        <v>43244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</row>
    <row r="28" spans="2:14" x14ac:dyDescent="0.25">
      <c r="B28" s="33">
        <v>43245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</row>
    <row r="29" spans="2:14" x14ac:dyDescent="0.25">
      <c r="B29" s="33">
        <v>43248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</row>
    <row r="30" spans="2:14" x14ac:dyDescent="0.25">
      <c r="B30" s="33">
        <v>43249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</row>
    <row r="31" spans="2:14" x14ac:dyDescent="0.25">
      <c r="B31" s="33">
        <v>43250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</row>
    <row r="32" spans="2:14" x14ac:dyDescent="0.25">
      <c r="B32" s="33">
        <v>43251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</row>
  </sheetData>
  <sheetProtection selectLockedCells="1"/>
  <protectedRanges>
    <protectedRange sqref="B3" name="Range1"/>
  </protectedRanges>
  <dataConsolidate/>
  <customSheetViews>
    <customSheetView guid="{B788D2DB-8FF9-4A02-A5ED-09AB2230C169}">
      <selection activeCell="B2" sqref="B2"/>
      <pageMargins left="0.7" right="0.7" top="0.75" bottom="0.75" header="0.3" footer="0.3"/>
      <pageSetup orientation="portrait" r:id="rId1"/>
    </customSheetView>
  </customSheetViews>
  <mergeCells count="3">
    <mergeCell ref="C8:F8"/>
    <mergeCell ref="G8:J8"/>
    <mergeCell ref="K8:N8"/>
  </mergeCells>
  <dataValidations count="1">
    <dataValidation type="list" allowBlank="1" showInputMessage="1" showErrorMessage="1" errorTitle="Invalid data" error="You have entered Incorrect data, Please select data from drop down" sqref="B5">
      <formula1>ProcessName</formula1>
    </dataValidation>
  </dataValidation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70C0"/>
  </sheetPr>
  <dimension ref="A1:G32"/>
  <sheetViews>
    <sheetView workbookViewId="0">
      <selection activeCell="G1" sqref="G1"/>
    </sheetView>
  </sheetViews>
  <sheetFormatPr defaultRowHeight="15" x14ac:dyDescent="0.25"/>
  <cols>
    <col min="1" max="1" width="10.140625" bestFit="1" customWidth="1"/>
    <col min="2" max="2" width="13.5703125" bestFit="1" customWidth="1"/>
    <col min="4" max="4" width="13.5703125" bestFit="1" customWidth="1"/>
    <col min="5" max="5" width="17.42578125" bestFit="1" customWidth="1"/>
    <col min="7" max="7" width="10.42578125" customWidth="1"/>
  </cols>
  <sheetData>
    <row r="1" spans="1:7" ht="45" x14ac:dyDescent="0.25">
      <c r="A1" s="5" t="s">
        <v>9</v>
      </c>
      <c r="B1" s="6" t="s">
        <v>8</v>
      </c>
      <c r="D1" s="39" t="s">
        <v>21</v>
      </c>
      <c r="E1" s="40" t="s">
        <v>22</v>
      </c>
      <c r="G1" s="12" t="str">
        <f>"Working days in "&amp;TEXT(Monthly!B3,"MMM-YY")</f>
        <v>Working days in May-18</v>
      </c>
    </row>
    <row r="2" spans="1:7" x14ac:dyDescent="0.25">
      <c r="A2" s="1">
        <v>43105</v>
      </c>
      <c r="B2" s="2" t="s">
        <v>17</v>
      </c>
      <c r="D2" s="38" t="s">
        <v>14</v>
      </c>
      <c r="E2" s="38" t="s">
        <v>15</v>
      </c>
      <c r="G2" s="11">
        <f>WORKDAY(Monthly!$B$3-DAY(Monthly!$B$3),1,MLPHolidays)</f>
        <v>43221</v>
      </c>
    </row>
    <row r="3" spans="1:7" x14ac:dyDescent="0.25">
      <c r="A3" s="1"/>
      <c r="B3" s="2"/>
      <c r="D3" s="38" t="s">
        <v>16</v>
      </c>
      <c r="E3" s="38" t="s">
        <v>0</v>
      </c>
      <c r="G3" s="11">
        <f>WORKDAY(Monthly!$B$3-DAY(Monthly!$B$3),2,MLPHolidays)</f>
        <v>43222</v>
      </c>
    </row>
    <row r="4" spans="1:7" x14ac:dyDescent="0.25">
      <c r="A4" s="1"/>
      <c r="B4" s="2"/>
      <c r="D4" s="38" t="s">
        <v>1</v>
      </c>
      <c r="E4" s="38" t="s">
        <v>2</v>
      </c>
      <c r="G4" s="11">
        <f>WORKDAY(Monthly!$B$3-DAY(Monthly!$B$3),3,MLPHolidays)</f>
        <v>43223</v>
      </c>
    </row>
    <row r="5" spans="1:7" x14ac:dyDescent="0.25">
      <c r="A5" s="1"/>
      <c r="B5" s="2"/>
      <c r="D5" s="38"/>
      <c r="E5" s="38" t="s">
        <v>5</v>
      </c>
      <c r="G5" s="11">
        <f>WORKDAY(Monthly!$B$3-DAY(Monthly!$B$3),4,MLPHolidays)</f>
        <v>43224</v>
      </c>
    </row>
    <row r="6" spans="1:7" x14ac:dyDescent="0.25">
      <c r="A6" s="1"/>
      <c r="B6" s="2"/>
      <c r="D6" s="38"/>
      <c r="E6" s="38"/>
      <c r="G6" s="11">
        <f>WORKDAY(Monthly!$B$3-DAY(Monthly!$B$3),5,MLPHolidays)</f>
        <v>43227</v>
      </c>
    </row>
    <row r="7" spans="1:7" x14ac:dyDescent="0.25">
      <c r="A7" s="1"/>
      <c r="B7" s="2"/>
      <c r="D7" s="38"/>
      <c r="E7" s="38"/>
      <c r="G7" s="11">
        <f>WORKDAY(Monthly!$B$3-DAY(Monthly!$B$3),6,MLPHolidays)</f>
        <v>43228</v>
      </c>
    </row>
    <row r="8" spans="1:7" x14ac:dyDescent="0.25">
      <c r="A8" s="1"/>
      <c r="B8" s="2"/>
      <c r="D8" s="38"/>
      <c r="E8" s="38"/>
      <c r="G8" s="11">
        <f>WORKDAY(Monthly!$B$3-DAY(Monthly!$B$3),7,MLPHolidays)</f>
        <v>43229</v>
      </c>
    </row>
    <row r="9" spans="1:7" x14ac:dyDescent="0.25">
      <c r="A9" s="1"/>
      <c r="B9" s="2"/>
      <c r="D9" s="38"/>
      <c r="E9" s="38"/>
      <c r="G9" s="11">
        <f>WORKDAY(Monthly!$B$3-DAY(Monthly!$B$3),8,MLPHolidays)</f>
        <v>43230</v>
      </c>
    </row>
    <row r="10" spans="1:7" x14ac:dyDescent="0.25">
      <c r="A10" s="1"/>
      <c r="B10" s="2"/>
      <c r="D10" s="38"/>
      <c r="E10" s="38"/>
      <c r="G10" s="11">
        <f>WORKDAY(Monthly!$B$3-DAY(Monthly!$B$3),9,MLPHolidays)</f>
        <v>43231</v>
      </c>
    </row>
    <row r="11" spans="1:7" x14ac:dyDescent="0.25">
      <c r="A11" s="1"/>
      <c r="B11" s="2"/>
      <c r="G11" s="11">
        <f>WORKDAY(Monthly!$B$3-DAY(Monthly!$B$3),10,MLPHolidays)</f>
        <v>43234</v>
      </c>
    </row>
    <row r="12" spans="1:7" x14ac:dyDescent="0.25">
      <c r="A12" s="1"/>
      <c r="B12" s="2"/>
      <c r="G12" s="11">
        <f>WORKDAY(Monthly!$B$3-DAY(Monthly!$B$3),11,MLPHolidays)</f>
        <v>43235</v>
      </c>
    </row>
    <row r="13" spans="1:7" x14ac:dyDescent="0.25">
      <c r="A13" s="1"/>
      <c r="B13" s="2"/>
      <c r="G13" s="11">
        <f>WORKDAY(Monthly!$B$3-DAY(Monthly!$B$3),12,MLPHolidays)</f>
        <v>43236</v>
      </c>
    </row>
    <row r="14" spans="1:7" x14ac:dyDescent="0.25">
      <c r="A14" s="1"/>
      <c r="B14" s="2"/>
      <c r="G14" s="11">
        <f>WORKDAY(Monthly!$B$3-DAY(Monthly!$B$3),13,MLPHolidays)</f>
        <v>43237</v>
      </c>
    </row>
    <row r="15" spans="1:7" x14ac:dyDescent="0.25">
      <c r="A15" s="1"/>
      <c r="B15" s="2"/>
      <c r="G15" s="11">
        <f>WORKDAY(Monthly!$B$3-DAY(Monthly!$B$3),14,MLPHolidays)</f>
        <v>43238</v>
      </c>
    </row>
    <row r="16" spans="1:7" x14ac:dyDescent="0.25">
      <c r="A16" s="1"/>
      <c r="B16" s="2"/>
      <c r="G16" s="11">
        <f>WORKDAY(Monthly!$B$3-DAY(Monthly!$B$3),15,MLPHolidays)</f>
        <v>43241</v>
      </c>
    </row>
    <row r="17" spans="1:7" x14ac:dyDescent="0.25">
      <c r="A17" s="1"/>
      <c r="B17" s="2"/>
      <c r="G17" s="11">
        <f>WORKDAY(Monthly!$B$3-DAY(Monthly!$B$3),16,MLPHolidays)</f>
        <v>43242</v>
      </c>
    </row>
    <row r="18" spans="1:7" x14ac:dyDescent="0.25">
      <c r="A18" s="1"/>
      <c r="B18" s="2"/>
      <c r="G18" s="11">
        <f>WORKDAY(Monthly!$B$3-DAY(Monthly!$B$3),17,MLPHolidays)</f>
        <v>43243</v>
      </c>
    </row>
    <row r="19" spans="1:7" x14ac:dyDescent="0.25">
      <c r="A19" s="1"/>
      <c r="B19" s="2"/>
      <c r="G19" s="11">
        <f>WORKDAY(Monthly!$B$3-DAY(Monthly!$B$3),18,MLPHolidays)</f>
        <v>43244</v>
      </c>
    </row>
    <row r="20" spans="1:7" x14ac:dyDescent="0.25">
      <c r="A20" s="1"/>
      <c r="B20" s="2"/>
      <c r="G20" s="11">
        <f>WORKDAY(Monthly!$B$3-DAY(Monthly!$B$3),19,MLPHolidays)</f>
        <v>43245</v>
      </c>
    </row>
    <row r="21" spans="1:7" x14ac:dyDescent="0.25">
      <c r="A21" s="1"/>
      <c r="B21" s="2"/>
      <c r="G21" s="11">
        <f>WORKDAY(Monthly!$B$3-DAY(Monthly!$B$3),20,MLPHolidays)</f>
        <v>43248</v>
      </c>
    </row>
    <row r="22" spans="1:7" x14ac:dyDescent="0.25">
      <c r="A22" s="1"/>
      <c r="B22" s="2"/>
      <c r="G22" s="11">
        <f>WORKDAY(Monthly!$B$3-DAY(Monthly!$B$3),21,MLPHolidays)</f>
        <v>43249</v>
      </c>
    </row>
    <row r="23" spans="1:7" x14ac:dyDescent="0.25">
      <c r="A23" s="1"/>
      <c r="B23" s="2"/>
      <c r="G23" s="11">
        <f>WORKDAY(Monthly!$B$3-DAY(Monthly!$B$3),22,MLPHolidays)</f>
        <v>43250</v>
      </c>
    </row>
    <row r="24" spans="1:7" x14ac:dyDescent="0.25">
      <c r="A24" s="1"/>
      <c r="B24" s="2"/>
      <c r="G24" s="11">
        <f>WORKDAY(Monthly!$B$3-DAY(Monthly!$B$3),23,MLPHolidays)</f>
        <v>43251</v>
      </c>
    </row>
    <row r="25" spans="1:7" x14ac:dyDescent="0.25">
      <c r="A25" s="1"/>
      <c r="B25" s="2"/>
      <c r="G25" s="11"/>
    </row>
    <row r="26" spans="1:7" x14ac:dyDescent="0.25">
      <c r="G26" s="11"/>
    </row>
    <row r="27" spans="1:7" x14ac:dyDescent="0.25">
      <c r="G27" s="11"/>
    </row>
    <row r="28" spans="1:7" x14ac:dyDescent="0.25">
      <c r="G28" s="11"/>
    </row>
    <row r="29" spans="1:7" x14ac:dyDescent="0.25">
      <c r="G29" s="11"/>
    </row>
    <row r="30" spans="1:7" x14ac:dyDescent="0.25">
      <c r="G30" s="11"/>
    </row>
    <row r="31" spans="1:7" x14ac:dyDescent="0.25">
      <c r="G31" s="11"/>
    </row>
    <row r="32" spans="1:7" x14ac:dyDescent="0.25">
      <c r="G32" s="11"/>
    </row>
  </sheetData>
  <customSheetViews>
    <customSheetView guid="{B788D2DB-8FF9-4A02-A5ED-09AB2230C169}">
      <pageMargins left="0.7" right="0.7" top="0.75" bottom="0.75" header="0.3" footer="0.3"/>
    </customSheetView>
  </customSheetView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I25"/>
  <sheetViews>
    <sheetView workbookViewId="0"/>
  </sheetViews>
  <sheetFormatPr defaultRowHeight="15" x14ac:dyDescent="0.25"/>
  <cols>
    <col min="1" max="1" width="14.85546875" style="4" customWidth="1"/>
    <col min="2" max="3" width="12.42578125" style="4" customWidth="1"/>
    <col min="4" max="4" width="12.7109375" style="4" customWidth="1"/>
    <col min="5" max="6" width="9.140625" style="4"/>
    <col min="7" max="9" width="15.7109375" style="4" customWidth="1"/>
    <col min="10" max="16384" width="9.140625" style="4"/>
  </cols>
  <sheetData>
    <row r="1" spans="1:9" x14ac:dyDescent="0.25">
      <c r="A1" s="24" t="str">
        <f>IF(Monthly!$B$3&lt;&gt;"",TEXT(Monthly!$B$3,"MMM-YY"),"")</f>
        <v>May-18</v>
      </c>
      <c r="B1" s="35" t="s">
        <v>7</v>
      </c>
      <c r="C1" s="36"/>
      <c r="D1" s="37"/>
    </row>
    <row r="2" spans="1:9" x14ac:dyDescent="0.25">
      <c r="A2" s="22" t="s">
        <v>6</v>
      </c>
      <c r="B2" s="23" t="s">
        <v>3</v>
      </c>
      <c r="C2" s="23" t="s">
        <v>4</v>
      </c>
      <c r="D2" s="23" t="s">
        <v>1</v>
      </c>
    </row>
    <row r="3" spans="1:9" x14ac:dyDescent="0.25">
      <c r="A3" s="33">
        <v>43221</v>
      </c>
      <c r="B3" s="32"/>
      <c r="C3" s="32"/>
      <c r="D3" s="32"/>
      <c r="G3" s="32" t="s">
        <v>18</v>
      </c>
      <c r="H3" s="32" t="s">
        <v>19</v>
      </c>
      <c r="I3" s="32" t="s">
        <v>20</v>
      </c>
    </row>
    <row r="4" spans="1:9" x14ac:dyDescent="0.25">
      <c r="A4" s="33">
        <v>43222</v>
      </c>
      <c r="B4" s="32"/>
      <c r="C4" s="32"/>
      <c r="D4" s="32"/>
      <c r="G4" s="32" t="s">
        <v>3</v>
      </c>
      <c r="H4" s="32"/>
      <c r="I4" s="32"/>
    </row>
    <row r="5" spans="1:9" x14ac:dyDescent="0.25">
      <c r="A5" s="33">
        <v>43223</v>
      </c>
      <c r="B5" s="32"/>
      <c r="C5" s="32"/>
      <c r="D5" s="32"/>
      <c r="G5" s="32" t="s">
        <v>16</v>
      </c>
      <c r="H5" s="32"/>
      <c r="I5" s="32"/>
    </row>
    <row r="6" spans="1:9" x14ac:dyDescent="0.25">
      <c r="A6" s="33">
        <v>43224</v>
      </c>
      <c r="B6" s="32"/>
      <c r="C6" s="32"/>
      <c r="D6" s="32"/>
      <c r="G6" s="32" t="s">
        <v>1</v>
      </c>
      <c r="H6" s="32"/>
      <c r="I6" s="32"/>
    </row>
    <row r="7" spans="1:9" x14ac:dyDescent="0.25">
      <c r="A7" s="33">
        <v>43227</v>
      </c>
      <c r="B7" s="32"/>
      <c r="C7" s="32"/>
      <c r="D7" s="32"/>
    </row>
    <row r="8" spans="1:9" x14ac:dyDescent="0.25">
      <c r="A8" s="33">
        <v>43228</v>
      </c>
      <c r="B8" s="32"/>
      <c r="C8" s="32"/>
      <c r="D8" s="32"/>
    </row>
    <row r="9" spans="1:9" x14ac:dyDescent="0.25">
      <c r="A9" s="33">
        <v>43229</v>
      </c>
      <c r="B9" s="32"/>
      <c r="C9" s="32"/>
      <c r="D9" s="32"/>
    </row>
    <row r="10" spans="1:9" x14ac:dyDescent="0.25">
      <c r="A10" s="33">
        <v>43230</v>
      </c>
      <c r="B10" s="32"/>
      <c r="C10" s="32"/>
      <c r="D10" s="32"/>
    </row>
    <row r="11" spans="1:9" x14ac:dyDescent="0.25">
      <c r="A11" s="33">
        <v>43231</v>
      </c>
      <c r="B11" s="32"/>
      <c r="C11" s="32"/>
      <c r="D11" s="32"/>
    </row>
    <row r="12" spans="1:9" x14ac:dyDescent="0.25">
      <c r="A12" s="33">
        <v>43234</v>
      </c>
      <c r="B12" s="32"/>
      <c r="C12" s="32"/>
      <c r="D12" s="32"/>
    </row>
    <row r="13" spans="1:9" x14ac:dyDescent="0.25">
      <c r="A13" s="33">
        <v>43235</v>
      </c>
      <c r="B13" s="32"/>
      <c r="C13" s="32"/>
      <c r="D13" s="32"/>
    </row>
    <row r="14" spans="1:9" x14ac:dyDescent="0.25">
      <c r="A14" s="33">
        <v>43236</v>
      </c>
      <c r="B14" s="32"/>
      <c r="C14" s="32"/>
      <c r="D14" s="32"/>
    </row>
    <row r="15" spans="1:9" x14ac:dyDescent="0.25">
      <c r="A15" s="33">
        <v>43237</v>
      </c>
      <c r="B15" s="32"/>
      <c r="C15" s="32"/>
      <c r="D15" s="32"/>
    </row>
    <row r="16" spans="1:9" x14ac:dyDescent="0.25">
      <c r="A16" s="33">
        <v>43238</v>
      </c>
      <c r="B16" s="32"/>
      <c r="C16" s="32"/>
      <c r="D16" s="32"/>
    </row>
    <row r="17" spans="1:4" x14ac:dyDescent="0.25">
      <c r="A17" s="33">
        <v>43241</v>
      </c>
      <c r="B17" s="32"/>
      <c r="C17" s="32"/>
      <c r="D17" s="32"/>
    </row>
    <row r="18" spans="1:4" x14ac:dyDescent="0.25">
      <c r="A18" s="33">
        <v>43242</v>
      </c>
      <c r="B18" s="32"/>
      <c r="C18" s="32"/>
      <c r="D18" s="32"/>
    </row>
    <row r="19" spans="1:4" x14ac:dyDescent="0.25">
      <c r="A19" s="33">
        <v>43243</v>
      </c>
      <c r="B19" s="32"/>
      <c r="C19" s="32"/>
      <c r="D19" s="32"/>
    </row>
    <row r="20" spans="1:4" x14ac:dyDescent="0.25">
      <c r="A20" s="33">
        <v>43244</v>
      </c>
      <c r="B20" s="32"/>
      <c r="C20" s="32"/>
      <c r="D20" s="32"/>
    </row>
    <row r="21" spans="1:4" x14ac:dyDescent="0.25">
      <c r="A21" s="33">
        <v>43245</v>
      </c>
      <c r="B21" s="32"/>
      <c r="C21" s="32"/>
      <c r="D21" s="32"/>
    </row>
    <row r="22" spans="1:4" x14ac:dyDescent="0.25">
      <c r="A22" s="33">
        <v>43248</v>
      </c>
      <c r="B22" s="32"/>
      <c r="C22" s="32"/>
      <c r="D22" s="32"/>
    </row>
    <row r="23" spans="1:4" x14ac:dyDescent="0.25">
      <c r="A23" s="33">
        <v>43249</v>
      </c>
      <c r="B23" s="32"/>
      <c r="C23" s="32"/>
      <c r="D23" s="32"/>
    </row>
    <row r="24" spans="1:4" x14ac:dyDescent="0.25">
      <c r="A24" s="33">
        <v>43250</v>
      </c>
      <c r="B24" s="32"/>
      <c r="C24" s="32"/>
      <c r="D24" s="32"/>
    </row>
    <row r="25" spans="1:4" x14ac:dyDescent="0.25">
      <c r="A25" s="33">
        <v>43251</v>
      </c>
      <c r="B25" s="32"/>
      <c r="C25" s="32"/>
      <c r="D25" s="32"/>
    </row>
  </sheetData>
  <customSheetViews>
    <customSheetView guid="{B788D2DB-8FF9-4A02-A5ED-09AB2230C169}">
      <pageMargins left="0.7" right="0.7" top="0.75" bottom="0.75" header="0.3" footer="0.3"/>
    </customSheetView>
  </customSheetViews>
  <mergeCells count="1">
    <mergeCell ref="B1:D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Monthly</vt:lpstr>
      <vt:lpstr>Holidays</vt:lpstr>
      <vt:lpstr>Summary</vt:lpstr>
      <vt:lpstr>MLPHolidays</vt:lpstr>
    </vt:vector>
  </TitlesOfParts>
  <Company>Millennium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2018-04-05T11:14:54Z</dcterms:created>
  <dcterms:modified xsi:type="dcterms:W3CDTF">2018-04-20T20:23:10Z</dcterms:modified>
</cp:coreProperties>
</file>