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120" windowWidth="15180" windowHeight="5265"/>
  </bookViews>
  <sheets>
    <sheet name="Monthly" sheetId="1" r:id="rId1"/>
    <sheet name="Holidays" sheetId="2" r:id="rId2"/>
    <sheet name="Summary" sheetId="3" r:id="rId3"/>
  </sheets>
  <definedNames>
    <definedName name="MLPHolidays">Holidays!$A$2:$A$25</definedName>
  </definedNames>
  <calcPr calcId="145621" calcOnSave="0" concurrentCalc="0"/>
  <customWorkbookViews>
    <customWorkbookView name="Administrator - Personal View" guid="{B788D2DB-8FF9-4A02-A5ED-09AB2230C169}" mergeInterval="0" personalView="1" maximized="1" windowWidth="1600" windowHeight="694" activeSheetId="1"/>
  </customWorkbookViews>
</workbook>
</file>

<file path=xl/calcChain.xml><?xml version="1.0" encoding="utf-8"?>
<calcChain xmlns="http://schemas.openxmlformats.org/spreadsheetml/2006/main">
  <c r="G1" i="2" l="1"/>
  <c r="F4" i="1"/>
  <c r="B4" i="1"/>
  <c r="B22" i="1"/>
  <c r="A1" i="3"/>
  <c r="A10" i="1"/>
  <c r="J28" i="1"/>
  <c r="F28" i="1"/>
  <c r="B28" i="1"/>
  <c r="E30" i="1"/>
  <c r="R22" i="1"/>
  <c r="N22" i="1"/>
  <c r="J22" i="1"/>
  <c r="F22" i="1"/>
  <c r="R16" i="1"/>
  <c r="N16" i="1"/>
  <c r="J16" i="1"/>
  <c r="F16" i="1"/>
  <c r="B16" i="1"/>
  <c r="R10" i="1"/>
  <c r="N10" i="1"/>
  <c r="J10" i="1"/>
  <c r="F10" i="1"/>
  <c r="B10" i="1"/>
  <c r="E24" i="1"/>
  <c r="E18" i="1"/>
  <c r="E12" i="1"/>
  <c r="R4" i="1"/>
  <c r="N4" i="1"/>
  <c r="J4" i="1"/>
  <c r="E6" i="1"/>
</calcChain>
</file>

<file path=xl/sharedStrings.xml><?xml version="1.0" encoding="utf-8"?>
<sst xmlns="http://schemas.openxmlformats.org/spreadsheetml/2006/main" count="136" uniqueCount="24">
  <si>
    <t>Process</t>
  </si>
  <si>
    <t>Start Time</t>
  </si>
  <si>
    <t>FI Bonds</t>
  </si>
  <si>
    <t>End Time</t>
  </si>
  <si>
    <t>CSA</t>
  </si>
  <si>
    <t>Equity</t>
  </si>
  <si>
    <t>Break</t>
  </si>
  <si>
    <t>Daily Total Time</t>
  </si>
  <si>
    <t>Week 1</t>
  </si>
  <si>
    <t>Week 3</t>
  </si>
  <si>
    <t>Week 4</t>
  </si>
  <si>
    <t>Week 5</t>
  </si>
  <si>
    <t>Date</t>
  </si>
  <si>
    <t>Processes (Total Time)</t>
  </si>
  <si>
    <t>Average Time</t>
  </si>
  <si>
    <t>Holiday Name</t>
  </si>
  <si>
    <t>Holiday Date</t>
  </si>
  <si>
    <t>Week</t>
  </si>
  <si>
    <t>Cell</t>
  </si>
  <si>
    <t>A4:A8</t>
  </si>
  <si>
    <t>A10:A14</t>
  </si>
  <si>
    <t>A16:A20</t>
  </si>
  <si>
    <t>A22:A26</t>
  </si>
  <si>
    <t>A28:A32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</si>
</sst>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2"/>
      <color rgb="FF0A0101"/>
      <name val="Arial"/>
      <family val="2"/>
    </font>
  </fonts>
  <fills count="11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249977111117893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66">
    <xf numFmtId="0" fontId="0" fillId="0" borderId="0" xfId="0"/>
    <xf numFmtId="14" fontId="2" fillId="0" borderId="1" xfId="1" applyNumberFormat="1" applyBorder="1"/>
    <xf numFmtId="0" fontId="0" fillId="4" borderId="1" xfId="0" applyFill="1" applyBorder="1"/>
    <xf numFmtId="0" fontId="0" fillId="5" borderId="0" xfId="0" applyFill="1"/>
    <xf numFmtId="0" fontId="0" fillId="0" borderId="1" xfId="0" applyBorder="1"/>
    <xf numFmtId="0" fontId="0" fillId="4" borderId="0" xfId="0" applyFill="1" applyBorder="1"/>
    <xf numFmtId="0" fontId="0" fillId="4" borderId="0" xfId="0" applyFill="1"/>
    <xf numFmtId="0" fontId="1" fillId="4" borderId="1" xfId="0" applyFont="1" applyFill="1" applyBorder="1"/>
    <xf numFmtId="0" fontId="0" fillId="4" borderId="1" xfId="0" applyFill="1" applyBorder="1" applyAlignment="1">
      <alignment vertical="center"/>
    </xf>
    <xf numFmtId="0" fontId="3" fillId="3" borderId="1" xfId="1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/>
    </xf>
    <xf numFmtId="0" fontId="0" fillId="4" borderId="1" xfId="0" applyNumberFormat="1" applyFill="1" applyBorder="1"/>
    <xf numFmtId="0" fontId="0" fillId="8" borderId="0" xfId="0" applyFill="1"/>
    <xf numFmtId="14" fontId="0" fillId="8" borderId="0" xfId="0" applyNumberFormat="1" applyFill="1"/>
    <xf numFmtId="0" fontId="1" fillId="8" borderId="0" xfId="0" applyFont="1" applyFill="1"/>
    <xf numFmtId="0" fontId="0" fillId="6" borderId="1" xfId="0" applyFill="1" applyBorder="1" applyAlignment="1">
      <alignment wrapText="1"/>
    </xf>
    <xf numFmtId="17" fontId="1" fillId="4" borderId="1" xfId="0" applyNumberFormat="1" applyFont="1" applyFill="1" applyBorder="1" applyProtection="1"/>
    <xf numFmtId="0" fontId="1" fillId="9" borderId="1" xfId="0" applyFont="1" applyFill="1" applyBorder="1" applyProtection="1">
      <protection locked="0"/>
    </xf>
    <xf numFmtId="0" fontId="1" fillId="9" borderId="1" xfId="0" applyFont="1" applyFill="1" applyBorder="1" applyAlignment="1" applyProtection="1">
      <alignment horizontal="left" vertical="center"/>
      <protection locked="0"/>
    </xf>
    <xf numFmtId="0" fontId="0" fillId="9" borderId="1" xfId="0" applyFill="1" applyBorder="1" applyAlignment="1" applyProtection="1">
      <alignment horizontal="center" vertical="center"/>
      <protection locked="0"/>
    </xf>
    <xf numFmtId="0" fontId="0" fillId="9" borderId="1" xfId="0" applyFill="1" applyBorder="1" applyAlignment="1" applyProtection="1">
      <alignment horizontal="center" vertical="center" wrapText="1"/>
      <protection locked="0"/>
    </xf>
    <xf numFmtId="0" fontId="0" fillId="9" borderId="2" xfId="0" applyFill="1" applyBorder="1" applyAlignment="1" applyProtection="1">
      <alignment horizontal="center" vertical="center" wrapText="1"/>
      <protection locked="0"/>
    </xf>
    <xf numFmtId="14" fontId="4" fillId="9" borderId="0" xfId="0" applyNumberFormat="1" applyFont="1" applyFill="1" applyProtection="1">
      <protection locked="0"/>
    </xf>
    <xf numFmtId="0" fontId="0" fillId="9" borderId="1" xfId="0" applyFill="1" applyBorder="1" applyProtection="1">
      <protection locked="0"/>
    </xf>
    <xf numFmtId="0" fontId="0" fillId="9" borderId="2" xfId="0" applyFill="1" applyBorder="1" applyProtection="1">
      <protection locked="0"/>
    </xf>
    <xf numFmtId="14" fontId="0" fillId="9" borderId="1" xfId="0" applyNumberFormat="1" applyFill="1" applyBorder="1" applyProtection="1">
      <protection locked="0"/>
    </xf>
    <xf numFmtId="0" fontId="1" fillId="5" borderId="0" xfId="0" applyFont="1" applyFill="1" applyProtection="1">
      <protection locked="0"/>
    </xf>
    <xf numFmtId="0" fontId="0" fillId="5" borderId="0" xfId="0" applyFill="1" applyProtection="1">
      <protection locked="0"/>
    </xf>
    <xf numFmtId="0" fontId="1" fillId="6" borderId="1" xfId="0" applyFont="1" applyFill="1" applyBorder="1" applyProtection="1">
      <protection locked="0"/>
    </xf>
    <xf numFmtId="0" fontId="1" fillId="3" borderId="1" xfId="0" applyFont="1" applyFill="1" applyBorder="1" applyAlignment="1" applyProtection="1">
      <alignment horizontal="left" vertical="center"/>
      <protection locked="0"/>
    </xf>
    <xf numFmtId="0" fontId="0" fillId="2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 wrapText="1"/>
      <protection locked="0"/>
    </xf>
    <xf numFmtId="0" fontId="0" fillId="7" borderId="2" xfId="0" applyFill="1" applyBorder="1" applyAlignment="1" applyProtection="1">
      <alignment horizontal="center" vertical="center" wrapText="1"/>
      <protection locked="0"/>
    </xf>
    <xf numFmtId="0" fontId="0" fillId="4" borderId="0" xfId="0" applyFill="1" applyBorder="1" applyAlignment="1" applyProtection="1">
      <alignment horizontal="center" vertical="center"/>
      <protection locked="0"/>
    </xf>
    <xf numFmtId="0" fontId="0" fillId="4" borderId="0" xfId="0" applyFill="1" applyBorder="1" applyAlignment="1" applyProtection="1">
      <alignment horizontal="center" vertical="center" wrapText="1"/>
      <protection locked="0"/>
    </xf>
    <xf numFmtId="0" fontId="1" fillId="0" borderId="1" xfId="0" applyFont="1" applyBorder="1" applyProtection="1">
      <protection locked="0"/>
    </xf>
    <xf numFmtId="0" fontId="0" fillId="0" borderId="1" xfId="0" applyBorder="1" applyProtection="1">
      <protection locked="0"/>
    </xf>
    <xf numFmtId="0" fontId="0" fillId="0" borderId="2" xfId="0" applyBorder="1" applyProtection="1">
      <protection locked="0"/>
    </xf>
    <xf numFmtId="0" fontId="0" fillId="4" borderId="0" xfId="0" applyFill="1" applyBorder="1" applyProtection="1">
      <protection locked="0"/>
    </xf>
    <xf numFmtId="0" fontId="0" fillId="4" borderId="1" xfId="0" applyFill="1" applyBorder="1" applyProtection="1">
      <protection locked="0"/>
    </xf>
    <xf numFmtId="0" fontId="0" fillId="9" borderId="2" xfId="0" applyFont="1" applyFill="1" applyBorder="1" applyAlignment="1" applyProtection="1">
      <alignment horizontal="left"/>
      <protection locked="0"/>
    </xf>
    <xf numFmtId="0" fontId="0" fillId="9" borderId="3" xfId="0" applyFont="1" applyFill="1" applyBorder="1" applyAlignment="1" applyProtection="1">
      <alignment horizontal="left"/>
      <protection locked="0"/>
    </xf>
    <xf numFmtId="0" fontId="0" fillId="9" borderId="4" xfId="0" applyFont="1" applyFill="1" applyBorder="1" applyAlignment="1" applyProtection="1">
      <alignment horizontal="left"/>
      <protection locked="0"/>
    </xf>
    <xf numFmtId="14" fontId="0" fillId="9" borderId="2" xfId="0" applyNumberFormat="1" applyFont="1" applyFill="1" applyBorder="1" applyAlignment="1" applyProtection="1">
      <alignment horizontal="left"/>
      <protection locked="0"/>
    </xf>
    <xf numFmtId="14" fontId="0" fillId="9" borderId="3" xfId="0" applyNumberFormat="1" applyFont="1" applyFill="1" applyBorder="1" applyAlignment="1" applyProtection="1">
      <alignment horizontal="left"/>
      <protection locked="0"/>
    </xf>
    <xf numFmtId="14" fontId="0" fillId="9" borderId="4" xfId="0" applyNumberFormat="1" applyFont="1" applyFill="1" applyBorder="1" applyAlignment="1" applyProtection="1">
      <alignment horizontal="left"/>
      <protection locked="0"/>
    </xf>
    <xf numFmtId="0" fontId="1" fillId="6" borderId="2" xfId="0" applyFont="1" applyFill="1" applyBorder="1" applyAlignment="1" applyProtection="1">
      <alignment horizontal="left"/>
      <protection locked="0"/>
    </xf>
    <xf numFmtId="0" fontId="1" fillId="6" borderId="3" xfId="0" applyFont="1" applyFill="1" applyBorder="1" applyAlignment="1" applyProtection="1">
      <alignment horizontal="left"/>
      <protection locked="0"/>
    </xf>
    <xf numFmtId="0" fontId="1" fillId="6" borderId="4" xfId="0" applyFont="1" applyFill="1" applyBorder="1" applyAlignment="1" applyProtection="1">
      <alignment horizontal="left"/>
      <protection locked="0"/>
    </xf>
    <xf numFmtId="0" fontId="1" fillId="4" borderId="0" xfId="0" applyFont="1" applyFill="1" applyBorder="1" applyAlignment="1" applyProtection="1">
      <alignment horizontal="left"/>
      <protection locked="0"/>
    </xf>
    <xf numFmtId="0" fontId="0" fillId="4" borderId="2" xfId="0" applyFill="1" applyBorder="1" applyAlignment="1">
      <alignment horizontal="left"/>
    </xf>
    <xf numFmtId="0" fontId="0" fillId="4" borderId="3" xfId="0" applyFill="1" applyBorder="1" applyAlignment="1">
      <alignment horizontal="left"/>
    </xf>
    <xf numFmtId="0" fontId="0" fillId="4" borderId="4" xfId="0" applyFill="1" applyBorder="1" applyAlignment="1">
      <alignment horizontal="left"/>
    </xf>
    <xf numFmtId="0" fontId="1" fillId="10" borderId="1" xfId="0" applyFont="1" applyFill="1" applyBorder="1" applyProtection="1">
      <protection locked="0"/>
    </xf>
    <xf numFmtId="14" fontId="0" fillId="10" borderId="2" xfId="0" applyNumberFormat="1" applyFont="1" applyFill="1" applyBorder="1" applyAlignment="1" applyProtection="1">
      <alignment horizontal="left"/>
      <protection locked="0"/>
    </xf>
    <xf numFmtId="14" fontId="0" fillId="10" borderId="3" xfId="0" applyNumberFormat="1" applyFont="1" applyFill="1" applyBorder="1" applyAlignment="1" applyProtection="1">
      <alignment horizontal="left"/>
      <protection locked="0"/>
    </xf>
    <xf numFmtId="14" fontId="0" fillId="10" borderId="4" xfId="0" applyNumberFormat="1" applyFont="1" applyFill="1" applyBorder="1" applyAlignment="1" applyProtection="1">
      <alignment horizontal="left"/>
      <protection locked="0"/>
    </xf>
    <xf numFmtId="0" fontId="0" fillId="10" borderId="2" xfId="0" applyFont="1" applyFill="1" applyBorder="1" applyAlignment="1" applyProtection="1">
      <alignment horizontal="left"/>
      <protection locked="0"/>
    </xf>
    <xf numFmtId="0" fontId="0" fillId="10" borderId="3" xfId="0" applyFont="1" applyFill="1" applyBorder="1" applyAlignment="1" applyProtection="1">
      <alignment horizontal="left"/>
      <protection locked="0"/>
    </xf>
    <xf numFmtId="0" fontId="0" fillId="10" borderId="4" xfId="0" applyFont="1" applyFill="1" applyBorder="1" applyAlignment="1" applyProtection="1">
      <alignment horizontal="left"/>
      <protection locked="0"/>
    </xf>
    <xf numFmtId="0" fontId="0" fillId="8" borderId="0" xfId="0" applyFill="1" applyBorder="1"/>
    <xf numFmtId="0" fontId="0" fillId="8" borderId="0" xfId="0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 wrapText="1"/>
    </xf>
    <xf numFmtId="0" fontId="0" fillId="8" borderId="0" xfId="0" applyFill="1" applyBorder="1" applyAlignment="1"/>
  </cellXfs>
  <cellStyles count="2">
    <cellStyle name="Normal" xfId="0" builtinId="0"/>
    <cellStyle name="Normal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173831</xdr:colOff>
      <xdr:row>0</xdr:row>
      <xdr:rowOff>133351</xdr:rowOff>
    </xdr:from>
    <xdr:to>
      <xdr:col>1</xdr:col>
      <xdr:colOff>470822</xdr:colOff>
      <xdr:row>2</xdr:row>
      <xdr:rowOff>28575</xdr:rowOff>
    </xdr:to>
    <xdr:pic macro="[0]!Sheet1.Image_Date_Click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950" y="133351"/>
          <a:ext cx="296991" cy="276224"/>
        </a:xfrm>
        <a:prstGeom prst="rect">
          <a:avLst/>
        </a:prstGeom>
      </xdr:spPr>
    </xdr:pic>
    <xdr:clientData/>
  </xdr:twoCellAnchor>
  <xdr:oneCellAnchor>
    <xdr:from>
      <xdr:col>7</xdr:col>
      <xdr:colOff>115830</xdr:colOff>
      <xdr:row>0</xdr:row>
      <xdr:rowOff>0</xdr:rowOff>
    </xdr:from>
    <xdr:ext cx="5016630" cy="530658"/>
    <xdr:sp macro="" textlink="">
      <xdr:nvSpPr>
        <xdr:cNvPr id="3" name="Rectangle 2"/>
        <xdr:cNvSpPr/>
      </xdr:nvSpPr>
      <xdr:spPr>
        <a:xfrm>
          <a:off x="5040255" y="0"/>
          <a:ext cx="5016630" cy="530658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en-US" sz="2800" b="1" cap="none" spc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TIME SHEET</a:t>
          </a:r>
          <a:r>
            <a:rPr lang="en-US" sz="2800" b="1" cap="none" spc="0" baseline="0">
              <a:ln w="1905"/>
              <a:gradFill>
                <a:gsLst>
                  <a:gs pos="0">
                    <a:schemeClr val="accent6">
                      <a:shade val="20000"/>
                      <a:satMod val="200000"/>
                    </a:schemeClr>
                  </a:gs>
                  <a:gs pos="78000">
                    <a:schemeClr val="accent6">
                      <a:tint val="90000"/>
                      <a:shade val="89000"/>
                      <a:satMod val="220000"/>
                    </a:schemeClr>
                  </a:gs>
                  <a:gs pos="100000">
                    <a:schemeClr val="accent6">
                      <a:tint val="12000"/>
                      <a:satMod val="255000"/>
                    </a:schemeClr>
                  </a:gs>
                </a:gsLst>
                <a:lin ang="5400000"/>
              </a:gradFill>
              <a:effectLst>
                <a:innerShdw blurRad="69850" dist="43180" dir="5400000">
                  <a:srgbClr val="000000">
                    <a:alpha val="65000"/>
                  </a:srgbClr>
                </a:innerShdw>
              </a:effectLst>
            </a:rPr>
            <a:t> (LONDON PROCESS)</a:t>
          </a:r>
        </a:p>
      </xdr:txBody>
    </xdr:sp>
    <xdr:clientData/>
  </xdr:oneCellAnchor>
  <xdr:twoCellAnchor>
    <xdr:from>
      <xdr:col>3</xdr:col>
      <xdr:colOff>361952</xdr:colOff>
      <xdr:row>0</xdr:row>
      <xdr:rowOff>133352</xdr:rowOff>
    </xdr:from>
    <xdr:to>
      <xdr:col>4</xdr:col>
      <xdr:colOff>504825</xdr:colOff>
      <xdr:row>2</xdr:row>
      <xdr:rowOff>9526</xdr:rowOff>
    </xdr:to>
    <xdr:sp macro="" textlink="">
      <xdr:nvSpPr>
        <xdr:cNvPr id="4" name="Rounded Rectangle 3"/>
        <xdr:cNvSpPr/>
      </xdr:nvSpPr>
      <xdr:spPr>
        <a:xfrm>
          <a:off x="2774952" y="133352"/>
          <a:ext cx="756706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START</a:t>
          </a:r>
        </a:p>
      </xdr:txBody>
    </xdr:sp>
    <xdr:clientData/>
  </xdr:twoCellAnchor>
  <xdr:twoCellAnchor>
    <xdr:from>
      <xdr:col>4</xdr:col>
      <xdr:colOff>647702</xdr:colOff>
      <xdr:row>0</xdr:row>
      <xdr:rowOff>133352</xdr:rowOff>
    </xdr:from>
    <xdr:to>
      <xdr:col>6</xdr:col>
      <xdr:colOff>104775</xdr:colOff>
      <xdr:row>2</xdr:row>
      <xdr:rowOff>9526</xdr:rowOff>
    </xdr:to>
    <xdr:sp macro="" textlink="">
      <xdr:nvSpPr>
        <xdr:cNvPr id="6" name="Rounded Rectangle 5"/>
        <xdr:cNvSpPr/>
      </xdr:nvSpPr>
      <xdr:spPr>
        <a:xfrm>
          <a:off x="3667127" y="133352"/>
          <a:ext cx="752473" cy="257174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END</a:t>
          </a:r>
        </a:p>
      </xdr:txBody>
    </xdr:sp>
    <xdr:clientData/>
  </xdr:twoCellAnchor>
  <xdr:twoCellAnchor>
    <xdr:from>
      <xdr:col>16</xdr:col>
      <xdr:colOff>559860</xdr:colOff>
      <xdr:row>0</xdr:row>
      <xdr:rowOff>165103</xdr:rowOff>
    </xdr:from>
    <xdr:to>
      <xdr:col>18</xdr:col>
      <xdr:colOff>306918</xdr:colOff>
      <xdr:row>2</xdr:row>
      <xdr:rowOff>31750</xdr:rowOff>
    </xdr:to>
    <xdr:sp macro="" textlink="">
      <xdr:nvSpPr>
        <xdr:cNvPr id="7" name="Rounded Rectangle 6"/>
        <xdr:cNvSpPr/>
      </xdr:nvSpPr>
      <xdr:spPr>
        <a:xfrm>
          <a:off x="11058527" y="165103"/>
          <a:ext cx="974724" cy="247647"/>
        </a:xfrm>
        <a:prstGeom prst="round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</a:rPr>
            <a:t>GENERATE</a:t>
          </a:r>
        </a:p>
      </xdr:txBody>
    </xdr:sp>
    <xdr:clientData/>
  </xdr:twoCellAnchor>
  <xdr:twoCellAnchor editAs="oneCell">
    <xdr:from>
      <xdr:col>18</xdr:col>
      <xdr:colOff>547574</xdr:colOff>
      <xdr:row>0</xdr:row>
      <xdr:rowOff>84666</xdr:rowOff>
    </xdr:from>
    <xdr:to>
      <xdr:col>19</xdr:col>
      <xdr:colOff>380998</xdr:colOff>
      <xdr:row>2</xdr:row>
      <xdr:rowOff>142876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273907" y="84666"/>
          <a:ext cx="447259" cy="439210"/>
        </a:xfrm>
        <a:prstGeom prst="rect">
          <a:avLst/>
        </a:prstGeom>
      </xdr:spPr>
    </xdr:pic>
    <xdr:clientData/>
  </xdr:twoCellAnchor>
  <xdr:twoCellAnchor editAs="oneCell">
    <xdr:from>
      <xdr:col>19</xdr:col>
      <xdr:colOff>582083</xdr:colOff>
      <xdr:row>0</xdr:row>
      <xdr:rowOff>42332</xdr:rowOff>
    </xdr:from>
    <xdr:to>
      <xdr:col>20</xdr:col>
      <xdr:colOff>536959</xdr:colOff>
      <xdr:row>2</xdr:row>
      <xdr:rowOff>134577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922250" y="42332"/>
          <a:ext cx="568709" cy="47324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33"/>
  <sheetViews>
    <sheetView tabSelected="1" topLeftCell="A7" zoomScale="90" zoomScaleNormal="90" workbookViewId="0">
      <selection activeCell="P5" sqref="P5"/>
    </sheetView>
  </sheetViews>
  <sheetFormatPr defaultColWidth="9.140625" defaultRowHeight="15" x14ac:dyDescent="0.25"/>
  <cols>
    <col min="1" max="1" width="14.28515625" style="3" customWidth="1"/>
    <col min="2" max="2" width="10" style="3" bestFit="1" customWidth="1"/>
    <col min="3" max="3" width="10.28515625" style="3" bestFit="1" customWidth="1"/>
    <col min="4" max="4" width="9.140625" style="3"/>
    <col min="5" max="5" width="10.28515625" style="3" customWidth="1"/>
    <col min="6" max="7" width="9.140625" style="3"/>
    <col min="8" max="8" width="9.7109375" style="3" bestFit="1" customWidth="1"/>
    <col min="9" max="21" width="9.140625" style="3"/>
    <col min="22" max="16384" width="9.140625" style="62"/>
  </cols>
  <sheetData>
    <row r="1" spans="1:25" s="13" customFormat="1" x14ac:dyDescent="0.25">
      <c r="A1" s="15"/>
    </row>
    <row r="2" spans="1:25" s="13" customFormat="1" x14ac:dyDescent="0.25">
      <c r="A2" s="17">
        <v>43191</v>
      </c>
      <c r="C2" s="41" t="s">
        <v>4</v>
      </c>
      <c r="H2" s="14"/>
    </row>
    <row r="3" spans="1:25" s="13" customFormat="1" x14ac:dyDescent="0.25">
      <c r="A3" s="15"/>
    </row>
    <row r="4" spans="1:25" x14ac:dyDescent="0.25">
      <c r="A4" s="55" t="s">
        <v>8</v>
      </c>
      <c r="B4" s="56">
        <f>IF($A$2&lt;&gt;"",WORKDAY(Monthly!$A$2,1,MLPHolidays),"")</f>
        <v>43192</v>
      </c>
      <c r="C4" s="57"/>
      <c r="D4" s="57"/>
      <c r="E4" s="58"/>
      <c r="F4" s="56">
        <f>IF($A$2&lt;&gt;"",WORKDAY(Monthly!$A$2,2,MLPHolidays),"")</f>
        <v>43193</v>
      </c>
      <c r="G4" s="57"/>
      <c r="H4" s="57"/>
      <c r="I4" s="58"/>
      <c r="J4" s="59" t="str">
        <f>IF($A$2&lt;&gt;"","Date:- " &amp; " " &amp; TEXT(WORKDAY(Monthly!$A$2,3,MLPHolidays),"YYYY/MM/DD"),"Date:- ")</f>
        <v>Date:-  2018/04/04</v>
      </c>
      <c r="K4" s="60"/>
      <c r="L4" s="60"/>
      <c r="M4" s="61"/>
      <c r="N4" s="59" t="str">
        <f>IF($A$2&lt;&gt;"","Date:- " &amp; " " &amp; TEXT(WORKDAY(Monthly!$A$2,4,MLPHolidays),"YYYY/MM/DD"),"Date:- ")</f>
        <v>Date:-  2018/04/05</v>
      </c>
      <c r="O4" s="60"/>
      <c r="P4" s="60"/>
      <c r="Q4" s="61"/>
      <c r="R4" s="59" t="str">
        <f>IF($A$2&lt;&gt;"","Date:- " &amp; " " &amp; TEXT(WORKDAY(Monthly!$A$2,5,MLPHolidays),"YYYY/MM/DD"),"Date:- ")</f>
        <v>Date:-  2018/04/06</v>
      </c>
      <c r="S4" s="60"/>
      <c r="T4" s="60"/>
      <c r="U4" s="60"/>
      <c r="V4" s="65"/>
      <c r="W4" s="65"/>
      <c r="X4" s="65"/>
      <c r="Y4" s="65"/>
    </row>
    <row r="5" spans="1:25" s="63" customFormat="1" ht="45" x14ac:dyDescent="0.25">
      <c r="A5" s="19" t="s">
        <v>0</v>
      </c>
      <c r="B5" s="20" t="s">
        <v>6</v>
      </c>
      <c r="C5" s="20" t="s">
        <v>1</v>
      </c>
      <c r="D5" s="20" t="s">
        <v>3</v>
      </c>
      <c r="E5" s="21" t="s">
        <v>7</v>
      </c>
      <c r="F5" s="20" t="s">
        <v>6</v>
      </c>
      <c r="G5" s="20" t="s">
        <v>1</v>
      </c>
      <c r="H5" s="20" t="s">
        <v>3</v>
      </c>
      <c r="I5" s="21" t="s">
        <v>7</v>
      </c>
      <c r="J5" s="20" t="s">
        <v>6</v>
      </c>
      <c r="K5" s="20" t="s">
        <v>1</v>
      </c>
      <c r="L5" s="20" t="s">
        <v>3</v>
      </c>
      <c r="M5" s="21" t="s">
        <v>7</v>
      </c>
      <c r="N5" s="20" t="s">
        <v>6</v>
      </c>
      <c r="O5" s="20" t="s">
        <v>1</v>
      </c>
      <c r="P5" s="20" t="s">
        <v>3</v>
      </c>
      <c r="Q5" s="21" t="s">
        <v>7</v>
      </c>
      <c r="R5" s="20" t="s">
        <v>6</v>
      </c>
      <c r="S5" s="20" t="s">
        <v>1</v>
      </c>
      <c r="T5" s="20" t="s">
        <v>3</v>
      </c>
      <c r="U5" s="22" t="s">
        <v>7</v>
      </c>
      <c r="Y5" s="64"/>
    </row>
    <row r="6" spans="1:25" ht="15.75" x14ac:dyDescent="0.25">
      <c r="A6" s="18" t="s">
        <v>4</v>
      </c>
      <c r="B6" s="23"/>
      <c r="C6" s="24"/>
      <c r="D6" s="24"/>
      <c r="E6" s="24">
        <f>D6-C6</f>
        <v>0</v>
      </c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  <c r="R6" s="24"/>
      <c r="S6" s="24"/>
      <c r="T6" s="24"/>
      <c r="U6" s="25"/>
    </row>
    <row r="7" spans="1:25" x14ac:dyDescent="0.25">
      <c r="A7" s="18" t="s">
        <v>5</v>
      </c>
      <c r="B7" s="24"/>
      <c r="C7" s="26"/>
      <c r="D7" s="24"/>
      <c r="E7" s="24"/>
      <c r="F7" s="24"/>
      <c r="G7" s="24"/>
      <c r="H7" s="24"/>
      <c r="I7" s="24"/>
      <c r="J7" s="24"/>
      <c r="K7" s="24"/>
      <c r="L7" s="24"/>
      <c r="M7" s="24"/>
      <c r="N7" s="24"/>
      <c r="O7" s="24"/>
      <c r="P7" s="24"/>
      <c r="Q7" s="24"/>
      <c r="R7" s="24"/>
      <c r="S7" s="24"/>
      <c r="T7" s="24"/>
      <c r="U7" s="25"/>
    </row>
    <row r="8" spans="1:25" x14ac:dyDescent="0.25">
      <c r="A8" s="18" t="s">
        <v>2</v>
      </c>
      <c r="B8" s="24"/>
      <c r="C8" s="24"/>
      <c r="D8" s="24"/>
      <c r="E8" s="24"/>
      <c r="F8" s="24"/>
      <c r="G8" s="24"/>
      <c r="H8" s="24"/>
      <c r="I8" s="24"/>
      <c r="J8" s="24"/>
      <c r="K8" s="24"/>
      <c r="L8" s="24"/>
      <c r="M8" s="24"/>
      <c r="N8" s="24"/>
      <c r="O8" s="24"/>
      <c r="P8" s="24"/>
      <c r="Q8" s="24"/>
      <c r="R8" s="24"/>
      <c r="S8" s="24"/>
      <c r="T8" s="24"/>
      <c r="U8" s="25"/>
    </row>
    <row r="9" spans="1:25" x14ac:dyDescent="0.25">
      <c r="A9" s="27"/>
      <c r="B9" s="28"/>
      <c r="C9" s="28"/>
      <c r="D9" s="28"/>
      <c r="E9" s="28"/>
      <c r="F9" s="28"/>
      <c r="G9" s="28"/>
      <c r="H9" s="28"/>
      <c r="I9" s="28"/>
      <c r="J9" s="28"/>
      <c r="K9" s="28"/>
      <c r="L9" s="28"/>
      <c r="M9" s="28"/>
      <c r="N9" s="28"/>
      <c r="O9" s="28"/>
      <c r="P9" s="28"/>
      <c r="Q9" s="28"/>
      <c r="R9" s="28"/>
      <c r="S9" s="28"/>
      <c r="T9" s="28"/>
      <c r="U9" s="28"/>
    </row>
    <row r="10" spans="1:25" x14ac:dyDescent="0.25">
      <c r="A10" s="18">
        <f>WEEKNUM(A2)</f>
        <v>14</v>
      </c>
      <c r="B10" s="42" t="str">
        <f>IF($A$2&lt;&gt;"","Date:- " &amp; " " &amp; TEXT(WORKDAY(Monthly!$A$2,6,MLPHolidays),"YYYY/MM/DD"),"Date:- ")</f>
        <v>Date:-  2018/04/09</v>
      </c>
      <c r="C10" s="43"/>
      <c r="D10" s="43"/>
      <c r="E10" s="44"/>
      <c r="F10" s="42" t="str">
        <f>IF($A$2&lt;&gt;"","Date:- " &amp; " " &amp; TEXT(WORKDAY(Monthly!$A$2,7,MLPHolidays),"YYYY/MM/DD"),"Date:- ")</f>
        <v>Date:-  2018/04/10</v>
      </c>
      <c r="G10" s="43"/>
      <c r="H10" s="43"/>
      <c r="I10" s="44"/>
      <c r="J10" s="42" t="str">
        <f>IF($A$2&lt;&gt;"","Date:- " &amp; " " &amp; TEXT(WORKDAY(Monthly!$A$2,8,MLPHolidays),"YYYY/MM/DD"),"Date:- ")</f>
        <v>Date:-  2018/04/11</v>
      </c>
      <c r="K10" s="43"/>
      <c r="L10" s="43"/>
      <c r="M10" s="44"/>
      <c r="N10" s="42" t="str">
        <f>IF($A$2&lt;&gt;"","Date:- " &amp; " " &amp; TEXT(WORKDAY(Monthly!$A$2,9,MLPHolidays),"YYYY/MM/DD"),"Date:- ")</f>
        <v>Date:-  2018/04/12</v>
      </c>
      <c r="O10" s="43"/>
      <c r="P10" s="43"/>
      <c r="Q10" s="44"/>
      <c r="R10" s="42" t="str">
        <f>IF($A$2&lt;&gt;"","Date:- " &amp; " " &amp; TEXT(WORKDAY(Monthly!$A$2,10,MLPHolidays),"YYYY/MM/DD"),"Date:- ")</f>
        <v>Date:-  2018/04/13</v>
      </c>
      <c r="S10" s="43"/>
      <c r="T10" s="43"/>
      <c r="U10" s="43"/>
    </row>
    <row r="11" spans="1:25" ht="45" x14ac:dyDescent="0.25">
      <c r="A11" s="19" t="s">
        <v>0</v>
      </c>
      <c r="B11" s="20" t="s">
        <v>6</v>
      </c>
      <c r="C11" s="20" t="s">
        <v>1</v>
      </c>
      <c r="D11" s="20" t="s">
        <v>3</v>
      </c>
      <c r="E11" s="21" t="s">
        <v>7</v>
      </c>
      <c r="F11" s="20" t="s">
        <v>6</v>
      </c>
      <c r="G11" s="20" t="s">
        <v>1</v>
      </c>
      <c r="H11" s="20" t="s">
        <v>3</v>
      </c>
      <c r="I11" s="21" t="s">
        <v>7</v>
      </c>
      <c r="J11" s="20" t="s">
        <v>6</v>
      </c>
      <c r="K11" s="20" t="s">
        <v>1</v>
      </c>
      <c r="L11" s="20" t="s">
        <v>3</v>
      </c>
      <c r="M11" s="21" t="s">
        <v>7</v>
      </c>
      <c r="N11" s="20" t="s">
        <v>6</v>
      </c>
      <c r="O11" s="20" t="s">
        <v>1</v>
      </c>
      <c r="P11" s="20" t="s">
        <v>3</v>
      </c>
      <c r="Q11" s="21" t="s">
        <v>7</v>
      </c>
      <c r="R11" s="20" t="s">
        <v>6</v>
      </c>
      <c r="S11" s="20" t="s">
        <v>1</v>
      </c>
      <c r="T11" s="20" t="s">
        <v>3</v>
      </c>
      <c r="U11" s="22" t="s">
        <v>7</v>
      </c>
    </row>
    <row r="12" spans="1:25" x14ac:dyDescent="0.25">
      <c r="A12" s="18" t="s">
        <v>4</v>
      </c>
      <c r="B12" s="24"/>
      <c r="C12" s="24"/>
      <c r="D12" s="24"/>
      <c r="E12" s="24">
        <f>D12-C12</f>
        <v>0</v>
      </c>
      <c r="F12" s="24"/>
      <c r="G12" s="24"/>
      <c r="H12" s="24"/>
      <c r="I12" s="24"/>
      <c r="J12" s="24"/>
      <c r="K12" s="24"/>
      <c r="L12" s="24"/>
      <c r="M12" s="24"/>
      <c r="N12" s="24"/>
      <c r="O12" s="24"/>
      <c r="P12" s="24"/>
      <c r="Q12" s="24"/>
      <c r="R12" s="24"/>
      <c r="S12" s="24"/>
      <c r="T12" s="24"/>
      <c r="U12" s="25"/>
    </row>
    <row r="13" spans="1:25" x14ac:dyDescent="0.25">
      <c r="A13" s="18" t="s">
        <v>5</v>
      </c>
      <c r="B13" s="24"/>
      <c r="C13" s="24"/>
      <c r="D13" s="24"/>
      <c r="E13" s="24"/>
      <c r="F13" s="24"/>
      <c r="G13" s="24"/>
      <c r="H13" s="24"/>
      <c r="I13" s="24"/>
      <c r="J13" s="24"/>
      <c r="K13" s="24"/>
      <c r="L13" s="24"/>
      <c r="M13" s="24"/>
      <c r="N13" s="24"/>
      <c r="O13" s="24"/>
      <c r="P13" s="24"/>
      <c r="Q13" s="24"/>
      <c r="R13" s="24"/>
      <c r="S13" s="24"/>
      <c r="T13" s="24"/>
      <c r="U13" s="25"/>
    </row>
    <row r="14" spans="1:25" x14ac:dyDescent="0.25">
      <c r="A14" s="18" t="s">
        <v>2</v>
      </c>
      <c r="B14" s="24"/>
      <c r="C14" s="24"/>
      <c r="D14" s="24"/>
      <c r="E14" s="24"/>
      <c r="F14" s="24"/>
      <c r="G14" s="24"/>
      <c r="H14" s="24"/>
      <c r="I14" s="24"/>
      <c r="J14" s="24"/>
      <c r="K14" s="24"/>
      <c r="L14" s="24"/>
      <c r="M14" s="24"/>
      <c r="N14" s="24"/>
      <c r="O14" s="24"/>
      <c r="P14" s="24"/>
      <c r="Q14" s="24"/>
      <c r="R14" s="24"/>
      <c r="S14" s="24"/>
      <c r="T14" s="24"/>
      <c r="U14" s="25"/>
    </row>
    <row r="15" spans="1:25" x14ac:dyDescent="0.25">
      <c r="A15" s="27"/>
      <c r="B15" s="28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8"/>
      <c r="Q15" s="28"/>
      <c r="R15" s="28"/>
      <c r="S15" s="28"/>
      <c r="T15" s="28"/>
      <c r="U15" s="28"/>
    </row>
    <row r="16" spans="1:25" x14ac:dyDescent="0.25">
      <c r="A16" s="18" t="s">
        <v>9</v>
      </c>
      <c r="B16" s="42" t="str">
        <f>IF($A$2&lt;&gt;"","Date:- " &amp; " " &amp; TEXT(WORKDAY(Monthly!$A$2,11,MLPHolidays),"YYYY/MM/DD"),"Date:- ")</f>
        <v>Date:-  2018/04/16</v>
      </c>
      <c r="C16" s="43"/>
      <c r="D16" s="43"/>
      <c r="E16" s="44"/>
      <c r="F16" s="42" t="str">
        <f>IF($A$2&lt;&gt;"","Date:- " &amp; " " &amp; TEXT(WORKDAY(Monthly!$A$2,12,MLPHolidays),"YYYY/MM/DD"),"Date:- ")</f>
        <v>Date:-  2018/04/17</v>
      </c>
      <c r="G16" s="43"/>
      <c r="H16" s="43"/>
      <c r="I16" s="44"/>
      <c r="J16" s="42" t="str">
        <f>IF($A$2&lt;&gt;"","Date:- " &amp; " " &amp; TEXT(WORKDAY(Monthly!$A$2,13,MLPHolidays),"YYYY/MM/DD"),"Date:- ")</f>
        <v>Date:-  2018/04/18</v>
      </c>
      <c r="K16" s="43"/>
      <c r="L16" s="43"/>
      <c r="M16" s="44"/>
      <c r="N16" s="42" t="str">
        <f>IF($A$2&lt;&gt;"","Date:- " &amp; " " &amp; TEXT(WORKDAY(Monthly!$A$2,14,MLPHolidays),"YYYY/MM/DD"),"Date:- ")</f>
        <v>Date:-  2018/04/19</v>
      </c>
      <c r="O16" s="43"/>
      <c r="P16" s="43"/>
      <c r="Q16" s="44"/>
      <c r="R16" s="42" t="str">
        <f>IF($A$2&lt;&gt;"","Date:- " &amp; " " &amp; TEXT(WORKDAY(Monthly!$A$2,15,MLPHolidays),"YYYY/MM/DD"),"Date:- ")</f>
        <v>Date:-  2018/04/20</v>
      </c>
      <c r="S16" s="43"/>
      <c r="T16" s="43"/>
      <c r="U16" s="43"/>
    </row>
    <row r="17" spans="1:21" ht="45" x14ac:dyDescent="0.25">
      <c r="A17" s="19" t="s">
        <v>0</v>
      </c>
      <c r="B17" s="20" t="s">
        <v>6</v>
      </c>
      <c r="C17" s="20" t="s">
        <v>1</v>
      </c>
      <c r="D17" s="20" t="s">
        <v>3</v>
      </c>
      <c r="E17" s="21" t="s">
        <v>7</v>
      </c>
      <c r="F17" s="20" t="s">
        <v>6</v>
      </c>
      <c r="G17" s="20" t="s">
        <v>1</v>
      </c>
      <c r="H17" s="20" t="s">
        <v>3</v>
      </c>
      <c r="I17" s="21" t="s">
        <v>7</v>
      </c>
      <c r="J17" s="20" t="s">
        <v>6</v>
      </c>
      <c r="K17" s="20" t="s">
        <v>1</v>
      </c>
      <c r="L17" s="20" t="s">
        <v>3</v>
      </c>
      <c r="M17" s="21" t="s">
        <v>7</v>
      </c>
      <c r="N17" s="20" t="s">
        <v>6</v>
      </c>
      <c r="O17" s="20" t="s">
        <v>1</v>
      </c>
      <c r="P17" s="20" t="s">
        <v>3</v>
      </c>
      <c r="Q17" s="21" t="s">
        <v>7</v>
      </c>
      <c r="R17" s="20" t="s">
        <v>6</v>
      </c>
      <c r="S17" s="20" t="s">
        <v>1</v>
      </c>
      <c r="T17" s="20" t="s">
        <v>3</v>
      </c>
      <c r="U17" s="22" t="s">
        <v>7</v>
      </c>
    </row>
    <row r="18" spans="1:21" x14ac:dyDescent="0.25">
      <c r="A18" s="18" t="s">
        <v>4</v>
      </c>
      <c r="B18" s="24"/>
      <c r="C18" s="24"/>
      <c r="D18" s="24"/>
      <c r="E18" s="24">
        <f>D18-C18</f>
        <v>0</v>
      </c>
      <c r="F18" s="24"/>
      <c r="G18" s="24"/>
      <c r="H18" s="24"/>
      <c r="I18" s="24"/>
      <c r="J18" s="24"/>
      <c r="K18" s="24"/>
      <c r="L18" s="24"/>
      <c r="M18" s="24"/>
      <c r="N18" s="24"/>
      <c r="O18" s="24"/>
      <c r="P18" s="24"/>
      <c r="Q18" s="24"/>
      <c r="R18" s="24"/>
      <c r="S18" s="24"/>
      <c r="T18" s="24"/>
      <c r="U18" s="25"/>
    </row>
    <row r="19" spans="1:21" x14ac:dyDescent="0.25">
      <c r="A19" s="18" t="s">
        <v>5</v>
      </c>
      <c r="B19" s="24"/>
      <c r="C19" s="24"/>
      <c r="D19" s="24"/>
      <c r="E19" s="24"/>
      <c r="F19" s="24"/>
      <c r="G19" s="24"/>
      <c r="H19" s="24"/>
      <c r="I19" s="24"/>
      <c r="J19" s="24"/>
      <c r="K19" s="24"/>
      <c r="L19" s="24"/>
      <c r="M19" s="24"/>
      <c r="N19" s="24"/>
      <c r="O19" s="24"/>
      <c r="P19" s="24"/>
      <c r="Q19" s="24"/>
      <c r="R19" s="24"/>
      <c r="S19" s="24"/>
      <c r="T19" s="24"/>
      <c r="U19" s="25"/>
    </row>
    <row r="20" spans="1:21" x14ac:dyDescent="0.25">
      <c r="A20" s="18" t="s">
        <v>2</v>
      </c>
      <c r="B20" s="24"/>
      <c r="C20" s="24"/>
      <c r="D20" s="24"/>
      <c r="E20" s="24"/>
      <c r="F20" s="24"/>
      <c r="G20" s="24"/>
      <c r="H20" s="24"/>
      <c r="I20" s="24"/>
      <c r="J20" s="24"/>
      <c r="K20" s="24"/>
      <c r="L20" s="24"/>
      <c r="M20" s="24"/>
      <c r="N20" s="24"/>
      <c r="O20" s="24"/>
      <c r="P20" s="24"/>
      <c r="Q20" s="24"/>
      <c r="R20" s="24"/>
      <c r="S20" s="24"/>
      <c r="T20" s="24"/>
      <c r="U20" s="25"/>
    </row>
    <row r="21" spans="1:21" x14ac:dyDescent="0.25">
      <c r="A21" s="27"/>
      <c r="B21" s="28"/>
      <c r="C21" s="28"/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8"/>
      <c r="Q21" s="28"/>
      <c r="R21" s="28"/>
      <c r="S21" s="28"/>
      <c r="T21" s="28"/>
      <c r="U21" s="28"/>
    </row>
    <row r="22" spans="1:21" x14ac:dyDescent="0.25">
      <c r="A22" s="18" t="s">
        <v>10</v>
      </c>
      <c r="B22" s="45">
        <f>IF($A$2&lt;&gt;"",WORKDAY(Monthly!$A$2,16,MLPHolidays),"Date:- ")</f>
        <v>43213</v>
      </c>
      <c r="C22" s="46"/>
      <c r="D22" s="46"/>
      <c r="E22" s="47"/>
      <c r="F22" s="42" t="str">
        <f>IF($A$2&lt;&gt;"","Date:- " &amp; " " &amp; TEXT(WORKDAY(Monthly!$A$2,17,MLPHolidays),"YYYY/MM/DD"),"Date:- ")</f>
        <v>Date:-  2018/04/24</v>
      </c>
      <c r="G22" s="43"/>
      <c r="H22" s="43"/>
      <c r="I22" s="44"/>
      <c r="J22" s="42" t="str">
        <f>IF($A$2&lt;&gt;"","Date:- " &amp; " " &amp; TEXT(WORKDAY(Monthly!$A$2,18,MLPHolidays),"YYYY/MM/DD"),"Date:- ")</f>
        <v>Date:-  2018/04/25</v>
      </c>
      <c r="K22" s="43"/>
      <c r="L22" s="43"/>
      <c r="M22" s="44"/>
      <c r="N22" s="42" t="str">
        <f>IF($A$2&lt;&gt;"","Date:- " &amp; " " &amp; TEXT(WORKDAY(Monthly!$A$2,19,MLPHolidays),"YYYY/MM/DD"),"Date:- ")</f>
        <v>Date:-  2018/04/26</v>
      </c>
      <c r="O22" s="43"/>
      <c r="P22" s="43"/>
      <c r="Q22" s="44"/>
      <c r="R22" s="42" t="str">
        <f>IF($A$2&lt;&gt;"","Date:- " &amp; " " &amp; TEXT(WORKDAY(Monthly!$A$2,20,MLPHolidays),"YYYY/MM/DD"),"Date:- ")</f>
        <v>Date:-  2018/04/27</v>
      </c>
      <c r="S22" s="43"/>
      <c r="T22" s="43"/>
      <c r="U22" s="43"/>
    </row>
    <row r="23" spans="1:21" ht="45" x14ac:dyDescent="0.25">
      <c r="A23" s="19" t="s">
        <v>0</v>
      </c>
      <c r="B23" s="20" t="s">
        <v>6</v>
      </c>
      <c r="C23" s="20" t="s">
        <v>1</v>
      </c>
      <c r="D23" s="20" t="s">
        <v>3</v>
      </c>
      <c r="E23" s="21" t="s">
        <v>7</v>
      </c>
      <c r="F23" s="20" t="s">
        <v>6</v>
      </c>
      <c r="G23" s="20" t="s">
        <v>1</v>
      </c>
      <c r="H23" s="20" t="s">
        <v>3</v>
      </c>
      <c r="I23" s="21" t="s">
        <v>7</v>
      </c>
      <c r="J23" s="20" t="s">
        <v>6</v>
      </c>
      <c r="K23" s="20" t="s">
        <v>1</v>
      </c>
      <c r="L23" s="20" t="s">
        <v>3</v>
      </c>
      <c r="M23" s="21" t="s">
        <v>7</v>
      </c>
      <c r="N23" s="20" t="s">
        <v>6</v>
      </c>
      <c r="O23" s="20" t="s">
        <v>1</v>
      </c>
      <c r="P23" s="20" t="s">
        <v>3</v>
      </c>
      <c r="Q23" s="21" t="s">
        <v>7</v>
      </c>
      <c r="R23" s="20" t="s">
        <v>6</v>
      </c>
      <c r="S23" s="20" t="s">
        <v>1</v>
      </c>
      <c r="T23" s="20" t="s">
        <v>3</v>
      </c>
      <c r="U23" s="22" t="s">
        <v>7</v>
      </c>
    </row>
    <row r="24" spans="1:21" x14ac:dyDescent="0.25">
      <c r="A24" s="18" t="s">
        <v>4</v>
      </c>
      <c r="B24" s="24"/>
      <c r="C24" s="24"/>
      <c r="D24" s="24"/>
      <c r="E24" s="24">
        <f>D24-C24</f>
        <v>0</v>
      </c>
      <c r="F24" s="24"/>
      <c r="G24" s="24"/>
      <c r="H24" s="24"/>
      <c r="I24" s="24"/>
      <c r="J24" s="24"/>
      <c r="K24" s="24"/>
      <c r="L24" s="24"/>
      <c r="M24" s="24"/>
      <c r="N24" s="24"/>
      <c r="O24" s="24"/>
      <c r="P24" s="24"/>
      <c r="Q24" s="24"/>
      <c r="R24" s="24"/>
      <c r="S24" s="24"/>
      <c r="T24" s="24"/>
      <c r="U24" s="25"/>
    </row>
    <row r="25" spans="1:21" x14ac:dyDescent="0.25">
      <c r="A25" s="18" t="s">
        <v>5</v>
      </c>
      <c r="B25" s="24"/>
      <c r="C25" s="24"/>
      <c r="D25" s="24"/>
      <c r="E25" s="24"/>
      <c r="F25" s="24"/>
      <c r="G25" s="24"/>
      <c r="H25" s="24"/>
      <c r="I25" s="24"/>
      <c r="J25" s="24"/>
      <c r="K25" s="24"/>
      <c r="L25" s="24"/>
      <c r="M25" s="24"/>
      <c r="N25" s="24"/>
      <c r="O25" s="24"/>
      <c r="P25" s="24"/>
      <c r="Q25" s="24"/>
      <c r="R25" s="24"/>
      <c r="S25" s="24"/>
      <c r="T25" s="24"/>
      <c r="U25" s="25"/>
    </row>
    <row r="26" spans="1:21" x14ac:dyDescent="0.25">
      <c r="A26" s="18" t="s">
        <v>2</v>
      </c>
      <c r="B26" s="24"/>
      <c r="C26" s="24"/>
      <c r="D26" s="24"/>
      <c r="E26" s="24"/>
      <c r="F26" s="24"/>
      <c r="G26" s="24"/>
      <c r="H26" s="24"/>
      <c r="I26" s="24"/>
      <c r="J26" s="24"/>
      <c r="K26" s="24"/>
      <c r="L26" s="24"/>
      <c r="M26" s="24"/>
      <c r="N26" s="24"/>
      <c r="O26" s="24"/>
      <c r="P26" s="24"/>
      <c r="Q26" s="24"/>
      <c r="R26" s="24"/>
      <c r="S26" s="24"/>
      <c r="T26" s="24"/>
      <c r="U26" s="25"/>
    </row>
    <row r="27" spans="1:21" x14ac:dyDescent="0.25">
      <c r="A27" s="27"/>
      <c r="B27" s="28"/>
      <c r="C27" s="28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8"/>
      <c r="Q27" s="28"/>
      <c r="R27" s="28"/>
      <c r="S27" s="28"/>
      <c r="T27" s="28"/>
      <c r="U27" s="28"/>
    </row>
    <row r="28" spans="1:21" x14ac:dyDescent="0.25">
      <c r="A28" s="29" t="s">
        <v>11</v>
      </c>
      <c r="B28" s="48" t="str">
        <f>IF($A$2&lt;&gt;"","Date:- " &amp; " " &amp; TEXT(WORKDAY(Monthly!$A$2,21,MLPHolidays),"YYYY/MM/DD"),"Date:- ")</f>
        <v>Date:-  2018/04/30</v>
      </c>
      <c r="C28" s="49"/>
      <c r="D28" s="49"/>
      <c r="E28" s="50"/>
      <c r="F28" s="48" t="str">
        <f>IF($A$2&lt;&gt;"","Date:- " &amp; " " &amp; TEXT(WORKDAY(Monthly!$A$2,22,MLPHolidays),"YYYY/MM/DD"),"Date:- ")</f>
        <v>Date:-  2018/05/01</v>
      </c>
      <c r="G28" s="49"/>
      <c r="H28" s="49"/>
      <c r="I28" s="50"/>
      <c r="J28" s="48" t="str">
        <f>IF($A$2&lt;&gt;"","Date:- " &amp; " " &amp; TEXT(WORKDAY(Monthly!$A$2,23,MLPHolidays),"YYYY/MM/DD"),"Date:- ")</f>
        <v>Date:-  2018/05/02</v>
      </c>
      <c r="K28" s="49"/>
      <c r="L28" s="49"/>
      <c r="M28" s="49"/>
      <c r="N28" s="51"/>
      <c r="O28" s="51"/>
      <c r="P28" s="51"/>
      <c r="Q28" s="51"/>
      <c r="R28" s="51"/>
      <c r="S28" s="51"/>
      <c r="T28" s="51"/>
      <c r="U28" s="51"/>
    </row>
    <row r="29" spans="1:21" ht="45" x14ac:dyDescent="0.25">
      <c r="A29" s="30" t="s">
        <v>0</v>
      </c>
      <c r="B29" s="31" t="s">
        <v>6</v>
      </c>
      <c r="C29" s="32" t="s">
        <v>1</v>
      </c>
      <c r="D29" s="32" t="s">
        <v>3</v>
      </c>
      <c r="E29" s="33" t="s">
        <v>7</v>
      </c>
      <c r="F29" s="31" t="s">
        <v>6</v>
      </c>
      <c r="G29" s="32" t="s">
        <v>1</v>
      </c>
      <c r="H29" s="32" t="s">
        <v>3</v>
      </c>
      <c r="I29" s="33" t="s">
        <v>7</v>
      </c>
      <c r="J29" s="31" t="s">
        <v>6</v>
      </c>
      <c r="K29" s="32" t="s">
        <v>1</v>
      </c>
      <c r="L29" s="32" t="s">
        <v>3</v>
      </c>
      <c r="M29" s="34" t="s">
        <v>7</v>
      </c>
      <c r="N29" s="35"/>
      <c r="O29" s="35"/>
      <c r="P29" s="35"/>
      <c r="Q29" s="36"/>
      <c r="R29" s="35"/>
      <c r="S29" s="35"/>
      <c r="T29" s="35"/>
      <c r="U29" s="36"/>
    </row>
    <row r="30" spans="1:21" x14ac:dyDescent="0.25">
      <c r="A30" s="37" t="s">
        <v>4</v>
      </c>
      <c r="B30" s="38"/>
      <c r="C30" s="38"/>
      <c r="D30" s="38"/>
      <c r="E30" s="38">
        <f>D30-C30</f>
        <v>0</v>
      </c>
      <c r="F30" s="38"/>
      <c r="G30" s="38"/>
      <c r="H30" s="38"/>
      <c r="I30" s="38"/>
      <c r="J30" s="38"/>
      <c r="K30" s="38"/>
      <c r="L30" s="38"/>
      <c r="M30" s="39"/>
      <c r="N30" s="40"/>
      <c r="O30" s="40"/>
      <c r="P30" s="40"/>
      <c r="Q30" s="40"/>
      <c r="R30" s="40"/>
      <c r="S30" s="40"/>
      <c r="T30" s="40"/>
      <c r="U30" s="40"/>
    </row>
    <row r="31" spans="1:21" x14ac:dyDescent="0.25">
      <c r="A31" s="37" t="s">
        <v>5</v>
      </c>
      <c r="B31" s="38"/>
      <c r="C31" s="38"/>
      <c r="D31" s="38"/>
      <c r="E31" s="38"/>
      <c r="F31" s="38"/>
      <c r="G31" s="38"/>
      <c r="H31" s="38"/>
      <c r="I31" s="38"/>
      <c r="J31" s="38"/>
      <c r="K31" s="38"/>
      <c r="L31" s="38"/>
      <c r="M31" s="39"/>
      <c r="N31" s="40"/>
      <c r="O31" s="40"/>
      <c r="P31" s="40"/>
      <c r="Q31" s="40"/>
      <c r="R31" s="40"/>
      <c r="S31" s="40"/>
      <c r="T31" s="40"/>
      <c r="U31" s="40"/>
    </row>
    <row r="32" spans="1:21" x14ac:dyDescent="0.25">
      <c r="A32" s="37" t="s">
        <v>2</v>
      </c>
      <c r="B32" s="38"/>
      <c r="C32" s="38"/>
      <c r="D32" s="38"/>
      <c r="E32" s="38"/>
      <c r="F32" s="38"/>
      <c r="G32" s="38"/>
      <c r="H32" s="38"/>
      <c r="I32" s="38"/>
      <c r="J32" s="38"/>
      <c r="K32" s="38"/>
      <c r="L32" s="38"/>
      <c r="M32" s="39"/>
      <c r="N32" s="40"/>
      <c r="O32" s="40"/>
      <c r="P32" s="40"/>
      <c r="Q32" s="40"/>
      <c r="R32" s="40"/>
      <c r="S32" s="40"/>
      <c r="T32" s="40"/>
      <c r="U32" s="40"/>
    </row>
    <row r="33" spans="14:21" x14ac:dyDescent="0.25">
      <c r="N33" s="5"/>
      <c r="O33" s="5"/>
      <c r="P33" s="5"/>
      <c r="Q33" s="5"/>
      <c r="R33" s="5"/>
      <c r="S33" s="5"/>
      <c r="T33" s="5"/>
      <c r="U33" s="5"/>
    </row>
  </sheetData>
  <sheetProtection selectLockedCells="1"/>
  <protectedRanges>
    <protectedRange sqref="A2" name="Range1"/>
  </protectedRanges>
  <customSheetViews>
    <customSheetView guid="{B788D2DB-8FF9-4A02-A5ED-09AB2230C169}">
      <selection activeCell="B2" sqref="B2"/>
      <pageMargins left="0.7" right="0.7" top="0.75" bottom="0.75" header="0.3" footer="0.3"/>
      <pageSetup orientation="portrait" r:id="rId1"/>
    </customSheetView>
  </customSheetViews>
  <mergeCells count="25">
    <mergeCell ref="B28:E28"/>
    <mergeCell ref="F28:I28"/>
    <mergeCell ref="J28:M28"/>
    <mergeCell ref="N28:Q28"/>
    <mergeCell ref="R28:U28"/>
    <mergeCell ref="B22:E22"/>
    <mergeCell ref="F22:I22"/>
    <mergeCell ref="J22:M22"/>
    <mergeCell ref="N22:Q22"/>
    <mergeCell ref="R22:U22"/>
    <mergeCell ref="B16:E16"/>
    <mergeCell ref="F16:I16"/>
    <mergeCell ref="J16:M16"/>
    <mergeCell ref="N16:Q16"/>
    <mergeCell ref="R16:U16"/>
    <mergeCell ref="B10:E10"/>
    <mergeCell ref="F10:I10"/>
    <mergeCell ref="J10:M10"/>
    <mergeCell ref="N10:Q10"/>
    <mergeCell ref="R10:U10"/>
    <mergeCell ref="B4:E4"/>
    <mergeCell ref="F4:I4"/>
    <mergeCell ref="J4:M4"/>
    <mergeCell ref="N4:Q4"/>
    <mergeCell ref="R4:U4"/>
  </mergeCells>
  <dataValidations count="1">
    <dataValidation type="list" allowBlank="1" showInputMessage="1" showErrorMessage="1" errorTitle="Invalid data" error="You have entered Incorrect data, Please select data from drop down" sqref="C2">
      <formula1>"CSA,Equity,FI Bonds"</formula1>
    </dataValidation>
  </dataValidations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70C0"/>
  </sheetPr>
  <dimension ref="A1:R32"/>
  <sheetViews>
    <sheetView workbookViewId="0">
      <selection activeCell="G1" sqref="G1"/>
    </sheetView>
  </sheetViews>
  <sheetFormatPr defaultRowHeight="15" x14ac:dyDescent="0.25"/>
  <cols>
    <col min="2" max="2" width="13.5703125" bestFit="1" customWidth="1"/>
  </cols>
  <sheetData>
    <row r="1" spans="1:18" ht="45" x14ac:dyDescent="0.25">
      <c r="A1" s="9" t="s">
        <v>16</v>
      </c>
      <c r="B1" s="10" t="s">
        <v>15</v>
      </c>
      <c r="G1" s="16" t="str">
        <f>"Working days in "&amp;TEXT(Monthly!A2,"MMM-YY")</f>
        <v>Working days in Apr-18</v>
      </c>
    </row>
    <row r="2" spans="1:18" x14ac:dyDescent="0.25">
      <c r="A2" s="1"/>
      <c r="B2" s="4"/>
      <c r="G2" s="4"/>
    </row>
    <row r="3" spans="1:18" x14ac:dyDescent="0.25">
      <c r="A3" s="1"/>
      <c r="B3" s="4"/>
      <c r="G3" s="4"/>
    </row>
    <row r="4" spans="1:18" x14ac:dyDescent="0.25">
      <c r="A4" s="1"/>
      <c r="B4" s="4"/>
      <c r="G4" s="4"/>
      <c r="Q4" s="11" t="s">
        <v>17</v>
      </c>
      <c r="R4" s="11" t="s">
        <v>18</v>
      </c>
    </row>
    <row r="5" spans="1:18" x14ac:dyDescent="0.25">
      <c r="A5" s="1"/>
      <c r="B5" s="4"/>
      <c r="G5" s="4"/>
      <c r="Q5" s="11">
        <v>1</v>
      </c>
      <c r="R5" s="11" t="s">
        <v>19</v>
      </c>
    </row>
    <row r="6" spans="1:18" x14ac:dyDescent="0.25">
      <c r="A6" s="1"/>
      <c r="B6" s="4"/>
      <c r="G6" s="4"/>
      <c r="Q6" s="11">
        <v>2</v>
      </c>
      <c r="R6" s="11" t="s">
        <v>20</v>
      </c>
    </row>
    <row r="7" spans="1:18" x14ac:dyDescent="0.25">
      <c r="A7" s="1"/>
      <c r="B7" s="4"/>
      <c r="G7" s="4"/>
      <c r="Q7" s="11">
        <v>3</v>
      </c>
      <c r="R7" s="11" t="s">
        <v>21</v>
      </c>
    </row>
    <row r="8" spans="1:18" x14ac:dyDescent="0.25">
      <c r="A8" s="1"/>
      <c r="B8" s="4"/>
      <c r="G8" s="4"/>
      <c r="Q8" s="11">
        <v>4</v>
      </c>
      <c r="R8" s="11" t="s">
        <v>22</v>
      </c>
    </row>
    <row r="9" spans="1:18" x14ac:dyDescent="0.25">
      <c r="A9" s="1"/>
      <c r="B9" s="4"/>
      <c r="G9" s="4"/>
      <c r="Q9" s="11">
        <v>5</v>
      </c>
      <c r="R9" s="11" t="s">
        <v>23</v>
      </c>
    </row>
    <row r="10" spans="1:18" x14ac:dyDescent="0.25">
      <c r="A10" s="1"/>
      <c r="B10" s="4"/>
      <c r="G10" s="4"/>
    </row>
    <row r="11" spans="1:18" x14ac:dyDescent="0.25">
      <c r="A11" s="1"/>
      <c r="B11" s="4"/>
      <c r="G11" s="4"/>
    </row>
    <row r="12" spans="1:18" x14ac:dyDescent="0.25">
      <c r="A12" s="1"/>
      <c r="B12" s="4"/>
      <c r="G12" s="4"/>
    </row>
    <row r="13" spans="1:18" x14ac:dyDescent="0.25">
      <c r="A13" s="1"/>
      <c r="B13" s="4"/>
      <c r="G13" s="4"/>
    </row>
    <row r="14" spans="1:18" x14ac:dyDescent="0.25">
      <c r="A14" s="1"/>
      <c r="B14" s="4"/>
      <c r="G14" s="4"/>
    </row>
    <row r="15" spans="1:18" x14ac:dyDescent="0.25">
      <c r="A15" s="1"/>
      <c r="B15" s="4"/>
      <c r="G15" s="4"/>
    </row>
    <row r="16" spans="1:18" x14ac:dyDescent="0.25">
      <c r="A16" s="1"/>
      <c r="B16" s="4"/>
      <c r="G16" s="4"/>
    </row>
    <row r="17" spans="1:7" x14ac:dyDescent="0.25">
      <c r="A17" s="1"/>
      <c r="B17" s="4"/>
      <c r="G17" s="4"/>
    </row>
    <row r="18" spans="1:7" x14ac:dyDescent="0.25">
      <c r="A18" s="1"/>
      <c r="B18" s="4"/>
      <c r="G18" s="4"/>
    </row>
    <row r="19" spans="1:7" x14ac:dyDescent="0.25">
      <c r="A19" s="1"/>
      <c r="B19" s="4"/>
      <c r="G19" s="4"/>
    </row>
    <row r="20" spans="1:7" x14ac:dyDescent="0.25">
      <c r="A20" s="1"/>
      <c r="B20" s="4"/>
      <c r="G20" s="4"/>
    </row>
    <row r="21" spans="1:7" x14ac:dyDescent="0.25">
      <c r="A21" s="1"/>
      <c r="B21" s="4"/>
      <c r="G21" s="4"/>
    </row>
    <row r="22" spans="1:7" x14ac:dyDescent="0.25">
      <c r="A22" s="1"/>
      <c r="B22" s="4"/>
      <c r="G22" s="4"/>
    </row>
    <row r="23" spans="1:7" x14ac:dyDescent="0.25">
      <c r="A23" s="1"/>
      <c r="B23" s="4"/>
      <c r="G23" s="4"/>
    </row>
    <row r="24" spans="1:7" x14ac:dyDescent="0.25">
      <c r="A24" s="1"/>
      <c r="B24" s="4"/>
      <c r="G24" s="4"/>
    </row>
    <row r="25" spans="1:7" x14ac:dyDescent="0.25">
      <c r="A25" s="1"/>
      <c r="B25" s="4"/>
      <c r="G25" s="4"/>
    </row>
    <row r="26" spans="1:7" x14ac:dyDescent="0.25">
      <c r="G26" s="4"/>
    </row>
    <row r="27" spans="1:7" x14ac:dyDescent="0.25">
      <c r="G27" s="4"/>
    </row>
    <row r="28" spans="1:7" x14ac:dyDescent="0.25">
      <c r="G28" s="4"/>
    </row>
    <row r="29" spans="1:7" x14ac:dyDescent="0.25">
      <c r="G29" s="4"/>
    </row>
    <row r="30" spans="1:7" x14ac:dyDescent="0.25">
      <c r="G30" s="4"/>
    </row>
    <row r="31" spans="1:7" x14ac:dyDescent="0.25">
      <c r="G31" s="4"/>
    </row>
    <row r="32" spans="1:7" x14ac:dyDescent="0.25">
      <c r="G32" s="4"/>
    </row>
  </sheetData>
  <customSheetViews>
    <customSheetView guid="{B788D2DB-8FF9-4A02-A5ED-09AB2230C169}"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92D050"/>
  </sheetPr>
  <dimension ref="A1:G4"/>
  <sheetViews>
    <sheetView workbookViewId="0">
      <selection activeCell="A5" sqref="A5"/>
    </sheetView>
  </sheetViews>
  <sheetFormatPr defaultRowHeight="15" x14ac:dyDescent="0.25"/>
  <cols>
    <col min="1" max="1" width="14.85546875" style="6" customWidth="1"/>
    <col min="2" max="6" width="9.140625" style="6"/>
    <col min="7" max="7" width="13.28515625" style="6" bestFit="1" customWidth="1"/>
    <col min="8" max="16384" width="9.140625" style="6"/>
  </cols>
  <sheetData>
    <row r="1" spans="1:7" x14ac:dyDescent="0.25">
      <c r="A1" s="12" t="str">
        <f>IF(Monthly!A2&lt;&gt;"",TEXT(Monthly!A2,"MMM-YY"),"")</f>
        <v>Apr-18</v>
      </c>
      <c r="B1" s="52" t="s">
        <v>13</v>
      </c>
      <c r="C1" s="53"/>
      <c r="D1" s="54"/>
      <c r="F1" s="7" t="s">
        <v>0</v>
      </c>
      <c r="G1" s="7" t="s">
        <v>14</v>
      </c>
    </row>
    <row r="2" spans="1:7" x14ac:dyDescent="0.25">
      <c r="A2" s="8" t="s">
        <v>12</v>
      </c>
      <c r="B2" s="2" t="s">
        <v>4</v>
      </c>
      <c r="C2" s="2" t="s">
        <v>5</v>
      </c>
      <c r="D2" s="2" t="s">
        <v>2</v>
      </c>
      <c r="F2" s="2" t="s">
        <v>4</v>
      </c>
      <c r="G2" s="2"/>
    </row>
    <row r="3" spans="1:7" x14ac:dyDescent="0.25">
      <c r="F3" s="2" t="s">
        <v>5</v>
      </c>
      <c r="G3" s="2"/>
    </row>
    <row r="4" spans="1:7" x14ac:dyDescent="0.25">
      <c r="F4" s="2" t="s">
        <v>2</v>
      </c>
      <c r="G4" s="2"/>
    </row>
  </sheetData>
  <customSheetViews>
    <customSheetView guid="{B788D2DB-8FF9-4A02-A5ED-09AB2230C169}">
      <pageMargins left="0.7" right="0.7" top="0.75" bottom="0.75" header="0.3" footer="0.3"/>
    </customSheetView>
  </customSheetViews>
  <mergeCells count="1">
    <mergeCell ref="B1:D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Monthly</vt:lpstr>
      <vt:lpstr>Holidays</vt:lpstr>
      <vt:lpstr>Summary</vt:lpstr>
      <vt:lpstr>MLPHolidays</vt:lpstr>
    </vt:vector>
  </TitlesOfParts>
  <Company>Millennium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2018-04-05T11:14:54Z</dcterms:created>
  <dcterms:modified xsi:type="dcterms:W3CDTF">2018-04-18T16:31:14Z</dcterms:modified>
</cp:coreProperties>
</file>