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480" yWindow="90" windowWidth="16800" windowHeight="6675" tabRatio="807" firstSheet="1" activeTab="1"/>
  </bookViews>
  <sheets>
    <sheet name="Steps" sheetId="2" r:id="rId1"/>
    <sheet name="Macro" sheetId="1" r:id="rId2"/>
    <sheet name="Mapping" sheetId="8" r:id="rId3"/>
    <sheet name="DeleteStrikeThroughValues" sheetId="3" r:id="rId4"/>
    <sheet name="Processed Data" sheetId="6" r:id="rId5"/>
    <sheet name="Mail" sheetId="7" r:id="rId6"/>
    <sheet name="PIVOT" sheetId="5" r:id="rId7"/>
    <sheet name="EOD Report" sheetId="10" r:id="rId8"/>
    <sheet name="Outstanding Trades" sheetId="11" r:id="rId9"/>
    <sheet name="Brokers Alleged Trades" sheetId="12" r:id="rId10"/>
    <sheet name="OutPut" sheetId="9" r:id="rId11"/>
    <sheet name="EOD Template" sheetId="14" r:id="rId12"/>
    <sheet name="Strikeout_Deleted" sheetId="15" r:id="rId13"/>
    <sheet name="Sheet1" sheetId="16" r:id="rId14"/>
  </sheets>
  <functionGroups builtInGroupCount="17"/>
  <definedNames>
    <definedName name="_xlnm._FilterDatabase" localSheetId="9" hidden="1">'Brokers Alleged Trades'!$A$1:$M$9</definedName>
    <definedName name="_xlnm._FilterDatabase" localSheetId="3" hidden="1">DeleteStrikeThroughValues!$A$1:$AK$656</definedName>
    <definedName name="_xlnm._FilterDatabase" localSheetId="5" hidden="1">Mail!$A$1:$AF$7</definedName>
    <definedName name="_xlnm._FilterDatabase" localSheetId="8" hidden="1">'Outstanding Trades'!$A$1:$P$7</definedName>
    <definedName name="_xlnm._FilterDatabase" localSheetId="6" hidden="1">PIVOT!$A$2:$A$8</definedName>
    <definedName name="_xlnm._FilterDatabase" localSheetId="4" hidden="1">'Processed Data'!$C$1:$AF$447</definedName>
    <definedName name="_MailAutoSig" localSheetId="9">'Brokers Alleged Trades'!#REF!</definedName>
  </definedNames>
  <calcPr calcId="144525"/>
  <pivotCaches>
    <pivotCache cacheId="22" r:id="rId15"/>
  </pivotCaches>
</workbook>
</file>

<file path=xl/calcChain.xml><?xml version="1.0" encoding="utf-8"?>
<calcChain xmlns="http://schemas.openxmlformats.org/spreadsheetml/2006/main">
  <c r="DK2" i="10" l="1"/>
  <c r="DG2" i="10"/>
  <c r="DC2" i="10"/>
  <c r="CY2" i="10"/>
  <c r="CU2" i="10"/>
  <c r="CQ2" i="10"/>
  <c r="CM2" i="10"/>
  <c r="CI2" i="10"/>
  <c r="CE2" i="10"/>
  <c r="CA2" i="10"/>
  <c r="BW2" i="10"/>
  <c r="BS2" i="10"/>
  <c r="BO2" i="10"/>
  <c r="BK2" i="10"/>
  <c r="BG2" i="10"/>
  <c r="BC2" i="10"/>
  <c r="AY2" i="10"/>
  <c r="AU2" i="10"/>
  <c r="AQ2" i="10"/>
  <c r="AM2" i="10"/>
  <c r="AI2" i="10"/>
  <c r="AE2" i="10"/>
  <c r="AA2" i="10"/>
  <c r="W2" i="10"/>
  <c r="S2" i="10"/>
  <c r="O2" i="10"/>
  <c r="K2" i="10"/>
  <c r="G2" i="10"/>
  <c r="C2" i="10"/>
  <c r="BY27" i="10" l="1"/>
  <c r="DQ35" i="10" l="1"/>
  <c r="DP35" i="10"/>
  <c r="DQ30" i="10"/>
  <c r="DP30" i="10"/>
  <c r="DQ29" i="10"/>
  <c r="DP29" i="10"/>
  <c r="DQ28" i="10"/>
  <c r="DP28" i="10"/>
  <c r="DQ26" i="10"/>
  <c r="DP26" i="10"/>
  <c r="DQ25" i="10"/>
  <c r="DP25" i="10"/>
  <c r="DQ24" i="10"/>
  <c r="DP24" i="10"/>
  <c r="DQ21" i="10"/>
  <c r="DP21" i="10"/>
  <c r="DQ20" i="10"/>
  <c r="DP20" i="10"/>
  <c r="DQ19" i="10"/>
  <c r="DP19" i="10"/>
  <c r="DQ18" i="10"/>
  <c r="DP18" i="10"/>
  <c r="DQ17" i="10"/>
  <c r="DP17" i="10"/>
  <c r="DQ12" i="10"/>
  <c r="DP12" i="10"/>
  <c r="DQ11" i="10"/>
  <c r="DP11" i="10"/>
  <c r="DQ10" i="10"/>
  <c r="DP10" i="10"/>
  <c r="DO30" i="10"/>
  <c r="DO29" i="10"/>
  <c r="DO28" i="10"/>
  <c r="DO26" i="10"/>
  <c r="DO25" i="10"/>
  <c r="DO24" i="10"/>
  <c r="DO21" i="10"/>
  <c r="DO20" i="10"/>
  <c r="DO19" i="10"/>
  <c r="DO18" i="10"/>
  <c r="DO17" i="10"/>
  <c r="DO12" i="10"/>
  <c r="DO11" i="10"/>
  <c r="DO10" i="10"/>
  <c r="DM9" i="10"/>
  <c r="DK27" i="10"/>
  <c r="DK22" i="10" s="1"/>
  <c r="DK9" i="10" s="1"/>
  <c r="DL27" i="10"/>
  <c r="DL22" i="10" s="1"/>
  <c r="DL9" i="10" s="1"/>
  <c r="DM27" i="10"/>
  <c r="DM22" i="10" s="1"/>
  <c r="DK31" i="10"/>
  <c r="DL31" i="10"/>
  <c r="DM31" i="10"/>
  <c r="DM32" i="10"/>
  <c r="DM7" i="10" l="1"/>
  <c r="DK5" i="10"/>
  <c r="DK7" i="10"/>
  <c r="DK32" i="10"/>
  <c r="DK4" i="10"/>
  <c r="DK6" i="10"/>
  <c r="DK8" i="10"/>
  <c r="DK33" i="10"/>
  <c r="DL6" i="10"/>
  <c r="DL8" i="10"/>
  <c r="DL33" i="10"/>
  <c r="DL7" i="10"/>
  <c r="DL32" i="10"/>
  <c r="DM33" i="10"/>
  <c r="DM8" i="10"/>
  <c r="DM6" i="10"/>
  <c r="DO35" i="10"/>
  <c r="DI31" i="10" l="1"/>
  <c r="DH31" i="10"/>
  <c r="DG31" i="10"/>
  <c r="DI27" i="10"/>
  <c r="DI22" i="10" s="1"/>
  <c r="DH27" i="10"/>
  <c r="DH22" i="10" s="1"/>
  <c r="DH9" i="10" s="1"/>
  <c r="DG27" i="10"/>
  <c r="DG22" i="10" s="1"/>
  <c r="DG9" i="10" s="1"/>
  <c r="DG33" i="10" s="1"/>
  <c r="DI9" i="10"/>
  <c r="DI33" i="10" s="1"/>
  <c r="DE31" i="10"/>
  <c r="DD31" i="10"/>
  <c r="DC31" i="10"/>
  <c r="DE27" i="10"/>
  <c r="DE22" i="10" s="1"/>
  <c r="DD27" i="10"/>
  <c r="DC27" i="10"/>
  <c r="DE9" i="10"/>
  <c r="DE33" i="10" s="1"/>
  <c r="DA31" i="10"/>
  <c r="CZ31" i="10"/>
  <c r="CY31" i="10"/>
  <c r="DA27" i="10"/>
  <c r="DA22" i="10" s="1"/>
  <c r="CZ27" i="10"/>
  <c r="CZ22" i="10" s="1"/>
  <c r="CZ9" i="10" s="1"/>
  <c r="CY27" i="10"/>
  <c r="CY22" i="10" s="1"/>
  <c r="CY9" i="10" s="1"/>
  <c r="DA9" i="10"/>
  <c r="DA33" i="10" s="1"/>
  <c r="CW31" i="10"/>
  <c r="DQ31" i="10" s="1"/>
  <c r="CV31" i="10"/>
  <c r="DP31" i="10" s="1"/>
  <c r="CU31" i="10"/>
  <c r="DO31" i="10" s="1"/>
  <c r="CW27" i="10"/>
  <c r="CV27" i="10"/>
  <c r="CU27" i="10"/>
  <c r="CW9" i="10"/>
  <c r="CS31" i="10"/>
  <c r="CR31" i="10"/>
  <c r="CQ31" i="10"/>
  <c r="CS27" i="10"/>
  <c r="CS22" i="10" s="1"/>
  <c r="CR27" i="10"/>
  <c r="CQ27" i="10"/>
  <c r="CQ22" i="10" s="1"/>
  <c r="CQ9" i="10" s="1"/>
  <c r="CR22" i="10"/>
  <c r="CR9" i="10" s="1"/>
  <c r="CS9" i="10"/>
  <c r="CS33" i="10" s="1"/>
  <c r="DP27" i="10" l="1"/>
  <c r="CW33" i="10"/>
  <c r="DQ33" i="10" s="1"/>
  <c r="DQ9" i="10"/>
  <c r="CW22" i="10"/>
  <c r="DQ22" i="10" s="1"/>
  <c r="DQ27" i="10"/>
  <c r="CV22" i="10"/>
  <c r="CV9" i="10" s="1"/>
  <c r="CU22" i="10"/>
  <c r="DO27" i="10"/>
  <c r="DD22" i="10"/>
  <c r="DP22" i="10" s="1"/>
  <c r="DC22" i="10"/>
  <c r="DE8" i="10"/>
  <c r="DA7" i="10"/>
  <c r="DA6" i="10"/>
  <c r="DA8" i="10"/>
  <c r="DI8" i="10"/>
  <c r="DI7" i="10"/>
  <c r="DI6" i="10"/>
  <c r="DE6" i="10"/>
  <c r="DE7" i="10"/>
  <c r="DG6" i="10"/>
  <c r="DG7" i="10"/>
  <c r="CZ32" i="10"/>
  <c r="CZ7" i="10"/>
  <c r="CZ8" i="10"/>
  <c r="CZ6" i="10"/>
  <c r="DH32" i="10"/>
  <c r="DH7" i="10"/>
  <c r="DG4" i="10"/>
  <c r="DH8" i="10"/>
  <c r="DH6" i="10"/>
  <c r="DG5" i="10"/>
  <c r="CY33" i="10"/>
  <c r="CY8" i="10"/>
  <c r="CY6" i="10"/>
  <c r="CY4" i="10"/>
  <c r="CY7" i="10"/>
  <c r="CY5" i="10"/>
  <c r="CW7" i="10"/>
  <c r="DQ7" i="10" s="1"/>
  <c r="CS7" i="10"/>
  <c r="DG8" i="10"/>
  <c r="DG32" i="10"/>
  <c r="DI32" i="10"/>
  <c r="DH33" i="10"/>
  <c r="DE32" i="10"/>
  <c r="CY32" i="10"/>
  <c r="DA32" i="10"/>
  <c r="CZ33" i="10"/>
  <c r="CR32" i="10"/>
  <c r="CR7" i="10"/>
  <c r="CR8" i="10"/>
  <c r="CR6" i="10"/>
  <c r="CQ33" i="10"/>
  <c r="CQ8" i="10"/>
  <c r="CQ6" i="10"/>
  <c r="CQ4" i="10"/>
  <c r="CQ7" i="10"/>
  <c r="CQ5" i="10"/>
  <c r="CS6" i="10"/>
  <c r="CS8" i="10"/>
  <c r="CW32" i="10"/>
  <c r="DQ32" i="10" s="1"/>
  <c r="CQ32" i="10"/>
  <c r="CS32" i="10"/>
  <c r="CR33" i="10"/>
  <c r="CO31" i="10"/>
  <c r="CN31" i="10"/>
  <c r="CM31" i="10"/>
  <c r="CK31" i="10"/>
  <c r="CJ31" i="10"/>
  <c r="CI31" i="10"/>
  <c r="CO27" i="10"/>
  <c r="CO22" i="10" s="1"/>
  <c r="CN27" i="10"/>
  <c r="CN22" i="10" s="1"/>
  <c r="CN9" i="10" s="1"/>
  <c r="CN33" i="10" s="1"/>
  <c r="CM27" i="10"/>
  <c r="CM22" i="10" s="1"/>
  <c r="CM9" i="10" s="1"/>
  <c r="CK27" i="10"/>
  <c r="CK22" i="10" s="1"/>
  <c r="CJ27" i="10"/>
  <c r="CJ22" i="10" s="1"/>
  <c r="CJ9" i="10" s="1"/>
  <c r="CI27" i="10"/>
  <c r="CI22" i="10" s="1"/>
  <c r="CI9" i="10" s="1"/>
  <c r="CI33" i="10" s="1"/>
  <c r="CO9" i="10"/>
  <c r="CO33" i="10" s="1"/>
  <c r="CK9" i="10"/>
  <c r="CK33" i="10" s="1"/>
  <c r="CG31" i="10"/>
  <c r="CF31" i="10"/>
  <c r="CE31" i="10"/>
  <c r="CC31" i="10"/>
  <c r="CB31" i="10"/>
  <c r="CA31" i="10"/>
  <c r="BY31" i="10"/>
  <c r="BX31" i="10"/>
  <c r="BW31" i="10"/>
  <c r="BU31" i="10"/>
  <c r="BT31" i="10"/>
  <c r="BS31" i="10"/>
  <c r="BQ31" i="10"/>
  <c r="BP31" i="10"/>
  <c r="BO31" i="10"/>
  <c r="CG27" i="10"/>
  <c r="CG22" i="10" s="1"/>
  <c r="CF27" i="10"/>
  <c r="CF22" i="10" s="1"/>
  <c r="CF9" i="10" s="1"/>
  <c r="CE27" i="10"/>
  <c r="CE22" i="10" s="1"/>
  <c r="CE9" i="10" s="1"/>
  <c r="CC27" i="10"/>
  <c r="CC22" i="10" s="1"/>
  <c r="CB27" i="10"/>
  <c r="CB22" i="10" s="1"/>
  <c r="CB9" i="10" s="1"/>
  <c r="CA27" i="10"/>
  <c r="CA22" i="10" s="1"/>
  <c r="CA9" i="10" s="1"/>
  <c r="BY22" i="10"/>
  <c r="BX27" i="10"/>
  <c r="BX22" i="10" s="1"/>
  <c r="BX9" i="10" s="1"/>
  <c r="BW27" i="10"/>
  <c r="BW22" i="10" s="1"/>
  <c r="BW9" i="10" s="1"/>
  <c r="BU27" i="10"/>
  <c r="BU22" i="10" s="1"/>
  <c r="BT27" i="10"/>
  <c r="BT22" i="10" s="1"/>
  <c r="BT9" i="10" s="1"/>
  <c r="BS27" i="10"/>
  <c r="BS22" i="10" s="1"/>
  <c r="BS9" i="10" s="1"/>
  <c r="BQ27" i="10"/>
  <c r="BQ22" i="10" s="1"/>
  <c r="BP27" i="10"/>
  <c r="BP22" i="10" s="1"/>
  <c r="BP9" i="10" s="1"/>
  <c r="BO27" i="10"/>
  <c r="CG9" i="10"/>
  <c r="CG33" i="10" s="1"/>
  <c r="CC9" i="10"/>
  <c r="CC32" i="10" s="1"/>
  <c r="BY9" i="10"/>
  <c r="BY33" i="10" s="1"/>
  <c r="BU9" i="10"/>
  <c r="BU32" i="10" s="1"/>
  <c r="BQ9" i="10"/>
  <c r="BQ33" i="10" s="1"/>
  <c r="BM31" i="10"/>
  <c r="BL31" i="10"/>
  <c r="BK31" i="10"/>
  <c r="BI31" i="10"/>
  <c r="BH31" i="10"/>
  <c r="BG31" i="10"/>
  <c r="BE31" i="10"/>
  <c r="BD31" i="10"/>
  <c r="BC31" i="10"/>
  <c r="BA31" i="10"/>
  <c r="AZ31" i="10"/>
  <c r="AY31" i="10"/>
  <c r="AW31" i="10"/>
  <c r="AV31" i="10"/>
  <c r="AU31" i="10"/>
  <c r="BM27" i="10"/>
  <c r="BM22" i="10" s="1"/>
  <c r="BL27" i="10"/>
  <c r="BL22" i="10" s="1"/>
  <c r="BL9" i="10" s="1"/>
  <c r="BK27" i="10"/>
  <c r="BK22" i="10" s="1"/>
  <c r="BK9" i="10" s="1"/>
  <c r="BI27" i="10"/>
  <c r="BI22" i="10" s="1"/>
  <c r="BH27" i="10"/>
  <c r="BH22" i="10" s="1"/>
  <c r="BH9" i="10" s="1"/>
  <c r="BG27" i="10"/>
  <c r="BG22" i="10" s="1"/>
  <c r="BG9" i="10" s="1"/>
  <c r="BE27" i="10"/>
  <c r="BE22" i="10" s="1"/>
  <c r="BD27" i="10"/>
  <c r="BD22" i="10" s="1"/>
  <c r="BD9" i="10" s="1"/>
  <c r="BC27" i="10"/>
  <c r="BC22" i="10" s="1"/>
  <c r="BC9" i="10" s="1"/>
  <c r="BA27" i="10"/>
  <c r="BA22" i="10" s="1"/>
  <c r="AZ27" i="10"/>
  <c r="AZ22" i="10" s="1"/>
  <c r="AZ9" i="10" s="1"/>
  <c r="AY27" i="10"/>
  <c r="AY22" i="10" s="1"/>
  <c r="AY9" i="10" s="1"/>
  <c r="AW27" i="10"/>
  <c r="AW22" i="10" s="1"/>
  <c r="AV27" i="10"/>
  <c r="AV22" i="10" s="1"/>
  <c r="AV9" i="10" s="1"/>
  <c r="AU27" i="10"/>
  <c r="AU22" i="10"/>
  <c r="BM9" i="10"/>
  <c r="BM33" i="10" s="1"/>
  <c r="BI9" i="10"/>
  <c r="BI32" i="10" s="1"/>
  <c r="BE9" i="10"/>
  <c r="BE33" i="10" s="1"/>
  <c r="BA9" i="10"/>
  <c r="BA32" i="10" s="1"/>
  <c r="AW9" i="10"/>
  <c r="AW33" i="10" s="1"/>
  <c r="AU9" i="10"/>
  <c r="AU33" i="10" s="1"/>
  <c r="AS31" i="10"/>
  <c r="AR31" i="10"/>
  <c r="AQ31" i="10"/>
  <c r="AO31" i="10"/>
  <c r="AN31" i="10"/>
  <c r="AM31" i="10"/>
  <c r="AK31" i="10"/>
  <c r="AJ31" i="10"/>
  <c r="AI31" i="10"/>
  <c r="AG31" i="10"/>
  <c r="AF31" i="10"/>
  <c r="AE31" i="10"/>
  <c r="AS27" i="10"/>
  <c r="AS22" i="10" s="1"/>
  <c r="AR27" i="10"/>
  <c r="AR22" i="10" s="1"/>
  <c r="AR9" i="10" s="1"/>
  <c r="AQ27" i="10"/>
  <c r="AQ22" i="10" s="1"/>
  <c r="AQ9" i="10" s="1"/>
  <c r="AO27" i="10"/>
  <c r="AO22" i="10" s="1"/>
  <c r="AN27" i="10"/>
  <c r="AN22" i="10" s="1"/>
  <c r="AN9" i="10" s="1"/>
  <c r="AM27" i="10"/>
  <c r="AM22" i="10" s="1"/>
  <c r="AM9" i="10" s="1"/>
  <c r="AK27" i="10"/>
  <c r="AK22" i="10" s="1"/>
  <c r="AJ27" i="10"/>
  <c r="AJ22" i="10" s="1"/>
  <c r="AJ9" i="10" s="1"/>
  <c r="AJ33" i="10" s="1"/>
  <c r="AI27" i="10"/>
  <c r="AI22" i="10" s="1"/>
  <c r="AI9" i="10" s="1"/>
  <c r="AG27" i="10"/>
  <c r="AG22" i="10" s="1"/>
  <c r="AF27" i="10"/>
  <c r="AF22" i="10" s="1"/>
  <c r="AF9" i="10" s="1"/>
  <c r="AE27" i="10"/>
  <c r="AE22" i="10" s="1"/>
  <c r="AE9" i="10" s="1"/>
  <c r="AE33" i="10" s="1"/>
  <c r="AS9" i="10"/>
  <c r="AS33" i="10" s="1"/>
  <c r="AO9" i="10"/>
  <c r="AO33" i="10" s="1"/>
  <c r="AK9" i="10"/>
  <c r="AK33" i="10" s="1"/>
  <c r="AG9" i="10"/>
  <c r="AG33" i="10" s="1"/>
  <c r="AC31" i="10"/>
  <c r="AB31" i="10"/>
  <c r="AA31" i="10"/>
  <c r="Y31" i="10"/>
  <c r="X31" i="10"/>
  <c r="W31" i="10"/>
  <c r="AC27" i="10"/>
  <c r="AB27" i="10"/>
  <c r="AB22" i="10" s="1"/>
  <c r="AB9" i="10" s="1"/>
  <c r="AA27" i="10"/>
  <c r="AA22" i="10" s="1"/>
  <c r="AA9" i="10" s="1"/>
  <c r="Y27" i="10"/>
  <c r="Y22" i="10" s="1"/>
  <c r="X27" i="10"/>
  <c r="X22" i="10" s="1"/>
  <c r="X9" i="10" s="1"/>
  <c r="W27" i="10"/>
  <c r="W22" i="10" s="1"/>
  <c r="W9" i="10" s="1"/>
  <c r="AC22" i="10"/>
  <c r="AC9" i="10"/>
  <c r="AC33" i="10" s="1"/>
  <c r="Y9" i="10"/>
  <c r="Y33" i="10" s="1"/>
  <c r="U31" i="10"/>
  <c r="T31" i="10"/>
  <c r="S31" i="10"/>
  <c r="U27" i="10"/>
  <c r="U22" i="10" s="1"/>
  <c r="T27" i="10"/>
  <c r="T22" i="10" s="1"/>
  <c r="T9" i="10" s="1"/>
  <c r="S27" i="10"/>
  <c r="S22" i="10" s="1"/>
  <c r="S9" i="10" s="1"/>
  <c r="S33" i="10" s="1"/>
  <c r="U9" i="10"/>
  <c r="U33" i="10" s="1"/>
  <c r="CV6" i="10" l="1"/>
  <c r="DP6" i="10" s="1"/>
  <c r="CV32" i="10"/>
  <c r="DP32" i="10" s="1"/>
  <c r="CV33" i="10"/>
  <c r="DP33" i="10" s="1"/>
  <c r="CW8" i="10"/>
  <c r="DQ8" i="10" s="1"/>
  <c r="CW6" i="10"/>
  <c r="DQ6" i="10" s="1"/>
  <c r="CV7" i="10"/>
  <c r="DP7" i="10" s="1"/>
  <c r="CV8" i="10"/>
  <c r="DP8" i="10" s="1"/>
  <c r="CU9" i="10"/>
  <c r="DO22" i="10"/>
  <c r="AC6" i="10"/>
  <c r="BO22" i="10"/>
  <c r="BO9" i="10" s="1"/>
  <c r="DC9" i="10"/>
  <c r="DD9" i="10"/>
  <c r="DP9" i="10" s="1"/>
  <c r="AS7" i="10"/>
  <c r="AR33" i="10"/>
  <c r="AR8" i="10"/>
  <c r="AS6" i="10"/>
  <c r="AU7" i="10"/>
  <c r="BT33" i="10"/>
  <c r="BT7" i="10"/>
  <c r="AS8" i="10"/>
  <c r="AF33" i="10"/>
  <c r="AF6" i="10"/>
  <c r="AF7" i="10"/>
  <c r="AE4" i="10"/>
  <c r="AK7" i="10"/>
  <c r="AK6" i="10"/>
  <c r="AK8" i="10"/>
  <c r="AQ33" i="10"/>
  <c r="AQ6" i="10"/>
  <c r="AQ5" i="10"/>
  <c r="AQ8" i="10"/>
  <c r="AQ7" i="10"/>
  <c r="AQ4" i="10"/>
  <c r="AI33" i="10"/>
  <c r="AI8" i="10"/>
  <c r="AI7" i="10"/>
  <c r="AI6" i="10"/>
  <c r="AR6" i="10"/>
  <c r="AE7" i="10"/>
  <c r="AG7" i="10"/>
  <c r="AJ7" i="10"/>
  <c r="AU6" i="10"/>
  <c r="AU8" i="10"/>
  <c r="CK7" i="10"/>
  <c r="AZ33" i="10"/>
  <c r="AZ7" i="10"/>
  <c r="CE33" i="10"/>
  <c r="CE8" i="10"/>
  <c r="CE6" i="10"/>
  <c r="BK33" i="10"/>
  <c r="BK8" i="10"/>
  <c r="BK6" i="10"/>
  <c r="AF8" i="10"/>
  <c r="AW7" i="10"/>
  <c r="BQ7" i="10"/>
  <c r="CK6" i="10"/>
  <c r="CK8" i="10"/>
  <c r="AB33" i="10"/>
  <c r="AB7" i="10"/>
  <c r="BM8" i="10"/>
  <c r="BM6" i="10"/>
  <c r="CG8" i="10"/>
  <c r="CG6" i="10"/>
  <c r="Y7" i="10"/>
  <c r="AC8" i="10"/>
  <c r="AC7" i="10"/>
  <c r="AI4" i="10"/>
  <c r="AI5" i="10"/>
  <c r="AE6" i="10"/>
  <c r="AG6" i="10"/>
  <c r="AJ6" i="10"/>
  <c r="AR7" i="10"/>
  <c r="AE8" i="10"/>
  <c r="AG8" i="10"/>
  <c r="AJ8" i="10"/>
  <c r="AZ6" i="10"/>
  <c r="BK7" i="10"/>
  <c r="AZ8" i="10"/>
  <c r="BT6" i="10"/>
  <c r="CE7" i="10"/>
  <c r="BT8" i="10"/>
  <c r="CO6" i="10"/>
  <c r="CO7" i="10"/>
  <c r="AN33" i="10"/>
  <c r="AN8" i="10"/>
  <c r="AN7" i="10"/>
  <c r="AN6" i="10"/>
  <c r="AM33" i="10"/>
  <c r="AM7" i="10"/>
  <c r="AM8" i="10"/>
  <c r="AM6" i="10"/>
  <c r="AO7" i="10"/>
  <c r="AM4" i="10"/>
  <c r="AO8" i="10"/>
  <c r="AO6" i="10"/>
  <c r="AM5" i="10"/>
  <c r="W33" i="10"/>
  <c r="W7" i="10"/>
  <c r="W6" i="10"/>
  <c r="W8" i="10"/>
  <c r="AA33" i="10"/>
  <c r="AA7" i="10"/>
  <c r="AA5" i="10"/>
  <c r="AA6" i="10"/>
  <c r="AA8" i="10"/>
  <c r="CO8" i="10"/>
  <c r="Y6" i="10"/>
  <c r="AB6" i="10"/>
  <c r="Y8" i="10"/>
  <c r="AB8" i="10"/>
  <c r="AW6" i="10"/>
  <c r="BM7" i="10"/>
  <c r="AW8" i="10"/>
  <c r="CN8" i="10"/>
  <c r="BQ6" i="10"/>
  <c r="CG7" i="10"/>
  <c r="BQ8" i="10"/>
  <c r="X33" i="10"/>
  <c r="X8" i="10"/>
  <c r="X7" i="10"/>
  <c r="X6" i="10"/>
  <c r="BH33" i="10"/>
  <c r="BH8" i="10"/>
  <c r="BH7" i="10"/>
  <c r="BH6" i="10"/>
  <c r="BW33" i="10"/>
  <c r="BW8" i="10"/>
  <c r="BW7" i="10"/>
  <c r="BW6" i="10"/>
  <c r="CB33" i="10"/>
  <c r="CB8" i="10"/>
  <c r="CB7" i="10"/>
  <c r="CB6" i="10"/>
  <c r="BC33" i="10"/>
  <c r="BC8" i="10"/>
  <c r="BC7" i="10"/>
  <c r="BC6" i="10"/>
  <c r="S7" i="10"/>
  <c r="AA4" i="10"/>
  <c r="AE5" i="10"/>
  <c r="BE6" i="10"/>
  <c r="BE7" i="10"/>
  <c r="BE8" i="10"/>
  <c r="BY6" i="10"/>
  <c r="BY7" i="10"/>
  <c r="BY8" i="10"/>
  <c r="CI6" i="10"/>
  <c r="CN6" i="10"/>
  <c r="CI7" i="10"/>
  <c r="CN7" i="10"/>
  <c r="S6" i="10"/>
  <c r="AY32" i="10"/>
  <c r="AY7" i="10"/>
  <c r="AY5" i="10"/>
  <c r="AY8" i="10"/>
  <c r="AY6" i="10"/>
  <c r="AY4" i="10"/>
  <c r="BD32" i="10"/>
  <c r="BD7" i="10"/>
  <c r="BC4" i="10"/>
  <c r="BD8" i="10"/>
  <c r="BD6" i="10"/>
  <c r="BC5" i="10"/>
  <c r="BL32" i="10"/>
  <c r="BL7" i="10"/>
  <c r="BK4" i="10"/>
  <c r="BL8" i="10"/>
  <c r="BL6" i="10"/>
  <c r="BK5" i="10"/>
  <c r="BS32" i="10"/>
  <c r="BS8" i="10"/>
  <c r="BS6" i="10"/>
  <c r="BS4" i="10"/>
  <c r="BS7" i="10"/>
  <c r="BS5" i="10"/>
  <c r="BU8" i="10"/>
  <c r="BU6" i="10"/>
  <c r="BU7" i="10"/>
  <c r="CF32" i="10"/>
  <c r="CF8" i="10"/>
  <c r="CF6" i="10"/>
  <c r="CE5" i="10"/>
  <c r="CF7" i="10"/>
  <c r="CE4" i="10"/>
  <c r="U7" i="10"/>
  <c r="U6" i="10"/>
  <c r="AV32" i="10"/>
  <c r="AV7" i="10"/>
  <c r="AU4" i="10"/>
  <c r="AV8" i="10"/>
  <c r="AV6" i="10"/>
  <c r="AU5" i="10"/>
  <c r="BA7" i="10"/>
  <c r="BA8" i="10"/>
  <c r="BA6" i="10"/>
  <c r="BG32" i="10"/>
  <c r="BG7" i="10"/>
  <c r="BG5" i="10"/>
  <c r="BG8" i="10"/>
  <c r="BG6" i="10"/>
  <c r="BG4" i="10"/>
  <c r="BI7" i="10"/>
  <c r="BI8" i="10"/>
  <c r="BI6" i="10"/>
  <c r="BP32" i="10"/>
  <c r="BP8" i="10"/>
  <c r="BP6" i="10"/>
  <c r="BP7" i="10"/>
  <c r="BX32" i="10"/>
  <c r="BX8" i="10"/>
  <c r="BX6" i="10"/>
  <c r="BW5" i="10"/>
  <c r="BX7" i="10"/>
  <c r="BW4" i="10"/>
  <c r="CA32" i="10"/>
  <c r="CA8" i="10"/>
  <c r="CA6" i="10"/>
  <c r="CA4" i="10"/>
  <c r="CA7" i="10"/>
  <c r="CA5" i="10"/>
  <c r="CC8" i="10"/>
  <c r="CC6" i="10"/>
  <c r="CC7" i="10"/>
  <c r="CM33" i="10"/>
  <c r="CM8" i="10"/>
  <c r="CM6" i="10"/>
  <c r="CM4" i="10"/>
  <c r="CM7" i="10"/>
  <c r="CM5" i="10"/>
  <c r="CI8" i="10"/>
  <c r="CJ33" i="10"/>
  <c r="CJ32" i="10"/>
  <c r="CJ8" i="10"/>
  <c r="CJ6" i="10"/>
  <c r="CI5" i="10"/>
  <c r="CI4" i="10"/>
  <c r="CJ7" i="10"/>
  <c r="CI32" i="10"/>
  <c r="CK32" i="10"/>
  <c r="CN32" i="10"/>
  <c r="CM32" i="10"/>
  <c r="CO32" i="10"/>
  <c r="BQ32" i="10"/>
  <c r="BT32" i="10"/>
  <c r="BW32" i="10"/>
  <c r="BY32" i="10"/>
  <c r="CB32" i="10"/>
  <c r="CE32" i="10"/>
  <c r="CG32" i="10"/>
  <c r="BP33" i="10"/>
  <c r="BS33" i="10"/>
  <c r="BU33" i="10"/>
  <c r="BX33" i="10"/>
  <c r="CA33" i="10"/>
  <c r="CC33" i="10"/>
  <c r="CF33" i="10"/>
  <c r="AU32" i="10"/>
  <c r="AW32" i="10"/>
  <c r="AZ32" i="10"/>
  <c r="BC32" i="10"/>
  <c r="BE32" i="10"/>
  <c r="BH32" i="10"/>
  <c r="BK32" i="10"/>
  <c r="BM32" i="10"/>
  <c r="AV33" i="10"/>
  <c r="AY33" i="10"/>
  <c r="BA33" i="10"/>
  <c r="BD33" i="10"/>
  <c r="BG33" i="10"/>
  <c r="BI33" i="10"/>
  <c r="BL33" i="10"/>
  <c r="AE32" i="10"/>
  <c r="AG32" i="10"/>
  <c r="AJ32" i="10"/>
  <c r="AM32" i="10"/>
  <c r="AO32" i="10"/>
  <c r="AR32" i="10"/>
  <c r="AF32" i="10"/>
  <c r="AI32" i="10"/>
  <c r="AK32" i="10"/>
  <c r="AN32" i="10"/>
  <c r="AQ32" i="10"/>
  <c r="AS32" i="10"/>
  <c r="W4" i="10"/>
  <c r="W5" i="10"/>
  <c r="W32" i="10"/>
  <c r="Y32" i="10"/>
  <c r="AB32" i="10"/>
  <c r="X32" i="10"/>
  <c r="AA32" i="10"/>
  <c r="AC32" i="10"/>
  <c r="T32" i="10"/>
  <c r="T8" i="10"/>
  <c r="T7" i="10"/>
  <c r="S4" i="10"/>
  <c r="T6" i="10"/>
  <c r="S5" i="10"/>
  <c r="S32" i="10"/>
  <c r="U32" i="10"/>
  <c r="T33" i="10"/>
  <c r="S8" i="10"/>
  <c r="U8" i="10"/>
  <c r="DO9" i="10" l="1"/>
  <c r="CU33" i="10"/>
  <c r="DO33" i="10" s="1"/>
  <c r="CU4" i="10"/>
  <c r="CU5" i="10"/>
  <c r="CU32" i="10"/>
  <c r="DO32" i="10" s="1"/>
  <c r="CU8" i="10"/>
  <c r="DO8" i="10" s="1"/>
  <c r="CU6" i="10"/>
  <c r="DO6" i="10" s="1"/>
  <c r="CU7" i="10"/>
  <c r="DO7" i="10" s="1"/>
  <c r="BO6" i="10"/>
  <c r="BO8" i="10"/>
  <c r="BO32" i="10"/>
  <c r="BO33" i="10"/>
  <c r="BO7" i="10"/>
  <c r="BO5" i="10"/>
  <c r="BO4" i="10"/>
  <c r="DD32" i="10"/>
  <c r="DD6" i="10"/>
  <c r="DD7" i="10"/>
  <c r="DD8" i="10"/>
  <c r="DD33" i="10"/>
  <c r="DC33" i="10"/>
  <c r="DC8" i="10"/>
  <c r="DC7" i="10"/>
  <c r="DC6" i="10"/>
  <c r="DC5" i="10"/>
  <c r="DO5" i="10" s="1"/>
  <c r="DC4" i="10"/>
  <c r="DO4" i="10" s="1"/>
  <c r="DC32" i="10"/>
  <c r="Q31" i="10"/>
  <c r="P31" i="10"/>
  <c r="O31" i="10"/>
  <c r="M31" i="10"/>
  <c r="I31" i="10"/>
  <c r="H31" i="10"/>
  <c r="G31" i="10"/>
  <c r="E31" i="10"/>
  <c r="D31" i="10"/>
  <c r="C31" i="10"/>
  <c r="Q27" i="10"/>
  <c r="Q22" i="10" s="1"/>
  <c r="P27" i="10"/>
  <c r="P22" i="10" s="1"/>
  <c r="P9" i="10" s="1"/>
  <c r="P32" i="10" s="1"/>
  <c r="O27" i="10"/>
  <c r="O22" i="10" s="1"/>
  <c r="O9" i="10" s="1"/>
  <c r="O33" i="10" s="1"/>
  <c r="M27" i="10"/>
  <c r="M22" i="10" s="1"/>
  <c r="L27" i="10"/>
  <c r="L22" i="10" s="1"/>
  <c r="L9" i="10" s="1"/>
  <c r="L33" i="10" s="1"/>
  <c r="K27" i="10"/>
  <c r="K22" i="10" s="1"/>
  <c r="K9" i="10" s="1"/>
  <c r="I27" i="10"/>
  <c r="I22" i="10" s="1"/>
  <c r="H27" i="10"/>
  <c r="H22" i="10" s="1"/>
  <c r="H9" i="10" s="1"/>
  <c r="G27" i="10"/>
  <c r="G22" i="10" s="1"/>
  <c r="G9" i="10" s="1"/>
  <c r="G33" i="10" s="1"/>
  <c r="E27" i="10"/>
  <c r="D27" i="10"/>
  <c r="C27" i="10"/>
  <c r="Q9" i="10"/>
  <c r="Q33" i="10" s="1"/>
  <c r="M9" i="10"/>
  <c r="M32" i="10" s="1"/>
  <c r="I9" i="10"/>
  <c r="I33" i="10" s="1"/>
  <c r="E9" i="10"/>
  <c r="E22" i="10" l="1"/>
  <c r="E32" i="10"/>
  <c r="D22" i="10"/>
  <c r="C22" i="10"/>
  <c r="M8" i="10"/>
  <c r="H32" i="10"/>
  <c r="H8" i="10"/>
  <c r="K32" i="10"/>
  <c r="K8" i="10"/>
  <c r="P6" i="10"/>
  <c r="P7" i="10"/>
  <c r="O7" i="10"/>
  <c r="P8" i="10"/>
  <c r="O6" i="10"/>
  <c r="Q7" i="10"/>
  <c r="O5" i="10"/>
  <c r="Q6" i="10"/>
  <c r="O4" i="10"/>
  <c r="G32" i="10"/>
  <c r="I32" i="10"/>
  <c r="L32" i="10"/>
  <c r="O32" i="10"/>
  <c r="Q32" i="10"/>
  <c r="E33" i="10"/>
  <c r="H33" i="10"/>
  <c r="K33" i="10"/>
  <c r="M33" i="10"/>
  <c r="P33" i="10"/>
  <c r="G8" i="10"/>
  <c r="I8" i="10"/>
  <c r="L8" i="10"/>
  <c r="O8" i="10"/>
  <c r="Q8" i="10"/>
  <c r="E8" i="10" l="1"/>
  <c r="D9" i="10"/>
  <c r="C9" i="10"/>
  <c r="D33" i="10" l="1"/>
  <c r="D32" i="10"/>
  <c r="D8" i="10"/>
  <c r="C32" i="10"/>
  <c r="C8" i="10"/>
  <c r="C33" i="10"/>
</calcChain>
</file>

<file path=xl/sharedStrings.xml><?xml version="1.0" encoding="utf-8"?>
<sst xmlns="http://schemas.openxmlformats.org/spreadsheetml/2006/main" count="703" uniqueCount="316">
  <si>
    <t>FI EOD  Steps :</t>
  </si>
  <si>
    <t xml:space="preserve">Extract Data from Kinetix 'Bond Activity Blotter' </t>
  </si>
  <si>
    <t>Copy whole except last row (total count row in grey colour)</t>
  </si>
  <si>
    <t>Paste in to K:\CommTrackData\Confirmation Data\FI\2016\March\31 (Raw report data - Raw data sheet)</t>
  </si>
  <si>
    <t>Again copy kinetix extract data and paste in 'Delet strike through macro'</t>
  </si>
  <si>
    <t>Run macro - Alt +F8</t>
  </si>
  <si>
    <t>After run-macro completed copy whole data of delete strike macro and paste in K:\CommTrackData\Confirmation Data\FI\2016\March\31 (Raw report data - Shorted Data sheet)</t>
  </si>
  <si>
    <t>Copy Run-macro data and paste it on the Kinetix extract then drag down to delete strike through/ cancel /Voided trades from the extract data.</t>
  </si>
  <si>
    <t>Save data in  path E:\Satyavrat Upadhyay\FI\FI EOD Macro</t>
  </si>
  <si>
    <t>Close extracrted data  file without saving and close Raw data sheet of commtrack after saving it.</t>
  </si>
  <si>
    <t>Go to folder were EOD macro is saved - open macro and click on Button1 to run the macro.</t>
  </si>
  <si>
    <t>After running macro close it and open the final Pivot table.</t>
  </si>
  <si>
    <t>Go to Sorted Data and add the E confirm  trades  count in EOD Pivot table</t>
  </si>
  <si>
    <t>Add total late trades booked in Omgeo and manual/Oasys in EOD file.</t>
  </si>
  <si>
    <t>Total late unconfirmed trades and normal unconfirmed trades in EOD Pivot file.</t>
  </si>
  <si>
    <t>Check if any trades is pending for allocation or any trade is system status confirmed add their count in respective coloumns.</t>
  </si>
  <si>
    <t>Add the counts in coloumns of EOD file from the pivot table which is created at the time of runnig EOD micro</t>
  </si>
  <si>
    <t>Add comments to unconfiurmed trades and paste in Eod mail</t>
  </si>
  <si>
    <t>After pasting all the unconfirmed trades with comments added to them we have paste pivot tabale in the Email</t>
  </si>
  <si>
    <t>Kinetix Raw Data File Path</t>
  </si>
  <si>
    <t>Final Status</t>
  </si>
  <si>
    <t>Oasys Status</t>
  </si>
  <si>
    <t>Confirmed</t>
  </si>
  <si>
    <t>Manual</t>
  </si>
  <si>
    <t>Booked</t>
  </si>
  <si>
    <t>Pending</t>
  </si>
  <si>
    <t>BROKERTEC ACTIVE</t>
  </si>
  <si>
    <t>BROKERTEC PASSIVE</t>
  </si>
  <si>
    <t>INTERNAL TRANSFER</t>
  </si>
  <si>
    <t>NO BROKER SEND</t>
  </si>
  <si>
    <t>NO CHARGE BROKER</t>
  </si>
  <si>
    <t>Counter Party Name</t>
  </si>
  <si>
    <t xml:space="preserve">add/remove status </t>
  </si>
  <si>
    <t>Final status</t>
  </si>
  <si>
    <t>BARCLAYS PB MOVE</t>
  </si>
  <si>
    <t>Oasys</t>
  </si>
  <si>
    <t>BROKERTEC</t>
  </si>
  <si>
    <t>Omgeo</t>
  </si>
  <si>
    <t>OnHold</t>
  </si>
  <si>
    <t>NEWEDGE PB MOVE</t>
  </si>
  <si>
    <t>MBSCC ALLOCATIONS</t>
  </si>
  <si>
    <t>Bony PB MOVE</t>
  </si>
  <si>
    <t>CORPORATE ACTION</t>
  </si>
  <si>
    <t>MERRIL LYNCH PB MOVE</t>
  </si>
  <si>
    <t>MERRILL LYNCH PROFESSIONAL CLEARING</t>
  </si>
  <si>
    <t>Grand Total</t>
  </si>
  <si>
    <t>Count of Final Status</t>
  </si>
  <si>
    <t>Market</t>
  </si>
  <si>
    <t>(blank)</t>
  </si>
  <si>
    <t>E-Confirmed Count:</t>
  </si>
  <si>
    <t>After running macro we add E-confirmed count manaully using sorted data sheet (Separet for ABS and Treasury Trades)</t>
  </si>
  <si>
    <t>Late Trades Count :(Trades which booked after 5pm EST)</t>
  </si>
  <si>
    <t>We change date format in Time &gt; Final Pivot Table&gt; Process Data&gt; Insert time</t>
  </si>
  <si>
    <t>a.</t>
  </si>
  <si>
    <t>b.</t>
  </si>
  <si>
    <t>c.</t>
  </si>
  <si>
    <t>Arranging and adding total late trades (Confirmed + Unconfimred) after 5pm EST in EOD count (CTM, ABS Manual/Oasys)</t>
  </si>
  <si>
    <t>Adding unconfirmed late trades in EOD Sheet through&gt; Pivot Table&gt; Mail (CTM, ABS Manual/Oasys)</t>
  </si>
  <si>
    <t>System Status Confirmed</t>
  </si>
  <si>
    <t>Pivot Table&gt; Mail &gt; System Status &gt; Confirmed</t>
  </si>
  <si>
    <t>For for GOV(Treasuries)</t>
  </si>
  <si>
    <t>we mention as confirmed in EOD sheet and add to count directly, we delete trades from mail sheet</t>
  </si>
  <si>
    <t>For ABS trades</t>
  </si>
  <si>
    <t>Before deleting trades from mail sheet, we need to show Final status as confirmed in below sheets</t>
  </si>
  <si>
    <t>Proccess Data&gt; Final Status&gt; Confirmed</t>
  </si>
  <si>
    <t>Sorted Data &gt; Final Status&gt; Confirmed</t>
  </si>
  <si>
    <t>Raw Data &gt;Final Status&gt; Confirmed</t>
  </si>
  <si>
    <t>Adding Counts in EOD Sheet</t>
  </si>
  <si>
    <t>After all above proccess we add total trades count (Confirmed +Unconfirmed) as below</t>
  </si>
  <si>
    <t xml:space="preserve"> Final Pivot table &gt;Pivot sheet&gt; ad Market tab to Report Filter</t>
  </si>
  <si>
    <t>ABS Trades &gt; Market Tab &gt; select US ABS&gt; add count</t>
  </si>
  <si>
    <t>CTM/Omgeo count &gt; Market Tab &gt; remove US ABS&gt; add count</t>
  </si>
  <si>
    <t>Manual/Oasys &gt;</t>
  </si>
  <si>
    <t>Summary Statistics - Fixed Income T0 Confirmation for 06 June 2016 - 10 June 2016</t>
  </si>
  <si>
    <t>Metrics</t>
  </si>
  <si>
    <t>WTD</t>
  </si>
  <si>
    <t>MTD</t>
  </si>
  <si>
    <t>Bonds Oasys</t>
  </si>
  <si>
    <t>Mort Oasys</t>
  </si>
  <si>
    <t>Bonds CTM</t>
  </si>
  <si>
    <t>Daily Confirmation Rate - All Bonds and Mortgages T+0</t>
  </si>
  <si>
    <t>Daily Confirmation Rate - All Bonds and Mortgages (Excluding Unconfirmed Late Trades) T+0</t>
  </si>
  <si>
    <t>Daily Confirmation Rate (T+0)</t>
  </si>
  <si>
    <t>Daily Confirmation Rate (Excluding Unconfirmed Late Trades) T+0</t>
  </si>
  <si>
    <t>Updated Daily Confirmation Rate (T+1)</t>
  </si>
  <si>
    <t xml:space="preserve">Total No. of Trades </t>
  </si>
  <si>
    <t>A) Oasys Accepted</t>
  </si>
  <si>
    <t>B) Manual Accepted (Oasys eligible)</t>
  </si>
  <si>
    <t>C) Manual Accepted (Manual trades)</t>
  </si>
  <si>
    <t>D) Rejected</t>
  </si>
  <si>
    <t>E) CNCLD</t>
  </si>
  <si>
    <t>F) Alloc</t>
  </si>
  <si>
    <t>G) On Hold</t>
  </si>
  <si>
    <t>A) Matched</t>
  </si>
  <si>
    <t>B) Manually accepted/Cancel</t>
  </si>
  <si>
    <t xml:space="preserve">C) Open - O/S Blocks  </t>
  </si>
  <si>
    <t>D) Open - Broker Alleged (Rejected status (actioned))</t>
  </si>
  <si>
    <t>E) Open - Broker Alleged (Outstanding)</t>
  </si>
  <si>
    <t xml:space="preserve">Total O/S Trades </t>
  </si>
  <si>
    <t xml:space="preserve">CP with most O/S trades (Bonds &amp; Mortgages (Oasys))                         </t>
  </si>
  <si>
    <t>A)  JPM</t>
  </si>
  <si>
    <t>B) Mizuho</t>
  </si>
  <si>
    <t>C) BGC</t>
  </si>
  <si>
    <t>Total Unconfirmed Trades -</t>
  </si>
  <si>
    <t>Trades unconfirmed booked after 5 PM (GMT and EST)</t>
  </si>
  <si>
    <t>Other Trades Unconfirmed</t>
  </si>
  <si>
    <t>Total Late Trades (Bonds (Oasys) &amp; Mortgages (Oasys))</t>
  </si>
  <si>
    <t>Daily Confirmation Rate (Late Trades)</t>
  </si>
  <si>
    <t>NA</t>
  </si>
  <si>
    <t>Percentage of Late Trades confirmed against overall Trades</t>
  </si>
  <si>
    <t>Manual Acceptance Rate</t>
  </si>
  <si>
    <t>Total Trades with Disputes</t>
  </si>
  <si>
    <t>Total no of E-Confirmed trades</t>
  </si>
  <si>
    <t>Bonds (Oasys) specific row</t>
  </si>
  <si>
    <t>Bonds (CTM) specific rows</t>
  </si>
  <si>
    <t>Murex Id</t>
  </si>
  <si>
    <t>System</t>
  </si>
  <si>
    <t>Product Type</t>
  </si>
  <si>
    <t>Trader</t>
  </si>
  <si>
    <t>Account</t>
  </si>
  <si>
    <t>Trade Date</t>
  </si>
  <si>
    <t>Symbol</t>
  </si>
  <si>
    <t>Quantity</t>
  </si>
  <si>
    <t>Price</t>
  </si>
  <si>
    <t>Settle Date</t>
  </si>
  <si>
    <t>Side</t>
  </si>
  <si>
    <t>System Status</t>
  </si>
  <si>
    <t>Insert Time</t>
  </si>
  <si>
    <t>Comment</t>
  </si>
  <si>
    <t>omgeo</t>
  </si>
  <si>
    <t>manual</t>
  </si>
  <si>
    <t>Counter Party</t>
  </si>
  <si>
    <t>M</t>
  </si>
  <si>
    <t>oasys</t>
  </si>
  <si>
    <t>(Multiple Items)</t>
  </si>
  <si>
    <t>CITIBANK PB MOVE</t>
  </si>
  <si>
    <t xml:space="preserve">EOD Report merge Cells </t>
  </si>
  <si>
    <t>DATE</t>
  </si>
  <si>
    <t>Bond Oasys</t>
  </si>
  <si>
    <t>Bond CTM</t>
  </si>
  <si>
    <t>C</t>
  </si>
  <si>
    <t>D</t>
  </si>
  <si>
    <t>E</t>
  </si>
  <si>
    <t>G</t>
  </si>
  <si>
    <t>H</t>
  </si>
  <si>
    <t>I</t>
  </si>
  <si>
    <t>K</t>
  </si>
  <si>
    <t>L</t>
  </si>
  <si>
    <t>O</t>
  </si>
  <si>
    <t>P</t>
  </si>
  <si>
    <t>Q</t>
  </si>
  <si>
    <t>X</t>
  </si>
  <si>
    <t>Y</t>
  </si>
  <si>
    <t>Z</t>
  </si>
  <si>
    <t>AB</t>
  </si>
  <si>
    <t>AC</t>
  </si>
  <si>
    <t>AD</t>
  </si>
  <si>
    <t>AK</t>
  </si>
  <si>
    <t>AL</t>
  </si>
  <si>
    <t>AM</t>
  </si>
  <si>
    <t>AO</t>
  </si>
  <si>
    <t>AP</t>
  </si>
  <si>
    <t>AQ</t>
  </si>
  <si>
    <t>AX</t>
  </si>
  <si>
    <t>AY</t>
  </si>
  <si>
    <t>AZ</t>
  </si>
  <si>
    <t>BB</t>
  </si>
  <si>
    <t>BC</t>
  </si>
  <si>
    <t>BD</t>
  </si>
  <si>
    <t>BK</t>
  </si>
  <si>
    <t>BL</t>
  </si>
  <si>
    <t>BM</t>
  </si>
  <si>
    <t>BO</t>
  </si>
  <si>
    <t>BP</t>
  </si>
  <si>
    <t>BQ</t>
  </si>
  <si>
    <t>BS</t>
  </si>
  <si>
    <t>BT</t>
  </si>
  <si>
    <t>BU</t>
  </si>
  <si>
    <t>CB</t>
  </si>
  <si>
    <t>CC</t>
  </si>
  <si>
    <t>CD</t>
  </si>
  <si>
    <t>CF</t>
  </si>
  <si>
    <t>CG</t>
  </si>
  <si>
    <t>CH</t>
  </si>
  <si>
    <t>CO</t>
  </si>
  <si>
    <t>CP</t>
  </si>
  <si>
    <t>CQ</t>
  </si>
  <si>
    <t>CS</t>
  </si>
  <si>
    <t>CT</t>
  </si>
  <si>
    <t>CU</t>
  </si>
  <si>
    <t>CW</t>
  </si>
  <si>
    <t>CX</t>
  </si>
  <si>
    <t>CY</t>
  </si>
  <si>
    <t>DF</t>
  </si>
  <si>
    <t>DG</t>
  </si>
  <si>
    <t>DH</t>
  </si>
  <si>
    <t>DJ</t>
  </si>
  <si>
    <t>DK</t>
  </si>
  <si>
    <t>DL</t>
  </si>
  <si>
    <t>DS</t>
  </si>
  <si>
    <t>DT</t>
  </si>
  <si>
    <t>Hide Column</t>
  </si>
  <si>
    <t>F</t>
  </si>
  <si>
    <t>J</t>
  </si>
  <si>
    <t>N</t>
  </si>
  <si>
    <t>R</t>
  </si>
  <si>
    <t>S</t>
  </si>
  <si>
    <t>T</t>
  </si>
  <si>
    <t>U</t>
  </si>
  <si>
    <t>V</t>
  </si>
  <si>
    <t>W</t>
  </si>
  <si>
    <t>AA</t>
  </si>
  <si>
    <t>AE</t>
  </si>
  <si>
    <t>AF</t>
  </si>
  <si>
    <t>AG</t>
  </si>
  <si>
    <t>AH</t>
  </si>
  <si>
    <t>AI</t>
  </si>
  <si>
    <t>AJ</t>
  </si>
  <si>
    <t>AN</t>
  </si>
  <si>
    <t>AR</t>
  </si>
  <si>
    <t>AS</t>
  </si>
  <si>
    <t>AT</t>
  </si>
  <si>
    <t>AU</t>
  </si>
  <si>
    <t>AV</t>
  </si>
  <si>
    <t>AW</t>
  </si>
  <si>
    <t>BA</t>
  </si>
  <si>
    <t>BE</t>
  </si>
  <si>
    <t>BF</t>
  </si>
  <si>
    <t>BG</t>
  </si>
  <si>
    <t>BH</t>
  </si>
  <si>
    <t>BI</t>
  </si>
  <si>
    <t>BJ</t>
  </si>
  <si>
    <t>BN</t>
  </si>
  <si>
    <t>BR</t>
  </si>
  <si>
    <t>BV</t>
  </si>
  <si>
    <t>BW</t>
  </si>
  <si>
    <t>BX</t>
  </si>
  <si>
    <t>BY</t>
  </si>
  <si>
    <t>BZ</t>
  </si>
  <si>
    <t>CA</t>
  </si>
  <si>
    <t>CE</t>
  </si>
  <si>
    <t>CI</t>
  </si>
  <si>
    <t>CJ</t>
  </si>
  <si>
    <t>CK</t>
  </si>
  <si>
    <t>CL</t>
  </si>
  <si>
    <t>CM</t>
  </si>
  <si>
    <t>CN</t>
  </si>
  <si>
    <t>CR</t>
  </si>
  <si>
    <t>CV</t>
  </si>
  <si>
    <t>CZ</t>
  </si>
  <si>
    <t>DA</t>
  </si>
  <si>
    <t>DB</t>
  </si>
  <si>
    <t>DC</t>
  </si>
  <si>
    <t>DD</t>
  </si>
  <si>
    <t>DE</t>
  </si>
  <si>
    <t>DI</t>
  </si>
  <si>
    <t>DM</t>
  </si>
  <si>
    <t>DN</t>
  </si>
  <si>
    <t>DO</t>
  </si>
  <si>
    <t>DP</t>
  </si>
  <si>
    <t>DQ</t>
  </si>
  <si>
    <t>BONY SEG</t>
  </si>
  <si>
    <t>Hi,</t>
  </si>
  <si>
    <t>Bonds (Kinetix)</t>
  </si>
  <si>
    <t>Open – Unconfirmed</t>
  </si>
  <si>
    <t>Bonds (CTM)</t>
  </si>
  <si>
    <r>
      <t xml:space="preserve">Open – Unconfirmed </t>
    </r>
    <r>
      <rPr>
        <i/>
        <sz val="10"/>
        <color theme="1"/>
        <rFont val="Calibri"/>
        <family val="2"/>
      </rPr>
      <t>(With reference to the Kinetix)</t>
    </r>
  </si>
  <si>
    <t>Open – Broker Alleged (CTM)</t>
  </si>
  <si>
    <t>Brokers Alleged Trades</t>
  </si>
  <si>
    <t>DR</t>
  </si>
  <si>
    <t>YTD</t>
  </si>
  <si>
    <t xml:space="preserve"> </t>
  </si>
  <si>
    <t>Mx Package Id</t>
  </si>
  <si>
    <t>Portfolio Group</t>
  </si>
  <si>
    <t>Yield</t>
  </si>
  <si>
    <t>Net Cash</t>
  </si>
  <si>
    <t>Currency</t>
  </si>
  <si>
    <t>Description</t>
  </si>
  <si>
    <t>CTM Id</t>
  </si>
  <si>
    <t>CTM Status</t>
  </si>
  <si>
    <t>Oasys Id</t>
  </si>
  <si>
    <t>Portfolio</t>
  </si>
  <si>
    <t>System Reason</t>
  </si>
  <si>
    <t>Final Reason</t>
  </si>
  <si>
    <t>User</t>
  </si>
  <si>
    <t>TradeOut Timestamp</t>
  </si>
  <si>
    <t>System Id</t>
  </si>
  <si>
    <t>Update Time</t>
  </si>
  <si>
    <t>Shadow Status</t>
  </si>
  <si>
    <t>Factor</t>
  </si>
  <si>
    <t>N:\Swapnil\Automation Projects\# 5 FI EOD Recap\BondActivityBlotter_20180226_11_05_06.xls</t>
  </si>
  <si>
    <t>Broker Alledged File Path</t>
  </si>
  <si>
    <t>Master Ref</t>
  </si>
  <si>
    <t>Match Agrd</t>
  </si>
  <si>
    <t>Block Status</t>
  </si>
  <si>
    <t>Exec Broker</t>
  </si>
  <si>
    <t>Sec Code</t>
  </si>
  <si>
    <t>B/S</t>
  </si>
  <si>
    <t>Qty</t>
  </si>
  <si>
    <t>Trade Curr</t>
  </si>
  <si>
    <t>Total Trd Amt</t>
  </si>
  <si>
    <t>Block Rej</t>
  </si>
  <si>
    <t>A) -</t>
  </si>
  <si>
    <t>B) -</t>
  </si>
  <si>
    <t>C) -</t>
  </si>
  <si>
    <t>Kinetics File headers to keep</t>
  </si>
  <si>
    <t>Outstanding Trades</t>
  </si>
  <si>
    <t>The following are details for outstanding trades at EOD for 26th February 2018.</t>
  </si>
  <si>
    <t>EOD macro - Processing Data headers to keep</t>
  </si>
  <si>
    <t>Broker</t>
  </si>
  <si>
    <t>Net Amount</t>
  </si>
  <si>
    <t>Processing Data Header (Actual by default)</t>
  </si>
  <si>
    <t>N:\Swapnil\Automation Projects\#5 FI EOD Recap\New\input files\BondActivityBlotter_20180306_11_57_10.xls</t>
  </si>
  <si>
    <t>Report Date</t>
  </si>
  <si>
    <t>Outstanding Trade File Path</t>
  </si>
  <si>
    <t>G:\d drive data\MY CAREER\vba\My Projects\Macros\Eclerx Projects\#2 FI EOD Recap\input files\BondActivityBlotter_20180306_11_57_10.xls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</si>
</sst>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5" formatCode="mm/dd/yyyy\ h:mm:ss\ AM/PM"/>
  </numFmts>
  <fonts count="18" x14ac:knownFonts="1">
    <font>
      <sz val="11"/>
      <color theme="1"/>
      <name val="Calibri"/>
      <family val="2"/>
      <scheme val="minor"/>
    </font>
    <font>
      <b/>
      <sz val="12"/>
      <color theme="7" tint="-0.499984740745262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indexed="8"/>
      <name val="Calibri"/>
      <family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indexed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sz val="8"/>
      <color indexed="8"/>
      <name val="Calibri"/>
      <family val="2"/>
    </font>
    <font>
      <sz val="8"/>
      <name val="Tahoma"/>
      <family val="2"/>
    </font>
    <font>
      <b/>
      <u/>
      <sz val="9"/>
      <color theme="1"/>
      <name val="Calibri"/>
      <family val="2"/>
    </font>
    <font>
      <sz val="11"/>
      <color theme="1"/>
      <name val="Calibri"/>
      <family val="2"/>
    </font>
    <font>
      <b/>
      <u/>
      <sz val="10"/>
      <color theme="1"/>
      <name val="Calibri"/>
      <family val="2"/>
    </font>
    <font>
      <i/>
      <sz val="10"/>
      <color theme="1"/>
      <name val="Calibri"/>
      <family val="2"/>
    </font>
    <font>
      <b/>
      <u/>
      <sz val="8"/>
      <color theme="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CF6B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8"/>
      </left>
      <right style="thin">
        <color indexed="8"/>
      </right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/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</borders>
  <cellStyleXfs count="2">
    <xf numFmtId="0" fontId="0" fillId="0" borderId="0"/>
    <xf numFmtId="0" fontId="2" fillId="0" borderId="0"/>
  </cellStyleXfs>
  <cellXfs count="191">
    <xf numFmtId="0" fontId="0" fillId="0" borderId="0" xfId="0"/>
    <xf numFmtId="0" fontId="0" fillId="0" borderId="0" xfId="0" applyBorder="1"/>
    <xf numFmtId="0" fontId="2" fillId="0" borderId="0" xfId="1"/>
    <xf numFmtId="0" fontId="2" fillId="0" borderId="4" xfId="1" applyBorder="1"/>
    <xf numFmtId="0" fontId="0" fillId="0" borderId="4" xfId="0" applyBorder="1"/>
    <xf numFmtId="0" fontId="2" fillId="0" borderId="4" xfId="1" applyFont="1" applyBorder="1"/>
    <xf numFmtId="0" fontId="0" fillId="0" borderId="5" xfId="0" applyBorder="1"/>
    <xf numFmtId="0" fontId="0" fillId="0" borderId="5" xfId="0" pivotButton="1" applyBorder="1"/>
    <xf numFmtId="0" fontId="0" fillId="0" borderId="7" xfId="0" applyBorder="1"/>
    <xf numFmtId="0" fontId="0" fillId="0" borderId="5" xfId="0" applyNumberFormat="1" applyBorder="1"/>
    <xf numFmtId="0" fontId="0" fillId="0" borderId="7" xfId="0" applyNumberFormat="1" applyBorder="1"/>
    <xf numFmtId="0" fontId="0" fillId="0" borderId="8" xfId="0" applyBorder="1"/>
    <xf numFmtId="0" fontId="0" fillId="0" borderId="8" xfId="0" applyNumberFormat="1" applyBorder="1"/>
    <xf numFmtId="0" fontId="0" fillId="0" borderId="9" xfId="0" applyNumberFormat="1" applyBorder="1"/>
    <xf numFmtId="0" fontId="0" fillId="0" borderId="10" xfId="0" applyBorder="1"/>
    <xf numFmtId="0" fontId="0" fillId="0" borderId="10" xfId="0" applyNumberFormat="1" applyBorder="1"/>
    <xf numFmtId="0" fontId="0" fillId="0" borderId="11" xfId="0" applyNumberFormat="1" applyBorder="1"/>
    <xf numFmtId="0" fontId="0" fillId="2" borderId="12" xfId="0" applyFill="1" applyBorder="1"/>
    <xf numFmtId="0" fontId="0" fillId="2" borderId="13" xfId="0" applyFill="1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 applyAlignment="1">
      <alignment horizontal="center" vertical="center"/>
    </xf>
    <xf numFmtId="0" fontId="0" fillId="0" borderId="11" xfId="0" pivotButton="1" applyBorder="1"/>
    <xf numFmtId="0" fontId="0" fillId="0" borderId="11" xfId="0" applyBorder="1"/>
    <xf numFmtId="0" fontId="3" fillId="3" borderId="4" xfId="1" applyFont="1" applyFill="1" applyBorder="1"/>
    <xf numFmtId="0" fontId="4" fillId="3" borderId="4" xfId="0" applyFont="1" applyFill="1" applyBorder="1"/>
    <xf numFmtId="0" fontId="0" fillId="0" borderId="17" xfId="0" applyFill="1" applyBorder="1" applyAlignment="1">
      <alignment horizontal="center" vertical="center"/>
    </xf>
    <xf numFmtId="0" fontId="6" fillId="0" borderId="0" xfId="0" applyFont="1" applyBorder="1"/>
    <xf numFmtId="0" fontId="5" fillId="2" borderId="19" xfId="0" applyFont="1" applyFill="1" applyBorder="1"/>
    <xf numFmtId="0" fontId="0" fillId="0" borderId="17" xfId="0" applyBorder="1"/>
    <xf numFmtId="0" fontId="0" fillId="0" borderId="17" xfId="0" applyBorder="1" applyAlignment="1">
      <alignment horizontal="center"/>
    </xf>
    <xf numFmtId="0" fontId="0" fillId="0" borderId="18" xfId="0" applyBorder="1"/>
    <xf numFmtId="0" fontId="0" fillId="0" borderId="0" xfId="0" applyAlignment="1"/>
    <xf numFmtId="0" fontId="7" fillId="4" borderId="19" xfId="0" applyFont="1" applyFill="1" applyBorder="1" applyAlignment="1">
      <alignment horizontal="center" wrapText="1"/>
    </xf>
    <xf numFmtId="0" fontId="7" fillId="4" borderId="20" xfId="0" applyFont="1" applyFill="1" applyBorder="1" applyAlignment="1">
      <alignment horizontal="center" wrapText="1"/>
    </xf>
    <xf numFmtId="0" fontId="7" fillId="4" borderId="13" xfId="0" applyFont="1" applyFill="1" applyBorder="1" applyAlignment="1">
      <alignment horizontal="center" wrapText="1"/>
    </xf>
    <xf numFmtId="0" fontId="7" fillId="5" borderId="19" xfId="0" applyFont="1" applyFill="1" applyBorder="1" applyAlignment="1">
      <alignment horizontal="center" vertical="center"/>
    </xf>
    <xf numFmtId="0" fontId="8" fillId="5" borderId="18" xfId="0" applyFont="1" applyFill="1" applyBorder="1" applyAlignment="1">
      <alignment vertical="center"/>
    </xf>
    <xf numFmtId="0" fontId="8" fillId="5" borderId="19" xfId="0" applyFont="1" applyFill="1" applyBorder="1" applyAlignment="1">
      <alignment vertical="center" wrapText="1"/>
    </xf>
    <xf numFmtId="0" fontId="8" fillId="5" borderId="19" xfId="0" applyFont="1" applyFill="1" applyBorder="1" applyAlignment="1">
      <alignment vertical="center"/>
    </xf>
    <xf numFmtId="10" fontId="7" fillId="0" borderId="19" xfId="0" applyNumberFormat="1" applyFont="1" applyFill="1" applyBorder="1" applyAlignment="1">
      <alignment horizontal="center"/>
    </xf>
    <xf numFmtId="10" fontId="7" fillId="5" borderId="19" xfId="0" applyNumberFormat="1" applyFont="1" applyFill="1" applyBorder="1" applyAlignment="1">
      <alignment horizontal="center"/>
    </xf>
    <xf numFmtId="0" fontId="8" fillId="5" borderId="21" xfId="0" applyFont="1" applyFill="1" applyBorder="1" applyAlignment="1">
      <alignment vertical="center"/>
    </xf>
    <xf numFmtId="0" fontId="7" fillId="0" borderId="19" xfId="0" applyFont="1" applyFill="1" applyBorder="1" applyAlignment="1">
      <alignment horizontal="center"/>
    </xf>
    <xf numFmtId="0" fontId="7" fillId="0" borderId="13" xfId="0" applyFont="1" applyFill="1" applyBorder="1" applyAlignment="1">
      <alignment horizontal="center"/>
    </xf>
    <xf numFmtId="0" fontId="7" fillId="5" borderId="19" xfId="0" applyFont="1" applyFill="1" applyBorder="1" applyAlignment="1">
      <alignment horizontal="center"/>
    </xf>
    <xf numFmtId="0" fontId="9" fillId="5" borderId="17" xfId="0" applyFont="1" applyFill="1" applyBorder="1" applyAlignment="1">
      <alignment vertical="center" wrapText="1"/>
    </xf>
    <xf numFmtId="0" fontId="10" fillId="0" borderId="19" xfId="0" applyFont="1" applyFill="1" applyBorder="1" applyAlignment="1">
      <alignment horizontal="center"/>
    </xf>
    <xf numFmtId="0" fontId="10" fillId="5" borderId="19" xfId="0" applyFont="1" applyFill="1" applyBorder="1" applyAlignment="1">
      <alignment horizontal="center"/>
    </xf>
    <xf numFmtId="0" fontId="9" fillId="7" borderId="17" xfId="0" applyFont="1" applyFill="1" applyBorder="1" applyAlignment="1">
      <alignment vertical="center" wrapText="1"/>
    </xf>
    <xf numFmtId="0" fontId="9" fillId="8" borderId="17" xfId="0" applyFont="1" applyFill="1" applyBorder="1" applyAlignment="1">
      <alignment vertical="center" wrapText="1"/>
    </xf>
    <xf numFmtId="0" fontId="9" fillId="8" borderId="18" xfId="0" applyFont="1" applyFill="1" applyBorder="1" applyAlignment="1">
      <alignment vertical="center" wrapText="1"/>
    </xf>
    <xf numFmtId="0" fontId="9" fillId="5" borderId="18" xfId="0" applyFont="1" applyFill="1" applyBorder="1" applyAlignment="1">
      <alignment vertical="center" wrapText="1"/>
    </xf>
    <xf numFmtId="0" fontId="9" fillId="5" borderId="25" xfId="0" applyFont="1" applyFill="1" applyBorder="1" applyAlignment="1">
      <alignment vertical="center"/>
    </xf>
    <xf numFmtId="10" fontId="10" fillId="0" borderId="19" xfId="0" applyNumberFormat="1" applyFont="1" applyFill="1" applyBorder="1" applyAlignment="1">
      <alignment horizontal="center"/>
    </xf>
    <xf numFmtId="10" fontId="10" fillId="5" borderId="19" xfId="0" applyNumberFormat="1" applyFont="1" applyFill="1" applyBorder="1" applyAlignment="1">
      <alignment horizontal="center"/>
    </xf>
    <xf numFmtId="0" fontId="9" fillId="5" borderId="27" xfId="0" applyFont="1" applyFill="1" applyBorder="1" applyAlignment="1">
      <alignment vertical="center"/>
    </xf>
    <xf numFmtId="0" fontId="7" fillId="5" borderId="21" xfId="0" applyFont="1" applyFill="1" applyBorder="1" applyAlignment="1">
      <alignment horizontal="center" vertical="center"/>
    </xf>
    <xf numFmtId="0" fontId="8" fillId="5" borderId="17" xfId="0" applyFont="1" applyFill="1" applyBorder="1" applyAlignment="1">
      <alignment vertical="center"/>
    </xf>
    <xf numFmtId="0" fontId="7" fillId="0" borderId="19" xfId="0" applyFont="1" applyFill="1" applyBorder="1" applyAlignment="1">
      <alignment horizontal="center" vertical="center"/>
    </xf>
    <xf numFmtId="0" fontId="8" fillId="0" borderId="19" xfId="0" applyFont="1" applyFill="1" applyBorder="1" applyAlignment="1">
      <alignment vertical="center"/>
    </xf>
    <xf numFmtId="0" fontId="10" fillId="5" borderId="0" xfId="0" applyFont="1" applyFill="1"/>
    <xf numFmtId="0" fontId="10" fillId="0" borderId="0" xfId="0" applyFont="1" applyFill="1"/>
    <xf numFmtId="0" fontId="11" fillId="5" borderId="0" xfId="0" applyFont="1" applyFill="1"/>
    <xf numFmtId="0" fontId="10" fillId="7" borderId="19" xfId="0" applyFont="1" applyFill="1" applyBorder="1"/>
    <xf numFmtId="0" fontId="10" fillId="5" borderId="0" xfId="0" applyFont="1" applyFill="1" applyAlignment="1">
      <alignment horizontal="center"/>
    </xf>
    <xf numFmtId="0" fontId="10" fillId="8" borderId="18" xfId="0" applyFont="1" applyFill="1" applyBorder="1"/>
    <xf numFmtId="0" fontId="0" fillId="5" borderId="0" xfId="0" applyFill="1"/>
    <xf numFmtId="0" fontId="8" fillId="9" borderId="21" xfId="0" applyFont="1" applyFill="1" applyBorder="1" applyAlignment="1">
      <alignment vertical="center"/>
    </xf>
    <xf numFmtId="0" fontId="9" fillId="9" borderId="17" xfId="0" applyFont="1" applyFill="1" applyBorder="1" applyAlignment="1">
      <alignment vertical="center"/>
    </xf>
    <xf numFmtId="0" fontId="8" fillId="9" borderId="23" xfId="0" applyFont="1" applyFill="1" applyBorder="1" applyAlignment="1">
      <alignment vertical="center"/>
    </xf>
    <xf numFmtId="0" fontId="0" fillId="0" borderId="29" xfId="0" applyBorder="1"/>
    <xf numFmtId="0" fontId="0" fillId="0" borderId="30" xfId="0" applyBorder="1"/>
    <xf numFmtId="0" fontId="0" fillId="0" borderId="31" xfId="0" pivotButton="1" applyBorder="1"/>
    <xf numFmtId="0" fontId="0" fillId="0" borderId="31" xfId="0" applyBorder="1"/>
    <xf numFmtId="0" fontId="0" fillId="0" borderId="6" xfId="0" applyBorder="1"/>
    <xf numFmtId="10" fontId="7" fillId="0" borderId="20" xfId="0" applyNumberFormat="1" applyFont="1" applyFill="1" applyBorder="1" applyAlignment="1">
      <alignment horizontal="center"/>
    </xf>
    <xf numFmtId="10" fontId="7" fillId="0" borderId="13" xfId="0" applyNumberFormat="1" applyFont="1" applyFill="1" applyBorder="1" applyAlignment="1">
      <alignment horizontal="center"/>
    </xf>
    <xf numFmtId="0" fontId="7" fillId="0" borderId="12" xfId="0" applyFont="1" applyFill="1" applyBorder="1" applyAlignment="1">
      <alignment horizontal="center"/>
    </xf>
    <xf numFmtId="0" fontId="10" fillId="0" borderId="20" xfId="0" applyFont="1" applyFill="1" applyBorder="1" applyAlignment="1">
      <alignment horizontal="center"/>
    </xf>
    <xf numFmtId="0" fontId="7" fillId="0" borderId="20" xfId="0" applyFont="1" applyFill="1" applyBorder="1" applyAlignment="1">
      <alignment horizontal="center"/>
    </xf>
    <xf numFmtId="10" fontId="10" fillId="0" borderId="20" xfId="0" applyNumberFormat="1" applyFont="1" applyFill="1" applyBorder="1" applyAlignment="1">
      <alignment horizontal="center"/>
    </xf>
    <xf numFmtId="0" fontId="10" fillId="0" borderId="13" xfId="0" applyFont="1" applyFill="1" applyBorder="1" applyAlignment="1">
      <alignment horizontal="center"/>
    </xf>
    <xf numFmtId="10" fontId="10" fillId="0" borderId="13" xfId="0" applyNumberFormat="1" applyFont="1" applyFill="1" applyBorder="1" applyAlignment="1">
      <alignment horizontal="center"/>
    </xf>
    <xf numFmtId="14" fontId="7" fillId="4" borderId="21" xfId="0" applyNumberFormat="1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 wrapText="1"/>
    </xf>
    <xf numFmtId="0" fontId="7" fillId="4" borderId="18" xfId="0" applyFont="1" applyFill="1" applyBorder="1" applyAlignment="1">
      <alignment horizontal="center" wrapText="1"/>
    </xf>
    <xf numFmtId="14" fontId="2" fillId="0" borderId="0" xfId="1" applyNumberFormat="1"/>
    <xf numFmtId="14" fontId="2" fillId="0" borderId="4" xfId="1" applyNumberFormat="1" applyBorder="1"/>
    <xf numFmtId="49" fontId="12" fillId="0" borderId="28" xfId="0" applyNumberFormat="1" applyFont="1" applyFill="1" applyBorder="1" applyAlignment="1" applyProtection="1">
      <alignment horizontal="left" vertical="center"/>
    </xf>
    <xf numFmtId="0" fontId="7" fillId="5" borderId="21" xfId="0" applyFont="1" applyFill="1" applyBorder="1" applyAlignment="1">
      <alignment horizontal="center" vertical="center"/>
    </xf>
    <xf numFmtId="0" fontId="7" fillId="4" borderId="18" xfId="0" applyFont="1" applyFill="1" applyBorder="1" applyAlignment="1">
      <alignment vertical="center"/>
    </xf>
    <xf numFmtId="0" fontId="7" fillId="5" borderId="21" xfId="0" applyFont="1" applyFill="1" applyBorder="1" applyAlignment="1">
      <alignment vertical="center"/>
    </xf>
    <xf numFmtId="0" fontId="7" fillId="5" borderId="17" xfId="0" applyFont="1" applyFill="1" applyBorder="1" applyAlignment="1">
      <alignment vertical="center"/>
    </xf>
    <xf numFmtId="0" fontId="7" fillId="5" borderId="18" xfId="0" applyFont="1" applyFill="1" applyBorder="1" applyAlignment="1">
      <alignment vertical="center"/>
    </xf>
    <xf numFmtId="0" fontId="7" fillId="5" borderId="22" xfId="0" applyFont="1" applyFill="1" applyBorder="1" applyAlignment="1">
      <alignment vertical="center"/>
    </xf>
    <xf numFmtId="0" fontId="7" fillId="5" borderId="24" xfId="0" applyFont="1" applyFill="1" applyBorder="1" applyAlignment="1">
      <alignment vertical="center"/>
    </xf>
    <xf numFmtId="0" fontId="7" fillId="5" borderId="26" xfId="0" applyFont="1" applyFill="1" applyBorder="1" applyAlignment="1">
      <alignment vertical="center"/>
    </xf>
    <xf numFmtId="0" fontId="9" fillId="5" borderId="17" xfId="0" applyFont="1" applyFill="1" applyBorder="1" applyAlignment="1">
      <alignment vertical="center"/>
    </xf>
    <xf numFmtId="0" fontId="9" fillId="7" borderId="17" xfId="0" applyFont="1" applyFill="1" applyBorder="1" applyAlignment="1">
      <alignment vertical="center"/>
    </xf>
    <xf numFmtId="0" fontId="9" fillId="8" borderId="17" xfId="0" applyFont="1" applyFill="1" applyBorder="1" applyAlignment="1">
      <alignment vertical="center"/>
    </xf>
    <xf numFmtId="0" fontId="9" fillId="8" borderId="18" xfId="0" applyFont="1" applyFill="1" applyBorder="1" applyAlignment="1">
      <alignment vertical="center"/>
    </xf>
    <xf numFmtId="0" fontId="9" fillId="5" borderId="18" xfId="0" applyFont="1" applyFill="1" applyBorder="1" applyAlignment="1">
      <alignment vertical="center"/>
    </xf>
    <xf numFmtId="0" fontId="10" fillId="5" borderId="0" xfId="0" applyFont="1" applyFill="1" applyAlignment="1"/>
    <xf numFmtId="0" fontId="10" fillId="7" borderId="19" xfId="0" applyFont="1" applyFill="1" applyBorder="1" applyAlignment="1"/>
    <xf numFmtId="0" fontId="10" fillId="8" borderId="18" xfId="0" applyFont="1" applyFill="1" applyBorder="1" applyAlignment="1"/>
    <xf numFmtId="10" fontId="7" fillId="6" borderId="20" xfId="0" applyNumberFormat="1" applyFont="1" applyFill="1" applyBorder="1" applyAlignment="1"/>
    <xf numFmtId="10" fontId="7" fillId="6" borderId="12" xfId="0" applyNumberFormat="1" applyFont="1" applyFill="1" applyBorder="1" applyAlignment="1"/>
    <xf numFmtId="10" fontId="7" fillId="6" borderId="13" xfId="0" applyNumberFormat="1" applyFont="1" applyFill="1" applyBorder="1" applyAlignment="1"/>
    <xf numFmtId="0" fontId="7" fillId="4" borderId="17" xfId="0" applyFont="1" applyFill="1" applyBorder="1" applyAlignment="1">
      <alignment vertical="center"/>
    </xf>
    <xf numFmtId="0" fontId="7" fillId="4" borderId="20" xfId="0" applyFont="1" applyFill="1" applyBorder="1" applyAlignment="1">
      <alignment vertical="center"/>
    </xf>
    <xf numFmtId="0" fontId="7" fillId="4" borderId="12" xfId="0" applyFont="1" applyFill="1" applyBorder="1" applyAlignment="1">
      <alignment vertical="center"/>
    </xf>
    <xf numFmtId="0" fontId="7" fillId="4" borderId="13" xfId="0" applyFont="1" applyFill="1" applyBorder="1" applyAlignment="1">
      <alignment vertical="center"/>
    </xf>
    <xf numFmtId="10" fontId="7" fillId="0" borderId="12" xfId="0" applyNumberFormat="1" applyFont="1" applyFill="1" applyBorder="1" applyAlignment="1"/>
    <xf numFmtId="10" fontId="7" fillId="0" borderId="13" xfId="0" applyNumberFormat="1" applyFont="1" applyFill="1" applyBorder="1" applyAlignment="1"/>
    <xf numFmtId="0" fontId="7" fillId="4" borderId="34" xfId="0" applyFont="1" applyFill="1" applyBorder="1" applyAlignment="1">
      <alignment vertical="center"/>
    </xf>
    <xf numFmtId="10" fontId="7" fillId="0" borderId="18" xfId="0" applyNumberFormat="1" applyFont="1" applyFill="1" applyBorder="1" applyAlignment="1">
      <alignment horizontal="center"/>
    </xf>
    <xf numFmtId="0" fontId="7" fillId="4" borderId="34" xfId="0" applyFont="1" applyFill="1" applyBorder="1" applyAlignment="1">
      <alignment horizontal="center" wrapText="1"/>
    </xf>
    <xf numFmtId="0" fontId="0" fillId="0" borderId="33" xfId="0" applyBorder="1"/>
    <xf numFmtId="10" fontId="7" fillId="0" borderId="15" xfId="0" applyNumberFormat="1" applyFont="1" applyFill="1" applyBorder="1" applyAlignment="1"/>
    <xf numFmtId="10" fontId="7" fillId="0" borderId="16" xfId="0" applyNumberFormat="1" applyFont="1" applyFill="1" applyBorder="1" applyAlignment="1"/>
    <xf numFmtId="0" fontId="0" fillId="0" borderId="20" xfId="0" applyBorder="1"/>
    <xf numFmtId="0" fontId="13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0" fillId="10" borderId="20" xfId="0" applyFill="1" applyBorder="1"/>
    <xf numFmtId="10" fontId="7" fillId="10" borderId="12" xfId="0" applyNumberFormat="1" applyFont="1" applyFill="1" applyBorder="1" applyAlignment="1"/>
    <xf numFmtId="10" fontId="7" fillId="10" borderId="13" xfId="0" applyNumberFormat="1" applyFont="1" applyFill="1" applyBorder="1" applyAlignment="1"/>
    <xf numFmtId="0" fontId="0" fillId="10" borderId="33" xfId="0" applyFill="1" applyBorder="1"/>
    <xf numFmtId="10" fontId="7" fillId="10" borderId="15" xfId="0" applyNumberFormat="1" applyFont="1" applyFill="1" applyBorder="1" applyAlignment="1"/>
    <xf numFmtId="10" fontId="7" fillId="10" borderId="16" xfId="0" applyNumberFormat="1" applyFont="1" applyFill="1" applyBorder="1" applyAlignment="1"/>
    <xf numFmtId="10" fontId="7" fillId="10" borderId="13" xfId="0" applyNumberFormat="1" applyFont="1" applyFill="1" applyBorder="1" applyAlignment="1">
      <alignment horizontal="center"/>
    </xf>
    <xf numFmtId="10" fontId="7" fillId="10" borderId="19" xfId="0" applyNumberFormat="1" applyFont="1" applyFill="1" applyBorder="1" applyAlignment="1">
      <alignment horizontal="center"/>
    </xf>
    <xf numFmtId="0" fontId="7" fillId="10" borderId="13" xfId="0" applyFont="1" applyFill="1" applyBorder="1" applyAlignment="1">
      <alignment horizontal="center"/>
    </xf>
    <xf numFmtId="0" fontId="10" fillId="10" borderId="13" xfId="0" applyFont="1" applyFill="1" applyBorder="1" applyAlignment="1">
      <alignment horizontal="center"/>
    </xf>
    <xf numFmtId="0" fontId="10" fillId="10" borderId="19" xfId="0" applyFont="1" applyFill="1" applyBorder="1" applyAlignment="1">
      <alignment horizontal="center"/>
    </xf>
    <xf numFmtId="0" fontId="7" fillId="10" borderId="19" xfId="0" applyFont="1" applyFill="1" applyBorder="1" applyAlignment="1">
      <alignment horizontal="center"/>
    </xf>
    <xf numFmtId="10" fontId="10" fillId="10" borderId="13" xfId="0" applyNumberFormat="1" applyFont="1" applyFill="1" applyBorder="1" applyAlignment="1">
      <alignment horizontal="center"/>
    </xf>
    <xf numFmtId="10" fontId="10" fillId="10" borderId="19" xfId="0" applyNumberFormat="1" applyFont="1" applyFill="1" applyBorder="1" applyAlignment="1">
      <alignment horizontal="center"/>
    </xf>
    <xf numFmtId="14" fontId="7" fillId="4" borderId="33" xfId="0" applyNumberFormat="1" applyFont="1" applyFill="1" applyBorder="1" applyAlignment="1"/>
    <xf numFmtId="14" fontId="7" fillId="4" borderId="15" xfId="0" applyNumberFormat="1" applyFont="1" applyFill="1" applyBorder="1" applyAlignment="1"/>
    <xf numFmtId="14" fontId="7" fillId="4" borderId="16" xfId="0" applyNumberFormat="1" applyFont="1" applyFill="1" applyBorder="1" applyAlignment="1"/>
    <xf numFmtId="0" fontId="7" fillId="4" borderId="33" xfId="0" applyFont="1" applyFill="1" applyBorder="1" applyAlignment="1"/>
    <xf numFmtId="0" fontId="7" fillId="4" borderId="15" xfId="0" applyFont="1" applyFill="1" applyBorder="1" applyAlignment="1"/>
    <xf numFmtId="0" fontId="7" fillId="4" borderId="16" xfId="0" applyFont="1" applyFill="1" applyBorder="1" applyAlignment="1"/>
    <xf numFmtId="0" fontId="10" fillId="11" borderId="19" xfId="0" applyFont="1" applyFill="1" applyBorder="1" applyAlignment="1">
      <alignment horizontal="center"/>
    </xf>
    <xf numFmtId="0" fontId="10" fillId="12" borderId="19" xfId="0" applyFont="1" applyFill="1" applyBorder="1" applyAlignment="1">
      <alignment horizontal="center"/>
    </xf>
    <xf numFmtId="49" fontId="12" fillId="0" borderId="35" xfId="0" applyNumberFormat="1" applyFont="1" applyFill="1" applyBorder="1" applyAlignment="1" applyProtection="1">
      <alignment horizontal="center" vertical="center"/>
    </xf>
    <xf numFmtId="49" fontId="12" fillId="0" borderId="36" xfId="0" applyNumberFormat="1" applyFont="1" applyFill="1" applyBorder="1" applyAlignment="1" applyProtection="1">
      <alignment horizontal="center" vertical="center"/>
    </xf>
    <xf numFmtId="49" fontId="12" fillId="0" borderId="0" xfId="0" applyNumberFormat="1" applyFont="1" applyFill="1" applyBorder="1" applyAlignment="1" applyProtection="1">
      <alignment horizontal="center" vertical="center"/>
    </xf>
    <xf numFmtId="49" fontId="12" fillId="0" borderId="4" xfId="0" applyNumberFormat="1" applyFont="1" applyFill="1" applyBorder="1" applyAlignment="1" applyProtection="1">
      <alignment horizontal="center" vertical="center"/>
    </xf>
    <xf numFmtId="49" fontId="12" fillId="0" borderId="37" xfId="0" applyNumberFormat="1" applyFont="1" applyFill="1" applyBorder="1" applyAlignment="1" applyProtection="1">
      <alignment horizontal="center" vertical="center"/>
    </xf>
    <xf numFmtId="0" fontId="3" fillId="13" borderId="4" xfId="1" applyFont="1" applyFill="1" applyBorder="1" applyAlignment="1">
      <alignment horizontal="center" wrapText="1"/>
    </xf>
    <xf numFmtId="0" fontId="3" fillId="11" borderId="4" xfId="1" applyFont="1" applyFill="1" applyBorder="1" applyAlignment="1">
      <alignment horizontal="center" wrapText="1"/>
    </xf>
    <xf numFmtId="164" fontId="12" fillId="14" borderId="28" xfId="0" applyNumberFormat="1" applyFont="1" applyFill="1" applyBorder="1" applyAlignment="1" applyProtection="1">
      <alignment horizontal="left" vertical="center"/>
    </xf>
    <xf numFmtId="164" fontId="0" fillId="14" borderId="0" xfId="0" applyNumberFormat="1" applyFill="1"/>
    <xf numFmtId="0" fontId="0" fillId="14" borderId="0" xfId="0" applyFill="1"/>
    <xf numFmtId="165" fontId="0" fillId="14" borderId="0" xfId="0" applyNumberFormat="1" applyFill="1"/>
    <xf numFmtId="0" fontId="0" fillId="15" borderId="0" xfId="0" applyFill="1"/>
    <xf numFmtId="0" fontId="0" fillId="15" borderId="0" xfId="0" applyFill="1" applyBorder="1"/>
    <xf numFmtId="0" fontId="6" fillId="15" borderId="0" xfId="0" applyFont="1" applyFill="1" applyAlignment="1">
      <alignment horizontal="right"/>
    </xf>
    <xf numFmtId="0" fontId="1" fillId="15" borderId="0" xfId="0" applyFont="1" applyFill="1"/>
    <xf numFmtId="14" fontId="0" fillId="15" borderId="4" xfId="0" applyNumberFormat="1" applyFill="1" applyBorder="1"/>
    <xf numFmtId="0" fontId="1" fillId="15" borderId="0" xfId="0" applyFont="1" applyFill="1" applyBorder="1"/>
    <xf numFmtId="14" fontId="0" fillId="15" borderId="0" xfId="0" applyNumberFormat="1" applyFill="1" applyBorder="1"/>
    <xf numFmtId="0" fontId="0" fillId="15" borderId="1" xfId="0" applyFill="1" applyBorder="1" applyAlignment="1">
      <alignment horizontal="left" vertical="top"/>
    </xf>
    <xf numFmtId="0" fontId="0" fillId="15" borderId="2" xfId="0" applyFill="1" applyBorder="1" applyAlignment="1">
      <alignment horizontal="left" vertical="top"/>
    </xf>
    <xf numFmtId="0" fontId="0" fillId="15" borderId="3" xfId="0" applyFill="1" applyBorder="1" applyAlignment="1">
      <alignment horizontal="left" vertical="top"/>
    </xf>
    <xf numFmtId="14" fontId="7" fillId="4" borderId="20" xfId="0" applyNumberFormat="1" applyFont="1" applyFill="1" applyBorder="1" applyAlignment="1">
      <alignment horizontal="center"/>
    </xf>
    <xf numFmtId="14" fontId="7" fillId="4" borderId="12" xfId="0" applyNumberFormat="1" applyFont="1" applyFill="1" applyBorder="1" applyAlignment="1">
      <alignment horizontal="center"/>
    </xf>
    <xf numFmtId="14" fontId="7" fillId="4" borderId="13" xfId="0" applyNumberFormat="1" applyFont="1" applyFill="1" applyBorder="1" applyAlignment="1">
      <alignment horizontal="center"/>
    </xf>
    <xf numFmtId="10" fontId="7" fillId="0" borderId="20" xfId="0" applyNumberFormat="1" applyFont="1" applyFill="1" applyBorder="1" applyAlignment="1">
      <alignment horizontal="center"/>
    </xf>
    <xf numFmtId="10" fontId="7" fillId="0" borderId="12" xfId="0" applyNumberFormat="1" applyFont="1" applyFill="1" applyBorder="1" applyAlignment="1">
      <alignment horizontal="center"/>
    </xf>
    <xf numFmtId="10" fontId="7" fillId="0" borderId="13" xfId="0" applyNumberFormat="1" applyFont="1" applyFill="1" applyBorder="1" applyAlignment="1">
      <alignment horizontal="center"/>
    </xf>
    <xf numFmtId="0" fontId="7" fillId="5" borderId="21" xfId="0" applyFont="1" applyFill="1" applyBorder="1" applyAlignment="1">
      <alignment horizontal="center" vertical="center"/>
    </xf>
    <xf numFmtId="0" fontId="7" fillId="5" borderId="17" xfId="0" applyFont="1" applyFill="1" applyBorder="1" applyAlignment="1">
      <alignment horizontal="center" vertical="center"/>
    </xf>
    <xf numFmtId="0" fontId="7" fillId="5" borderId="18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10" fontId="7" fillId="6" borderId="20" xfId="0" applyNumberFormat="1" applyFont="1" applyFill="1" applyBorder="1" applyAlignment="1">
      <alignment horizontal="center"/>
    </xf>
    <xf numFmtId="10" fontId="7" fillId="6" borderId="12" xfId="0" applyNumberFormat="1" applyFont="1" applyFill="1" applyBorder="1" applyAlignment="1">
      <alignment horizontal="center"/>
    </xf>
    <xf numFmtId="10" fontId="7" fillId="6" borderId="13" xfId="0" applyNumberFormat="1" applyFont="1" applyFill="1" applyBorder="1" applyAlignment="1">
      <alignment horizontal="center"/>
    </xf>
    <xf numFmtId="0" fontId="7" fillId="4" borderId="20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0" fontId="7" fillId="4" borderId="32" xfId="0" applyFont="1" applyFill="1" applyBorder="1" applyAlignment="1">
      <alignment horizontal="center"/>
    </xf>
    <xf numFmtId="0" fontId="7" fillId="4" borderId="13" xfId="0" applyFont="1" applyFill="1" applyBorder="1" applyAlignment="1">
      <alignment horizontal="center"/>
    </xf>
    <xf numFmtId="0" fontId="7" fillId="4" borderId="21" xfId="0" applyFont="1" applyFill="1" applyBorder="1" applyAlignment="1">
      <alignment horizontal="center" vertical="center"/>
    </xf>
    <xf numFmtId="0" fontId="7" fillId="4" borderId="18" xfId="0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9CF6B4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161926</xdr:colOff>
      <xdr:row>16</xdr:row>
      <xdr:rowOff>180975</xdr:rowOff>
    </xdr:from>
    <xdr:to>
      <xdr:col>1</xdr:col>
      <xdr:colOff>742950</xdr:colOff>
      <xdr:row>19</xdr:row>
      <xdr:rowOff>133350</xdr:rowOff>
    </xdr:to>
    <xdr:sp macro="[0]!DeleteStrikeThroughValues" textlink="">
      <xdr:nvSpPr>
        <xdr:cNvPr id="4" name="Rounded Rectangle 3"/>
        <xdr:cNvSpPr/>
      </xdr:nvSpPr>
      <xdr:spPr>
        <a:xfrm>
          <a:off x="161926" y="3276600"/>
          <a:ext cx="2514599" cy="523875"/>
        </a:xfrm>
        <a:prstGeom prst="round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ysClr val="windowText" lastClr="000000"/>
              </a:solidFill>
            </a:rPr>
            <a:t>FI EOD REPORT</a:t>
          </a:r>
        </a:p>
      </xdr:txBody>
    </xdr:sp>
    <xdr:clientData/>
  </xdr:twoCellAnchor>
  <xdr:twoCellAnchor editAs="absolute">
    <xdr:from>
      <xdr:col>10</xdr:col>
      <xdr:colOff>148106</xdr:colOff>
      <xdr:row>10</xdr:row>
      <xdr:rowOff>38100</xdr:rowOff>
    </xdr:from>
    <xdr:to>
      <xdr:col>10</xdr:col>
      <xdr:colOff>523318</xdr:colOff>
      <xdr:row>12</xdr:row>
      <xdr:rowOff>64725</xdr:rowOff>
    </xdr:to>
    <xdr:pic macro="[0]!BMPLfile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prstClr val="black"/>
            <a:schemeClr val="accent6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53831" y="1790700"/>
          <a:ext cx="375212" cy="36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oneCellAnchor>
    <xdr:from>
      <xdr:col>0</xdr:col>
      <xdr:colOff>9523</xdr:colOff>
      <xdr:row>0</xdr:row>
      <xdr:rowOff>2673</xdr:rowOff>
    </xdr:from>
    <xdr:ext cx="5876927" cy="768852"/>
    <xdr:sp macro="" textlink="">
      <xdr:nvSpPr>
        <xdr:cNvPr id="6" name="Rectangle 5"/>
        <xdr:cNvSpPr/>
      </xdr:nvSpPr>
      <xdr:spPr>
        <a:xfrm>
          <a:off x="9523" y="2673"/>
          <a:ext cx="5876927" cy="768852"/>
        </a:xfrm>
        <a:prstGeom prst="rect">
          <a:avLst/>
        </a:prstGeom>
        <a:solidFill>
          <a:schemeClr val="bg2"/>
        </a:solidFill>
      </xdr:spPr>
      <xdr:txBody>
        <a:bodyPr wrap="square" lIns="91440" tIns="45720" rIns="91440" bIns="45720">
          <a:noAutofit/>
        </a:bodyPr>
        <a:lstStyle/>
        <a:p>
          <a:pPr algn="l"/>
          <a:r>
            <a:rPr lang="en-US" sz="4000" b="0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  <a:latin typeface="Impact" panose="020B0806030902050204" pitchFamily="34" charset="0"/>
            </a:rPr>
            <a:t>FI EOD CASH REPORT MACRO</a:t>
          </a:r>
        </a:p>
      </xdr:txBody>
    </xdr:sp>
    <xdr:clientData/>
  </xdr:oneCellAnchor>
  <xdr:twoCellAnchor>
    <xdr:from>
      <xdr:col>5</xdr:col>
      <xdr:colOff>476250</xdr:colOff>
      <xdr:row>16</xdr:row>
      <xdr:rowOff>171450</xdr:rowOff>
    </xdr:from>
    <xdr:to>
      <xdr:col>10</xdr:col>
      <xdr:colOff>257175</xdr:colOff>
      <xdr:row>19</xdr:row>
      <xdr:rowOff>123825</xdr:rowOff>
    </xdr:to>
    <xdr:sp macro="[0]!MailDraft" textlink="">
      <xdr:nvSpPr>
        <xdr:cNvPr id="7" name="Rounded Rectangle 6"/>
        <xdr:cNvSpPr/>
      </xdr:nvSpPr>
      <xdr:spPr>
        <a:xfrm>
          <a:off x="5133975" y="3267075"/>
          <a:ext cx="2828925" cy="523875"/>
        </a:xfrm>
        <a:prstGeom prst="round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ysClr val="windowText" lastClr="000000"/>
              </a:solidFill>
            </a:rPr>
            <a:t>FI EOD MAIL</a:t>
          </a:r>
          <a:r>
            <a:rPr lang="en-US" sz="2000" b="1" baseline="0">
              <a:solidFill>
                <a:sysClr val="windowText" lastClr="000000"/>
              </a:solidFill>
            </a:rPr>
            <a:t> DRAFT</a:t>
          </a:r>
          <a:endParaRPr lang="en-US" sz="20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2</xdr:col>
      <xdr:colOff>133350</xdr:colOff>
      <xdr:row>16</xdr:row>
      <xdr:rowOff>133351</xdr:rowOff>
    </xdr:from>
    <xdr:to>
      <xdr:col>3</xdr:col>
      <xdr:colOff>295275</xdr:colOff>
      <xdr:row>20</xdr:row>
      <xdr:rowOff>8782</xdr:rowOff>
    </xdr:to>
    <xdr:pic macro="[0]!clear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0" y="3228976"/>
          <a:ext cx="771525" cy="646956"/>
        </a:xfrm>
        <a:prstGeom prst="ellipse">
          <a:avLst/>
        </a:prstGeom>
        <a:scene3d>
          <a:camera prst="orthographicFront"/>
          <a:lightRig rig="threePt" dir="t"/>
        </a:scene3d>
        <a:sp3d>
          <a:bevelT/>
        </a:sp3d>
      </xdr:spPr>
    </xdr:pic>
    <xdr:clientData/>
  </xdr:twoCellAnchor>
  <xdr:twoCellAnchor editAs="oneCell">
    <xdr:from>
      <xdr:col>4</xdr:col>
      <xdr:colOff>9526</xdr:colOff>
      <xdr:row>16</xdr:row>
      <xdr:rowOff>190499</xdr:rowOff>
    </xdr:from>
    <xdr:to>
      <xdr:col>5</xdr:col>
      <xdr:colOff>19050</xdr:colOff>
      <xdr:row>19</xdr:row>
      <xdr:rowOff>180974</xdr:rowOff>
    </xdr:to>
    <xdr:pic macro="[0]!Saveworkbook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7651" y="3286124"/>
          <a:ext cx="619124" cy="561975"/>
        </a:xfrm>
        <a:prstGeom prst="ellipse">
          <a:avLst/>
        </a:prstGeom>
        <a:ln w="38100">
          <a:solidFill>
            <a:schemeClr val="bg1">
              <a:lumMod val="75000"/>
            </a:schemeClr>
          </a:solidFill>
        </a:ln>
      </xdr:spPr>
    </xdr:pic>
    <xdr:clientData/>
  </xdr:twoCellAnchor>
  <xdr:twoCellAnchor editAs="absolute">
    <xdr:from>
      <xdr:col>2</xdr:col>
      <xdr:colOff>156628</xdr:colOff>
      <xdr:row>4</xdr:row>
      <xdr:rowOff>114300</xdr:rowOff>
    </xdr:from>
    <xdr:to>
      <xdr:col>2</xdr:col>
      <xdr:colOff>504825</xdr:colOff>
      <xdr:row>6</xdr:row>
      <xdr:rowOff>47624</xdr:rowOff>
    </xdr:to>
    <xdr:pic macro="[0]!Sheet1.Image_Date_Click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0778" y="876300"/>
          <a:ext cx="348197" cy="323849"/>
        </a:xfrm>
        <a:prstGeom prst="rect">
          <a:avLst/>
        </a:prstGeom>
      </xdr:spPr>
    </xdr:pic>
    <xdr:clientData/>
  </xdr:twoCellAnchor>
  <xdr:twoCellAnchor editAs="absolute">
    <xdr:from>
      <xdr:col>10</xdr:col>
      <xdr:colOff>138580</xdr:colOff>
      <xdr:row>7</xdr:row>
      <xdr:rowOff>38099</xdr:rowOff>
    </xdr:from>
    <xdr:to>
      <xdr:col>10</xdr:col>
      <xdr:colOff>513792</xdr:colOff>
      <xdr:row>9</xdr:row>
      <xdr:rowOff>64724</xdr:rowOff>
    </xdr:to>
    <xdr:pic macro="[0]!ImportData_BrokerAlledged_fromcloseWB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prstClr val="black"/>
            <a:schemeClr val="accent6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305" y="1323974"/>
          <a:ext cx="375212" cy="36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8</xdr:col>
      <xdr:colOff>276225</xdr:colOff>
      <xdr:row>0</xdr:row>
      <xdr:rowOff>38101</xdr:rowOff>
    </xdr:from>
    <xdr:to>
      <xdr:col>10</xdr:col>
      <xdr:colOff>695325</xdr:colOff>
      <xdr:row>3</xdr:row>
      <xdr:rowOff>134962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0" y="38101"/>
          <a:ext cx="1638300" cy="668361"/>
        </a:xfrm>
        <a:prstGeom prst="rect">
          <a:avLst/>
        </a:prstGeom>
      </xdr:spPr>
    </xdr:pic>
    <xdr:clientData/>
  </xdr:twoCellAnchor>
  <xdr:twoCellAnchor editAs="absolute">
    <xdr:from>
      <xdr:col>10</xdr:col>
      <xdr:colOff>148106</xdr:colOff>
      <xdr:row>13</xdr:row>
      <xdr:rowOff>47625</xdr:rowOff>
    </xdr:from>
    <xdr:to>
      <xdr:col>10</xdr:col>
      <xdr:colOff>523318</xdr:colOff>
      <xdr:row>15</xdr:row>
      <xdr:rowOff>74250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prstClr val="black"/>
            <a:schemeClr val="accent6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53831" y="2266950"/>
          <a:ext cx="375212" cy="36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571499</xdr:colOff>
      <xdr:row>4</xdr:row>
      <xdr:rowOff>152400</xdr:rowOff>
    </xdr:from>
    <xdr:to>
      <xdr:col>4</xdr:col>
      <xdr:colOff>419099</xdr:colOff>
      <xdr:row>10</xdr:row>
      <xdr:rowOff>123825</xdr:rowOff>
    </xdr:to>
    <xdr:sp macro="" textlink="">
      <xdr:nvSpPr>
        <xdr:cNvPr id="2" name="Left Arrow 1"/>
        <xdr:cNvSpPr/>
      </xdr:nvSpPr>
      <xdr:spPr>
        <a:xfrm>
          <a:off x="4010024" y="914400"/>
          <a:ext cx="1685925" cy="942975"/>
        </a:xfrm>
        <a:prstGeom prst="leftArrow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CP names to be removed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wapnil Kulkarni" refreshedDate="43182.710235763887" createdVersion="3" refreshedVersion="4" minRefreshableVersion="3" recordCount="446">
  <cacheSource type="worksheet">
    <worksheetSource ref="A1:AF447" sheet="Processed Data"/>
  </cacheSource>
  <cacheFields count="32">
    <cacheField name="Murex Id" numFmtId="49">
      <sharedItems/>
    </cacheField>
    <cacheField name="System" numFmtId="49">
      <sharedItems count="3">
        <s v="manual"/>
        <s v="oasys"/>
        <s v="omgeo"/>
      </sharedItems>
    </cacheField>
    <cacheField name="Product Type" numFmtId="49">
      <sharedItems/>
    </cacheField>
    <cacheField name="Trader" numFmtId="49">
      <sharedItems/>
    </cacheField>
    <cacheField name="Account" numFmtId="49">
      <sharedItems/>
    </cacheField>
    <cacheField name="Market" numFmtId="49">
      <sharedItems count="27">
        <s v="US GOV"/>
        <s v="US CORP"/>
        <s v="AR GOV"/>
        <s v="IT CORP"/>
        <s v="DE GOV"/>
        <s v="OM GOV"/>
        <s v="KR GOV"/>
        <s v="KY CORP"/>
        <s v="NL CORP"/>
        <s v="US ABS"/>
        <s v="CA GOV"/>
        <s v="ES GOV"/>
        <s v="GB CORP"/>
        <s v="MH CORP"/>
        <s v="BM CORP"/>
        <s v="CA CORP"/>
        <s v="ZA GOV"/>
        <s v="FR CORP"/>
        <s v="GR GOV"/>
        <s v="GB GOV"/>
        <s v="IT GOV"/>
        <s v="LU CORP"/>
        <s v="DE CORP"/>
        <s v="BR GOV"/>
        <s v="KE GOV"/>
        <s v="ES CORP"/>
        <s v="TR GOV"/>
      </sharedItems>
    </cacheField>
    <cacheField name="Broker" numFmtId="49">
      <sharedItems/>
    </cacheField>
    <cacheField name="Trade Date" numFmtId="14">
      <sharedItems containsSemiMixedTypes="0" containsNonDate="0" containsDate="1" containsString="0" minDate="2018-03-05T00:00:00" maxDate="2018-03-06T00:00:00"/>
    </cacheField>
    <cacheField name="Symbol" numFmtId="49">
      <sharedItems/>
    </cacheField>
    <cacheField name="Quantity" numFmtId="4">
      <sharedItems containsSemiMixedTypes="0" containsString="0" containsNumber="1" containsInteger="1" minValue="2287" maxValue="490000000"/>
    </cacheField>
    <cacheField name="Price" numFmtId="4">
      <sharedItems containsSemiMixedTypes="0" containsString="0" containsNumber="1" minValue="65.375" maxValue="838.44409800000005"/>
    </cacheField>
    <cacheField name="Settle Date" numFmtId="14">
      <sharedItems containsSemiMixedTypes="0" containsNonDate="0" containsDate="1" containsString="0" minDate="2018-03-05T00:00:00" maxDate="2018-05-22T00:00:00"/>
    </cacheField>
    <cacheField name="Side" numFmtId="49">
      <sharedItems/>
    </cacheField>
    <cacheField name="System Status" numFmtId="49">
      <sharedItems/>
    </cacheField>
    <cacheField name="Update Time" numFmtId="14">
      <sharedItems containsSemiMixedTypes="0" containsNonDate="0" containsDate="1" containsString="0" minDate="2018-03-05T03:05:09" maxDate="2018-03-06T11:41:25"/>
    </cacheField>
    <cacheField name="Yield" numFmtId="4">
      <sharedItems containsSemiMixedTypes="0" containsString="0" containsNumber="1" minValue="-9.6305010905999993" maxValue="18.141715797500002"/>
    </cacheField>
    <cacheField name="Net Amount" numFmtId="4">
      <sharedItems containsSemiMixedTypes="0" containsString="0" containsNumber="1" minValue="-479867934.78260869" maxValue="485160163.66187847"/>
    </cacheField>
    <cacheField name="Currency" numFmtId="49">
      <sharedItems/>
    </cacheField>
    <cacheField name="Description" numFmtId="49">
      <sharedItems/>
    </cacheField>
    <cacheField name="Final Status" numFmtId="49">
      <sharedItems count="3">
        <s v="Manual"/>
        <s v="Confirmed"/>
        <s v="Booked"/>
      </sharedItems>
    </cacheField>
    <cacheField name="CTM Id" numFmtId="0">
      <sharedItems containsBlank="1"/>
    </cacheField>
    <cacheField name="CTM Status" numFmtId="0">
      <sharedItems containsBlank="1"/>
    </cacheField>
    <cacheField name="Oasys Id" numFmtId="0">
      <sharedItems containsNonDate="0" containsString="0" containsBlank="1"/>
    </cacheField>
    <cacheField name="Oasys Status" numFmtId="0">
      <sharedItems containsNonDate="0" containsString="0" containsBlank="1" count="1">
        <m/>
      </sharedItems>
    </cacheField>
    <cacheField name="Portfolio" numFmtId="49">
      <sharedItems/>
    </cacheField>
    <cacheField name="System Reason" numFmtId="49">
      <sharedItems containsNonDate="0" containsString="0" containsBlank="1"/>
    </cacheField>
    <cacheField name="Final Reason" numFmtId="0">
      <sharedItems containsBlank="1"/>
    </cacheField>
    <cacheField name="User" numFmtId="49">
      <sharedItems containsBlank="1"/>
    </cacheField>
    <cacheField name="TradeOut Timestamp" numFmtId="0">
      <sharedItems containsNonDate="0" containsDate="1" containsString="0" containsBlank="1" minDate="2018-03-05T03:07:23" maxDate="2018-03-06T08:29:54"/>
    </cacheField>
    <cacheField name="System Id" numFmtId="0">
      <sharedItems containsBlank="1"/>
    </cacheField>
    <cacheField name="Insert Time" numFmtId="14">
      <sharedItems containsSemiMixedTypes="0" containsNonDate="0" containsDate="1" containsString="0" minDate="2018-03-05T03:05:09" maxDate="2018-03-06T10:59:52"/>
    </cacheField>
    <cacheField name="Factor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46">
  <r>
    <s v="21480791"/>
    <x v="0"/>
    <s v="Government"/>
    <s v="CONNELLY"/>
    <s v="BONY 2785"/>
    <x v="0"/>
    <s v="ACADEMY SECURITIES, INC."/>
    <d v="2018-03-05T00:00:00"/>
    <s v="9128284A5"/>
    <n v="20000000"/>
    <n v="100.09375"/>
    <d v="2018-03-06T00:00:00"/>
    <s v="Sell"/>
    <s v="Booked"/>
    <d v="2018-03-05T11:22:14"/>
    <n v="2.6047616576000001"/>
    <n v="20027309.782608699"/>
    <s v="USD"/>
    <s v="T 2.625 02/28/2023"/>
    <x v="0"/>
    <m/>
    <m/>
    <m/>
    <x v="0"/>
    <s v="CONNELLY_MFL_FI"/>
    <m/>
    <s v="no platform - confimred manually by Rey at Academy "/>
    <s v="JMAGNESS"/>
    <m/>
    <m/>
    <d v="2018-03-05T11:22:14"/>
    <m/>
  </r>
  <r>
    <s v="21480777"/>
    <x v="0"/>
    <s v="Government"/>
    <s v="CONNELLY"/>
    <s v="BONY 2785"/>
    <x v="0"/>
    <s v="ACADEMY SECURITIES, INC."/>
    <d v="2018-03-05T00:00:00"/>
    <s v="9128283W8"/>
    <n v="15000000"/>
    <n v="99.203125"/>
    <d v="2018-03-06T00:00:00"/>
    <s v="Sell"/>
    <s v="Booked"/>
    <d v="2018-03-05T11:22:15"/>
    <n v="2.8424247609000002"/>
    <n v="14902119.302486191"/>
    <s v="USD"/>
    <s v="T 2.75 02/15/2028"/>
    <x v="0"/>
    <m/>
    <m/>
    <m/>
    <x v="0"/>
    <s v="CONNELLY_MFL_FI"/>
    <m/>
    <s v="no platform - confimred manually by Rey at Academy "/>
    <s v="JMAGNESS"/>
    <m/>
    <m/>
    <d v="2018-03-05T11:22:15"/>
    <m/>
  </r>
  <r>
    <s v="21484346"/>
    <x v="1"/>
    <s v="Government"/>
    <s v="ASIR_M"/>
    <s v="CSI 7533G"/>
    <x v="0"/>
    <s v="AGENCY TRADING GROUP INC"/>
    <d v="2018-03-05T00:00:00"/>
    <s v="9128283W8"/>
    <n v="956000"/>
    <n v="98.796875"/>
    <d v="2018-03-06T00:00:00"/>
    <s v="Sell"/>
    <s v="Booked"/>
    <d v="2018-03-05T15:45:49"/>
    <n v="2.8899219395000002"/>
    <n v="945877.98687845003"/>
    <s v="USD"/>
    <s v="T 2.75 02/15/2028"/>
    <x v="0"/>
    <m/>
    <m/>
    <m/>
    <x v="0"/>
    <s v="ASIR_M_MFL_FI"/>
    <m/>
    <s v="MLP SYSTEM ISSUE – Confirmed over email with Michael Garland, Jr."/>
    <s v="VEN_SKULKARNI"/>
    <d v="2018-03-05T14:33:31"/>
    <m/>
    <d v="2018-03-05T15:45:49"/>
    <m/>
  </r>
  <r>
    <s v="21484345"/>
    <x v="1"/>
    <s v="Corporate"/>
    <s v="ASIR_M"/>
    <s v="CSI 7533G"/>
    <x v="1"/>
    <s v="AGENCY TRADING GROUP INC"/>
    <d v="2018-03-05T00:00:00"/>
    <s v="816851BG3"/>
    <n v="1076000"/>
    <n v="95.073999999999998"/>
    <d v="2018-03-07T00:00:00"/>
    <s v="Buy"/>
    <s v="Booked"/>
    <d v="2018-03-05T15:45:50"/>
    <n v="4.0069995104"/>
    <n v="-1028585.46222222"/>
    <s v="USD"/>
    <s v="SRE 3.4 02/01/2028"/>
    <x v="0"/>
    <m/>
    <m/>
    <m/>
    <x v="0"/>
    <s v="ASIR_M_MFL_FI"/>
    <m/>
    <s v="MLP SYSTEM ISSUE – Confirmed over email with Michael Garland, Jr."/>
    <s v="VEN_SKULKARNI"/>
    <d v="2018-03-05T14:33:31"/>
    <m/>
    <d v="2018-03-05T15:45:50"/>
    <m/>
  </r>
  <r>
    <s v="21484760"/>
    <x v="1"/>
    <s v="Corporate"/>
    <s v="ASIR_DU"/>
    <s v="CSI 7533G"/>
    <x v="1"/>
    <s v="AGENCY TRADING GROUP INC"/>
    <d v="2018-03-05T00:00:00"/>
    <s v="369604BQ5"/>
    <n v="4550000"/>
    <n v="99"/>
    <d v="2018-03-07T00:00:00"/>
    <s v="Sell"/>
    <s v="Booked"/>
    <d v="2018-03-05T16:53:16"/>
    <n v="5.3234341989000002"/>
    <n v="4556319.4444444403"/>
    <s v="USD"/>
    <s v="GE V5 P12/29/2049 D"/>
    <x v="0"/>
    <m/>
    <m/>
    <m/>
    <x v="0"/>
    <s v="ASIR_DU_MFL_FI"/>
    <m/>
    <s v="NO PLATFORM - Confirmed over email with Michael Garland, Jr."/>
    <s v="VEN_SKULKARNI"/>
    <d v="2018-03-05T16:38:43"/>
    <m/>
    <d v="2018-03-05T16:53:16"/>
    <m/>
  </r>
  <r>
    <s v="21484469"/>
    <x v="0"/>
    <s v="Government"/>
    <s v="NEG_NR"/>
    <s v="CGMI XPBMFI6"/>
    <x v="2"/>
    <s v="BANCO BILBAO VIZCAYA ARGENTARIA SI"/>
    <d v="2018-03-05T00:00:00"/>
    <s v="040114GX2"/>
    <n v="2000000"/>
    <n v="106.1"/>
    <d v="2018-03-07T00:00:00"/>
    <s v="Buy"/>
    <s v="Booked"/>
    <d v="2018-03-06T10:59:52"/>
    <n v="6.5192138017000003"/>
    <n v="-2178250"/>
    <s v="USD"/>
    <s v="ARGENT 7.5 04/22/2026"/>
    <x v="0"/>
    <m/>
    <m/>
    <m/>
    <x v="0"/>
    <s v="NEG_NR_MFL_FI"/>
    <m/>
    <s v="NO PLATFORM - Confirmed over email with JOSE CARDOZA "/>
    <s v="VEN_SKULKARNI"/>
    <m/>
    <m/>
    <d v="2018-03-06T10:59:52"/>
    <m/>
  </r>
  <r>
    <s v="21480803"/>
    <x v="2"/>
    <s v="Government"/>
    <s v="BONELLO"/>
    <s v="BONY 2785"/>
    <x v="0"/>
    <s v="BANK OF AMERICA ELECTRONIC"/>
    <d v="2018-03-05T00:00:00"/>
    <s v="9128283Z1"/>
    <n v="158500000"/>
    <n v="99.90625"/>
    <d v="2018-03-06T00:00:00"/>
    <s v="Buy"/>
    <s v="Confirmed"/>
    <d v="2018-03-05T10:38:55"/>
    <n v="2.7648070224999999"/>
    <n v="-158422472.82608694"/>
    <s v="USD"/>
    <s v="T 2.75 02/28/2025"/>
    <x v="1"/>
    <s v="BN21480803"/>
    <s v="M"/>
    <m/>
    <x v="0"/>
    <s v="BONELLO_MFL_FI"/>
    <m/>
    <m/>
    <s v="TC-KINETIX-BRIDGE"/>
    <d v="2018-03-05T10:45:20"/>
    <s v="BN21480803"/>
    <d v="2018-03-05T10:38:50"/>
    <m/>
  </r>
  <r>
    <s v="21481120"/>
    <x v="2"/>
    <s v="Government"/>
    <s v="BONELLO"/>
    <s v="BONY 2785"/>
    <x v="0"/>
    <s v="BANK OF AMERICA ELECTRONIC"/>
    <d v="2018-03-05T00:00:00"/>
    <s v="9128284A5"/>
    <n v="173500000"/>
    <n v="100.0625"/>
    <d v="2018-03-06T00:00:00"/>
    <s v="Buy"/>
    <s v="Confirmed"/>
    <d v="2018-03-05T10:58:29"/>
    <n v="2.6114860305000001"/>
    <n v="-173682693.61413044"/>
    <s v="USD"/>
    <s v="T 2.625 02/28/2023"/>
    <x v="1"/>
    <s v="BN21481120"/>
    <s v="M"/>
    <m/>
    <x v="0"/>
    <s v="BONELLO_MFL_FI"/>
    <m/>
    <m/>
    <s v="TC-KINETIX-BRIDGE"/>
    <d v="2018-03-05T11:04:03"/>
    <s v="BN21481120"/>
    <d v="2018-03-05T10:58:24"/>
    <m/>
  </r>
  <r>
    <s v="21482669"/>
    <x v="2"/>
    <s v="Government"/>
    <s v="VEALE"/>
    <s v="BONY 2785"/>
    <x v="0"/>
    <s v="BANK OF AMERICA ELECTRONIC"/>
    <d v="2018-03-05T00:00:00"/>
    <s v="9128283W8"/>
    <n v="95000000"/>
    <n v="98.939279999999997"/>
    <d v="2018-03-06T00:00:00"/>
    <s v="Sell"/>
    <s v="Confirmed"/>
    <d v="2018-03-05T12:00:45"/>
    <n v="2.8732471793999999"/>
    <n v="94129436.165745854"/>
    <s v="USD"/>
    <s v="T 2.75 02/15/2028"/>
    <x v="1"/>
    <s v="BN21482669"/>
    <s v="M"/>
    <m/>
    <x v="0"/>
    <s v="VEALE_MFL_FI"/>
    <m/>
    <m/>
    <s v="TC-KINETIX-BRIDGE"/>
    <d v="2018-03-05T12:08:55"/>
    <s v="BN21482669"/>
    <d v="2018-03-05T12:00:01"/>
    <m/>
  </r>
  <r>
    <s v="21483647"/>
    <x v="2"/>
    <s v="Government"/>
    <s v="BONELLO"/>
    <s v="BONY 2785"/>
    <x v="0"/>
    <s v="BANK OF AMERICA ELECTRONIC"/>
    <d v="2018-03-05T00:00:00"/>
    <s v="9128284A5"/>
    <n v="155400000"/>
    <n v="99.921875"/>
    <d v="2018-03-06T00:00:00"/>
    <s v="Buy"/>
    <s v="Confirmed"/>
    <d v="2018-03-05T12:47:58"/>
    <n v="2.6417754413000001"/>
    <n v="-155345103.26086956"/>
    <s v="USD"/>
    <s v="T 2.625 02/28/2023"/>
    <x v="1"/>
    <s v="BN21483647"/>
    <s v="M"/>
    <m/>
    <x v="0"/>
    <s v="BONELLO_MFL_FI"/>
    <m/>
    <m/>
    <s v="TC-KINETIX-BRIDGE"/>
    <d v="2018-03-05T12:55:36"/>
    <s v="BN21483647"/>
    <d v="2018-03-05T12:47:51"/>
    <m/>
  </r>
  <r>
    <s v="21484190"/>
    <x v="2"/>
    <s v="Government"/>
    <s v="VEALE"/>
    <s v="BONY 2785"/>
    <x v="0"/>
    <s v="BANK OF AMERICA ELECTRONIC"/>
    <d v="2018-03-05T00:00:00"/>
    <s v="9128284A5"/>
    <n v="123000000"/>
    <n v="100.07289"/>
    <d v="2018-03-06T00:00:00"/>
    <s v="Sell"/>
    <s v="Confirmed"/>
    <d v="2018-03-05T13:44:13"/>
    <n v="2.6092500447"/>
    <n v="123142297.36304349"/>
    <s v="USD"/>
    <s v="T 2.625 02/28/2023"/>
    <x v="1"/>
    <s v="BN21484190"/>
    <s v="M"/>
    <m/>
    <x v="0"/>
    <s v="VEALE_MFL_FI"/>
    <m/>
    <m/>
    <s v="TC-KINETIX-BRIDGE"/>
    <d v="2018-03-05T13:52:05"/>
    <s v="BN21484190"/>
    <d v="2018-03-05T13:44:08"/>
    <m/>
  </r>
  <r>
    <s v="21484191"/>
    <x v="2"/>
    <s v="Government"/>
    <s v="VEALE"/>
    <s v="BONY 2785"/>
    <x v="0"/>
    <s v="BANK OF AMERICA ELECTRONIC"/>
    <d v="2018-03-05T00:00:00"/>
    <s v="9128283X6"/>
    <n v="213000000"/>
    <n v="99.637230000000002"/>
    <d v="2018-03-06T00:00:00"/>
    <s v="Sell"/>
    <s v="Confirmed"/>
    <d v="2018-03-05T13:44:15"/>
    <n v="2.3779498184999999"/>
    <n v="212478839.95524862"/>
    <s v="USD"/>
    <s v="T 2.25 02/15/2021"/>
    <x v="1"/>
    <s v="BN21484191"/>
    <s v="M"/>
    <m/>
    <x v="0"/>
    <s v="VEALE_MFL_FI"/>
    <m/>
    <m/>
    <s v="TC-KINETIX-BRIDGE"/>
    <d v="2018-03-05T13:52:05"/>
    <s v="BN21484191"/>
    <d v="2018-03-05T13:44:09"/>
    <m/>
  </r>
  <r>
    <s v="21485022"/>
    <x v="2"/>
    <s v="Government"/>
    <s v="VEALE"/>
    <s v="BONY 2785"/>
    <x v="0"/>
    <s v="BANK OF AMERICA ELECTRONIC"/>
    <d v="2018-03-05T00:00:00"/>
    <s v="9128284A5"/>
    <n v="47000000"/>
    <n v="99.902109999999993"/>
    <d v="2018-03-06T00:00:00"/>
    <s v="Sell"/>
    <s v="Confirmed"/>
    <d v="2018-03-05T17:00:54"/>
    <n v="2.6460365567999999"/>
    <n v="46974107.189130425"/>
    <s v="USD"/>
    <s v="T 2.625 02/28/2023"/>
    <x v="1"/>
    <s v="BN21485022"/>
    <s v="M"/>
    <m/>
    <x v="0"/>
    <s v="VEALE_MFL_FI"/>
    <m/>
    <m/>
    <s v="TC-KINETIX-BRIDGE"/>
    <d v="2018-03-05T17:10:50"/>
    <s v="BN21485022"/>
    <d v="2018-03-05T17:00:50"/>
    <m/>
  </r>
  <r>
    <s v="21485023"/>
    <x v="2"/>
    <s v="Government"/>
    <s v="VEALE"/>
    <s v="BONY 2785"/>
    <x v="0"/>
    <s v="BANK OF AMERICA ELECTRONIC"/>
    <d v="2018-03-05T00:00:00"/>
    <s v="9128283X6"/>
    <n v="82000000"/>
    <n v="99.56711"/>
    <d v="2018-03-06T00:00:00"/>
    <s v="Sell"/>
    <s v="Confirmed"/>
    <d v="2018-03-05T17:01:03"/>
    <n v="2.4027856089999999"/>
    <n v="81741867.216574594"/>
    <s v="USD"/>
    <s v="T 2.25 02/15/2021"/>
    <x v="1"/>
    <s v="BN21485023"/>
    <s v="M"/>
    <m/>
    <x v="0"/>
    <s v="VEALE_MFL_FI"/>
    <m/>
    <m/>
    <s v="TC-KINETIX-BRIDGE"/>
    <d v="2018-03-05T17:10:50"/>
    <s v="BN21485023"/>
    <d v="2018-03-05T17:00:50"/>
    <m/>
  </r>
  <r>
    <s v="21476197"/>
    <x v="2"/>
    <s v="Corporate"/>
    <s v="BAIL_CR"/>
    <s v="CSI 7533G"/>
    <x v="1"/>
    <s v="BANK OF AMERICA N.A."/>
    <d v="2018-03-05T00:00:00"/>
    <s v="91324PDF6"/>
    <n v="2200000"/>
    <n v="93.311999999999998"/>
    <d v="2018-03-07T00:00:00"/>
    <s v="Sell"/>
    <s v="Confirmed"/>
    <d v="2018-03-05T09:19:23"/>
    <n v="4.1440299089000003"/>
    <n v="2083114"/>
    <s v="USD"/>
    <s v="UNH 3.75 10/15/2047"/>
    <x v="1"/>
    <s v="BN21476197"/>
    <s v="M"/>
    <m/>
    <x v="0"/>
    <s v="BAIL_CR_MFL_FI"/>
    <m/>
    <m/>
    <s v="Ribenincasa"/>
    <d v="2018-03-05T09:12:18"/>
    <s v="BN21476197"/>
    <d v="2018-03-05T09:19:23"/>
    <m/>
  </r>
  <r>
    <s v="21476198"/>
    <x v="2"/>
    <s v="Government"/>
    <s v="BAIL_CR"/>
    <s v="CSI 7533G"/>
    <x v="0"/>
    <s v="BANK OF AMERICA N.A."/>
    <d v="2018-03-05T00:00:00"/>
    <s v="912810RZ3"/>
    <n v="1940000"/>
    <n v="92.796875"/>
    <d v="2018-03-06T00:00:00"/>
    <s v="Buy"/>
    <s v="Confirmed"/>
    <d v="2018-03-05T09:19:32"/>
    <n v="3.1238701800999999"/>
    <n v="-1816618.0766574601"/>
    <s v="USD"/>
    <s v="T 2.75 11/15/2047"/>
    <x v="1"/>
    <s v="BN21476198"/>
    <s v="M"/>
    <m/>
    <x v="0"/>
    <s v="BAIL_CR_MFL_FI"/>
    <m/>
    <m/>
    <s v="Ribenincasa"/>
    <d v="2018-03-05T09:12:18"/>
    <s v="BN21476198"/>
    <d v="2018-03-05T09:19:32"/>
    <m/>
  </r>
  <r>
    <s v="21476417"/>
    <x v="2"/>
    <s v="Corporate"/>
    <s v="BAIL_CR"/>
    <s v="CSI 7533G"/>
    <x v="1"/>
    <s v="BANK OF AMERICA N.A."/>
    <d v="2018-03-05T00:00:00"/>
    <s v="125509BW8"/>
    <n v="3737000"/>
    <n v="88.718999999999994"/>
    <d v="2018-03-07T00:00:00"/>
    <s v="Buy"/>
    <s v="Confirmed"/>
    <d v="2018-03-05T09:41:02"/>
    <n v="4.5739758073000001"/>
    <n v="-3385017.67930556"/>
    <s v="USD"/>
    <s v="CI 3.875 10/15/2047"/>
    <x v="1"/>
    <s v="BN21476417"/>
    <s v="M"/>
    <m/>
    <x v="0"/>
    <s v="BAIL_CR_MFL_FI"/>
    <m/>
    <m/>
    <s v="Ribenincasa"/>
    <d v="2018-03-05T09:30:48"/>
    <s v="BN21476417"/>
    <d v="2018-03-05T09:41:02"/>
    <m/>
  </r>
  <r>
    <s v="21476416"/>
    <x v="2"/>
    <s v="Government"/>
    <s v="BAIL_CR"/>
    <s v="CSI 7533G"/>
    <x v="0"/>
    <s v="BANK OF AMERICA N.A."/>
    <d v="2018-03-05T00:00:00"/>
    <s v="912810RZ3"/>
    <n v="3000000"/>
    <n v="92.796875"/>
    <d v="2018-03-06T00:00:00"/>
    <s v="Sell"/>
    <s v="Confirmed"/>
    <d v="2018-03-05T09:41:11"/>
    <n v="3.1238701800999999"/>
    <n v="2809203.21132597"/>
    <s v="USD"/>
    <s v="T 2.75 11/15/2047"/>
    <x v="1"/>
    <s v="BN21476416"/>
    <s v="M"/>
    <m/>
    <x v="0"/>
    <s v="BAIL_CR_MFL_FI"/>
    <m/>
    <m/>
    <s v="Ribenincasa"/>
    <d v="2018-03-05T09:30:48"/>
    <s v="BN21476416"/>
    <d v="2018-03-05T09:41:11"/>
    <m/>
  </r>
  <r>
    <s v="21476668"/>
    <x v="2"/>
    <s v="Government"/>
    <s v="TT_JS"/>
    <s v="BONY 2785"/>
    <x v="0"/>
    <s v="BANK OF AMERICA N.A."/>
    <d v="2018-03-05T00:00:00"/>
    <s v="9128283W8"/>
    <n v="1940000"/>
    <n v="99.23046875"/>
    <d v="2018-03-06T00:00:00"/>
    <s v="Sell"/>
    <s v="Confirmed"/>
    <d v="2018-03-05T09:44:01"/>
    <n v="2.8392358074000001"/>
    <n v="1927871.23187155"/>
    <s v="USD"/>
    <s v="T 2.75 02/15/2028"/>
    <x v="1"/>
    <s v="BN21476668"/>
    <s v="M"/>
    <m/>
    <x v="0"/>
    <s v="TT_JS_MFL_FI"/>
    <m/>
    <m/>
    <s v="jstaisiunas"/>
    <d v="2018-03-05T09:49:21"/>
    <s v="BN21476668"/>
    <d v="2018-03-05T09:44:01"/>
    <m/>
  </r>
  <r>
    <s v="21477005"/>
    <x v="2"/>
    <s v="Government"/>
    <s v="ASIR_RT"/>
    <s v="CSI 7533G"/>
    <x v="0"/>
    <s v="BANK OF AMERICA N.A."/>
    <d v="2018-03-05T00:00:00"/>
    <s v="9128284A5"/>
    <n v="2198000"/>
    <n v="100.140625"/>
    <d v="2018-03-06T00:00:00"/>
    <s v="Buy"/>
    <s v="Confirmed"/>
    <d v="2018-03-05T10:10:20"/>
    <n v="2.5946795962000002"/>
    <n v="-2202031.6576087"/>
    <s v="USD"/>
    <s v="T 2.625 02/28/2023"/>
    <x v="1"/>
    <s v="BN21477005"/>
    <s v="M"/>
    <m/>
    <x v="0"/>
    <s v="ASIR_RT_MFL_FI"/>
    <m/>
    <m/>
    <s v="TC-KINETIX-BRIDGE"/>
    <d v="2018-03-05T10:17:23"/>
    <s v="BN21477005"/>
    <d v="2018-03-05T10:10:14"/>
    <m/>
  </r>
  <r>
    <s v="21477006"/>
    <x v="2"/>
    <s v="Corporate"/>
    <s v="ASIR_RT"/>
    <s v="CSI 7533G"/>
    <x v="1"/>
    <s v="BANK OF AMERICA N.A."/>
    <d v="2018-03-05T00:00:00"/>
    <s v="78355HKG3"/>
    <n v="2275000"/>
    <n v="100.044"/>
    <d v="2018-03-07T00:00:00"/>
    <s v="Sell"/>
    <s v="Confirmed"/>
    <d v="2018-03-05T10:10:21"/>
    <n v="3.3900611300999999"/>
    <n v="2278364.4722222202"/>
    <s v="USD"/>
    <s v="R 3.4 03/01/2023 MTN"/>
    <x v="1"/>
    <s v="BN21477006"/>
    <s v="M"/>
    <m/>
    <x v="0"/>
    <s v="ASIR_RT_MFL_FI"/>
    <m/>
    <m/>
    <s v="TC-KINETIX-BRIDGE"/>
    <d v="2018-03-05T10:17:23"/>
    <s v="BN21477006"/>
    <d v="2018-03-05T10:10:14"/>
    <m/>
  </r>
  <r>
    <s v="21477008"/>
    <x v="2"/>
    <s v="Corporate"/>
    <s v="ASIR_DU"/>
    <s v="BCSL 500955"/>
    <x v="3"/>
    <s v="BANK OF AMERICA N.A."/>
    <d v="2018-03-05T00:00:00"/>
    <s v="XS1754213947"/>
    <n v="4550000"/>
    <n v="99.081999999999994"/>
    <d v="2018-03-07T00:00:00"/>
    <s v="Sell"/>
    <s v="Confirmed"/>
    <d v="2018-03-05T10:10:29"/>
    <n v="1.1950780747"/>
    <n v="4514214.5616438398"/>
    <s v="EUR"/>
    <s v="UCGIM 1 01/18/2023 EMTN"/>
    <x v="1"/>
    <s v="BN21477008"/>
    <s v="M"/>
    <m/>
    <x v="0"/>
    <s v="ASIR_DU_MFL_FI"/>
    <m/>
    <m/>
    <s v="TC-KINETIX-BRIDGE"/>
    <d v="2018-03-05T10:17:23"/>
    <s v="BN21477008"/>
    <d v="2018-03-05T10:10:21"/>
    <m/>
  </r>
  <r>
    <s v="21477010"/>
    <x v="2"/>
    <s v="Government"/>
    <s v="ASIR_DU"/>
    <s v="BCSL 500955"/>
    <x v="4"/>
    <s v="BANK OF AMERICA N.A."/>
    <d v="2018-03-05T00:00:00"/>
    <s v="DE0001141760"/>
    <n v="4614000"/>
    <n v="100.482"/>
    <d v="2018-03-07T00:00:00"/>
    <s v="Buy"/>
    <s v="Confirmed"/>
    <d v="2018-03-05T10:10:35"/>
    <n v="-0.10478816890000001"/>
    <n v="-4636239.4800000004"/>
    <s v="EUR"/>
    <s v="OBL 0 10/07/2022"/>
    <x v="1"/>
    <s v="BN21477010"/>
    <s v="M"/>
    <m/>
    <x v="0"/>
    <s v="ASIR_DU_MFL_FI"/>
    <m/>
    <m/>
    <s v="TC-KINETIX-BRIDGE"/>
    <d v="2018-03-05T10:17:23"/>
    <s v="BN21477010"/>
    <d v="2018-03-05T10:10:30"/>
    <m/>
  </r>
  <r>
    <s v="21481656"/>
    <x v="2"/>
    <s v="Government"/>
    <s v="NEG_NR"/>
    <s v="CSI 7533G"/>
    <x v="5"/>
    <s v="BANK OF AMERICA N.A."/>
    <d v="2018-03-05T00:00:00"/>
    <s v="AQ7342571"/>
    <n v="3000000"/>
    <n v="99.375"/>
    <d v="2018-03-07T00:00:00"/>
    <s v="Buy"/>
    <s v="Confirmed"/>
    <d v="2018-03-05T11:45:03"/>
    <n v="5.7076967081000003"/>
    <n v="-3004687.5"/>
    <s v="USD"/>
    <s v="OMAN 5.625 01/17/2028 S"/>
    <x v="1"/>
    <s v="BN21481656"/>
    <s v="M"/>
    <m/>
    <x v="0"/>
    <s v="NEG_NR_MFL_FI"/>
    <m/>
    <m/>
    <s v="TC-KINETIX-BRIDGE"/>
    <d v="2018-03-05T11:50:27"/>
    <s v="BN21481656"/>
    <d v="2018-03-05T11:44:57"/>
    <m/>
  </r>
  <r>
    <s v="21483280"/>
    <x v="2"/>
    <s v="Corporate"/>
    <s v="ASIR_TR"/>
    <s v="CSI 7533G"/>
    <x v="1"/>
    <s v="BANK OF AMERICA N.A."/>
    <d v="2018-03-05T00:00:00"/>
    <s v="035242AP1"/>
    <n v="4550000"/>
    <n v="99.036000000000001"/>
    <d v="2018-03-07T00:00:00"/>
    <s v="Buy"/>
    <s v="Confirmed"/>
    <d v="2018-03-05T12:03:57"/>
    <n v="3.7919541746999998"/>
    <n v="-4522745.5"/>
    <s v="USD"/>
    <s v="ABIBB 3.65 02/01/2026"/>
    <x v="1"/>
    <s v="BN21483280"/>
    <s v="M"/>
    <m/>
    <x v="0"/>
    <s v="ASIR_TR_MFL_FI"/>
    <m/>
    <m/>
    <s v="TC-KINETIX-BRIDGE"/>
    <d v="2018-03-05T12:08:55"/>
    <s v="BN21483280"/>
    <d v="2018-03-05T12:03:50"/>
    <m/>
  </r>
  <r>
    <s v="21483282"/>
    <x v="2"/>
    <s v="Government"/>
    <s v="ASIR_TR"/>
    <s v="CSI 7533G"/>
    <x v="0"/>
    <s v="BANK OF AMERICA N.A."/>
    <d v="2018-03-05T00:00:00"/>
    <s v="9128283W8"/>
    <n v="3595000"/>
    <n v="98.953125"/>
    <d v="2018-03-06T00:00:00"/>
    <s v="Sell"/>
    <s v="Confirmed"/>
    <d v="2018-03-05T12:03:58"/>
    <n v="2.8716274743999999"/>
    <n v="3562553.7594958604"/>
    <s v="USD"/>
    <s v="T 2.75 02/15/2028"/>
    <x v="1"/>
    <s v="BN21483282"/>
    <s v="M"/>
    <m/>
    <x v="0"/>
    <s v="ASIR_TR_MFL_FI"/>
    <m/>
    <m/>
    <s v="TC-KINETIX-BRIDGE"/>
    <d v="2018-03-05T12:08:55"/>
    <s v="BN21483282"/>
    <d v="2018-03-05T12:03:50"/>
    <m/>
  </r>
  <r>
    <s v="21483311"/>
    <x v="2"/>
    <s v="Corporate"/>
    <s v="BAIL_AD"/>
    <s v="CSI 7533G"/>
    <x v="1"/>
    <s v="BANK OF AMERICA N.A."/>
    <d v="2018-03-05T00:00:00"/>
    <s v="13057QAG2"/>
    <n v="1500000"/>
    <n v="79"/>
    <d v="2018-03-07T00:00:00"/>
    <s v="Buy"/>
    <s v="Confirmed"/>
    <d v="2018-03-05T12:06:01"/>
    <n v="14.196972647999999"/>
    <n v="-1212333.33333333"/>
    <s v="USD"/>
    <s v="CRC 8 12/15/2022 A"/>
    <x v="1"/>
    <s v="BN21483311"/>
    <s v="M"/>
    <m/>
    <x v="0"/>
    <s v="BAIL_AD_MFL_FI"/>
    <m/>
    <m/>
    <s v="TC-KINETIX-BRIDGE"/>
    <d v="2018-03-05T12:08:55"/>
    <s v="BN21483311"/>
    <d v="2018-03-05T12:05:55"/>
    <m/>
  </r>
  <r>
    <s v="21483401"/>
    <x v="2"/>
    <s v="Government"/>
    <s v="SRBL_CR"/>
    <s v="CSI 7533G"/>
    <x v="0"/>
    <s v="BANK OF AMERICA N.A."/>
    <d v="2018-03-05T00:00:00"/>
    <s v="9128284A5"/>
    <n v="2940000"/>
    <n v="99.9453125"/>
    <d v="2018-03-06T00:00:00"/>
    <s v="Sell"/>
    <s v="Confirmed"/>
    <d v="2018-03-05T12:16:40"/>
    <n v="2.6367238238000001"/>
    <n v="2939650.4755434799"/>
    <s v="USD"/>
    <s v="T 2.625 02/28/2023"/>
    <x v="1"/>
    <s v="BN21483401"/>
    <s v="M"/>
    <m/>
    <x v="0"/>
    <s v="SRBL_CR_MFL_FI"/>
    <m/>
    <m/>
    <s v="TC-KINETIX-BRIDGE"/>
    <d v="2018-03-05T12:27:23"/>
    <s v="BN21483401"/>
    <d v="2018-03-05T12:16:36"/>
    <m/>
  </r>
  <r>
    <s v="21483402"/>
    <x v="2"/>
    <s v="Corporate"/>
    <s v="NET_FIN"/>
    <s v="CSI 7533G"/>
    <x v="1"/>
    <s v="BANK OF AMERICA N.A."/>
    <d v="2018-03-05T00:00:00"/>
    <s v="61746BEG7"/>
    <n v="2257000"/>
    <n v="100.569"/>
    <d v="2018-03-07T00:00:00"/>
    <s v="Buy"/>
    <s v="Confirmed"/>
    <d v="2018-03-05T12:16:49"/>
    <n v="4.3399774469999999"/>
    <n v="-2282185.2987500001"/>
    <s v="USD"/>
    <s v="MS 4.375 01/22/2047"/>
    <x v="1"/>
    <s v="BN21483402"/>
    <s v="M"/>
    <m/>
    <x v="0"/>
    <s v="NET_FIN_MFL_FI"/>
    <m/>
    <m/>
    <s v="TC-KINETIX-BRIDGE"/>
    <d v="2018-03-05T12:27:23"/>
    <s v="BN21483402"/>
    <d v="2018-03-05T12:16:45"/>
    <m/>
  </r>
  <r>
    <s v="21483404"/>
    <x v="2"/>
    <s v="Government"/>
    <s v="NET_FIN"/>
    <s v="CSI 7533G"/>
    <x v="0"/>
    <s v="BANK OF AMERICA N.A."/>
    <d v="2018-03-05T00:00:00"/>
    <s v="912810RZ3"/>
    <n v="2000000"/>
    <n v="92.140625"/>
    <d v="2018-03-06T00:00:00"/>
    <s v="Sell"/>
    <s v="Confirmed"/>
    <d v="2018-03-05T12:16:53"/>
    <n v="3.1597994839000001"/>
    <n v="1859677.1408839801"/>
    <s v="USD"/>
    <s v="T 2.75 11/15/2047"/>
    <x v="1"/>
    <s v="BN21483404"/>
    <s v="M"/>
    <m/>
    <x v="0"/>
    <s v="NET_FIN_MFL_FI"/>
    <m/>
    <m/>
    <s v="TC-KINETIX-BRIDGE"/>
    <d v="2018-03-05T12:27:23"/>
    <s v="BN21483404"/>
    <d v="2018-03-05T12:16:47"/>
    <m/>
  </r>
  <r>
    <s v="21483440"/>
    <x v="2"/>
    <s v="Government"/>
    <s v="SRBL_CR"/>
    <s v="CSI 7533G"/>
    <x v="6"/>
    <s v="BANK OF AMERICA N.A."/>
    <d v="2018-03-05T00:00:00"/>
    <s v="500630CU0"/>
    <n v="3000000"/>
    <n v="99.49"/>
    <d v="2018-03-12T00:00:00"/>
    <s v="Buy"/>
    <s v="Confirmed"/>
    <d v="2018-03-05T12:22:23"/>
    <n v="3.4870346038000002"/>
    <n v="-2984700"/>
    <s v="USD"/>
    <s v="KDB 3.375 03/12/2023"/>
    <x v="1"/>
    <s v="BN21483440"/>
    <s v="M"/>
    <m/>
    <x v="0"/>
    <s v="SRBL_CR_MFL_FI"/>
    <m/>
    <m/>
    <s v="TC-KINETIX-BRIDGE"/>
    <d v="2018-03-05T12:27:23"/>
    <s v="BN21483440"/>
    <d v="2018-03-05T12:22:17"/>
    <m/>
  </r>
  <r>
    <s v="21483439"/>
    <x v="2"/>
    <s v="Government"/>
    <s v="SRBL_CR"/>
    <s v="CSI 7533G"/>
    <x v="6"/>
    <s v="BANK OF AMERICA N.A."/>
    <d v="2018-03-05T00:00:00"/>
    <s v="500630CT3"/>
    <n v="1000000"/>
    <n v="100"/>
    <d v="2018-03-12T00:00:00"/>
    <s v="Buy"/>
    <s v="Confirmed"/>
    <d v="2018-03-05T12:22:27"/>
    <n v="0.55000000000000004"/>
    <n v="-1000000"/>
    <s v="USD"/>
    <s v="KDB F 03/12/2021"/>
    <x v="1"/>
    <s v="BN21483439"/>
    <s v="M"/>
    <m/>
    <x v="0"/>
    <s v="SRBL_CR_MFL_FI"/>
    <m/>
    <m/>
    <s v="TC-KINETIX-BRIDGE"/>
    <d v="2018-03-05T12:27:23"/>
    <s v="BN21483439"/>
    <d v="2018-03-05T12:22:21"/>
    <m/>
  </r>
  <r>
    <s v="21484144"/>
    <x v="2"/>
    <s v="Government"/>
    <s v="ASIR_DU"/>
    <s v="CSI 7533G"/>
    <x v="0"/>
    <s v="BANK OF AMERICA N.A."/>
    <d v="2018-03-05T00:00:00"/>
    <s v="9128283W8"/>
    <n v="4268000"/>
    <n v="99.046875"/>
    <d v="2018-03-06T00:00:00"/>
    <s v="Sell"/>
    <s v="Confirmed"/>
    <d v="2018-03-05T13:34:54"/>
    <n v="2.8606666053000001"/>
    <n v="4233480.9288674006"/>
    <s v="USD"/>
    <s v="T 2.75 02/15/2028"/>
    <x v="1"/>
    <s v="BN21484144"/>
    <s v="M"/>
    <m/>
    <x v="0"/>
    <s v="ASIR_DU_MFL_FI"/>
    <m/>
    <m/>
    <s v="TC-KINETIX-BRIDGE"/>
    <d v="2018-03-05T13:42:45"/>
    <s v="BN21484144"/>
    <d v="2018-03-05T13:34:47"/>
    <m/>
  </r>
  <r>
    <s v="21484145"/>
    <x v="2"/>
    <s v="Corporate"/>
    <s v="ASIR_DU"/>
    <s v="CSI 7533G"/>
    <x v="1"/>
    <s v="BANK OF AMERICA N.A."/>
    <d v="2018-03-05T00:00:00"/>
    <s v="63861VAB3"/>
    <n v="4550000"/>
    <n v="99.766999999999996"/>
    <d v="2018-03-08T00:00:00"/>
    <s v="Buy"/>
    <s v="Confirmed"/>
    <d v="2018-03-05T13:35:01"/>
    <n v="4.3268502446000001"/>
    <n v="-4539398.5"/>
    <s v="USD"/>
    <s v="NWIDE V4.302 03/08/2029 A"/>
    <x v="1"/>
    <s v="BN21484145"/>
    <s v="M"/>
    <m/>
    <x v="0"/>
    <s v="ASIR_DU_MFL_FI"/>
    <m/>
    <m/>
    <s v="TC-KINETIX-BRIDGE"/>
    <d v="2018-03-05T13:42:45"/>
    <s v="BN21484145"/>
    <d v="2018-03-05T13:34:54"/>
    <m/>
  </r>
  <r>
    <s v="21481749"/>
    <x v="2"/>
    <s v="Government"/>
    <s v="ZARKHIN"/>
    <s v="BONY 2785"/>
    <x v="0"/>
    <s v="BANK OF AMERICA N.A."/>
    <d v="2018-03-05T00:00:00"/>
    <s v="912828C99"/>
    <n v="100000000"/>
    <n v="100.1875"/>
    <d v="2018-03-06T00:00:00"/>
    <s v="Buy"/>
    <s v="Confirmed"/>
    <d v="2018-03-05T14:09:30"/>
    <n v="-4.3922228100000002E-2"/>
    <n v="-105549788.07692307"/>
    <s v="USD"/>
    <s v="TII 0.125 04/15/2019"/>
    <x v="1"/>
    <s v="BN21481749"/>
    <s v="M"/>
    <m/>
    <x v="0"/>
    <s v="ZARKHIN_MFL_FI"/>
    <m/>
    <m/>
    <s v="acohn"/>
    <d v="2018-03-05T11:59:44"/>
    <s v="BN21481749"/>
    <d v="2018-03-05T14:09:30"/>
    <m/>
  </r>
  <r>
    <s v="21484344"/>
    <x v="2"/>
    <s v="Corporate"/>
    <s v="ASIR_M"/>
    <s v="CSI 7533G"/>
    <x v="7"/>
    <s v="BANK OF AMERICA N.A."/>
    <d v="2018-03-05T00:00:00"/>
    <s v="01609WAW2"/>
    <n v="2255000"/>
    <n v="94.343999999999994"/>
    <d v="2018-03-07T00:00:00"/>
    <s v="Sell"/>
    <s v="Confirmed"/>
    <d v="2018-03-05T14:33:04"/>
    <n v="4.7159834919000003"/>
    <n v="2152537.8111111098"/>
    <s v="USD"/>
    <s v="BABA 4.4 12/06/2057"/>
    <x v="1"/>
    <s v="BN21484344"/>
    <s v="M"/>
    <m/>
    <x v="0"/>
    <s v="ASIR_M_MFL_FI"/>
    <m/>
    <m/>
    <s v="TC-KINETIX-BRIDGE"/>
    <d v="2018-03-05T14:39:27"/>
    <s v="BN21484344"/>
    <d v="2018-03-05T14:33:00"/>
    <m/>
  </r>
  <r>
    <s v="21484347"/>
    <x v="2"/>
    <s v="Government"/>
    <s v="ASIR_M"/>
    <s v="CSI 7533G"/>
    <x v="0"/>
    <s v="BANK OF AMERICA N.A."/>
    <d v="2018-03-05T00:00:00"/>
    <s v="912810RZ3"/>
    <n v="2124000"/>
    <n v="92.03125"/>
    <d v="2018-03-06T00:00:00"/>
    <s v="Buy"/>
    <s v="Confirmed"/>
    <d v="2018-03-05T14:33:10"/>
    <n v="3.1658199957000002"/>
    <n v="-1972653.9986187799"/>
    <s v="USD"/>
    <s v="T 2.75 11/15/2047"/>
    <x v="1"/>
    <s v="BN21484347"/>
    <s v="M"/>
    <m/>
    <x v="0"/>
    <s v="ASIR_M_MFL_FI"/>
    <m/>
    <m/>
    <s v="TC-KINETIX-BRIDGE"/>
    <d v="2018-03-05T14:39:27"/>
    <s v="BN21484347"/>
    <d v="2018-03-05T14:33:02"/>
    <m/>
  </r>
  <r>
    <s v="21484750"/>
    <x v="2"/>
    <s v="Corporate"/>
    <s v="ASIR_M"/>
    <s v="CSI 7533G"/>
    <x v="8"/>
    <s v="BANK OF AMERICA N.A."/>
    <d v="2018-03-05T00:00:00"/>
    <s v="50247WAB3"/>
    <n v="2730000"/>
    <n v="96.822000000000003"/>
    <d v="2018-03-07T00:00:00"/>
    <s v="Buy"/>
    <s v="Confirmed"/>
    <d v="2018-03-05T16:33:29"/>
    <n v="3.9230095913"/>
    <n v="-2644567.6833333299"/>
    <s v="USD"/>
    <s v="LYB 3.5 03/02/2027"/>
    <x v="1"/>
    <s v="BN21484750"/>
    <s v="M"/>
    <m/>
    <x v="0"/>
    <s v="ASIR_M_MFL_FI"/>
    <m/>
    <m/>
    <s v="TC-KINETIX-BRIDGE"/>
    <d v="2018-03-05T16:41:55"/>
    <s v="BN21484750"/>
    <d v="2018-03-05T16:33:25"/>
    <m/>
  </r>
  <r>
    <s v="21484752"/>
    <x v="2"/>
    <s v="Government"/>
    <s v="ASIR_M"/>
    <s v="CSI 7533G"/>
    <x v="0"/>
    <s v="BANK OF AMERICA N.A."/>
    <d v="2018-03-05T00:00:00"/>
    <s v="9128283W8"/>
    <n v="2348000"/>
    <n v="98.859375"/>
    <d v="2018-03-06T00:00:00"/>
    <s v="Sell"/>
    <s v="Confirmed"/>
    <d v="2018-03-05T16:33:34"/>
    <n v="2.8826001954999998"/>
    <n v="2324607.1581491702"/>
    <s v="USD"/>
    <s v="T 2.75 02/15/2028"/>
    <x v="1"/>
    <s v="BN21484752"/>
    <s v="M"/>
    <m/>
    <x v="0"/>
    <s v="ASIR_M_MFL_FI"/>
    <m/>
    <m/>
    <s v="TC-KINETIX-BRIDGE"/>
    <d v="2018-03-05T16:41:55"/>
    <s v="BN21484752"/>
    <d v="2018-03-05T16:33:26"/>
    <m/>
  </r>
  <r>
    <s v="21483458"/>
    <x v="2"/>
    <s v="Government"/>
    <s v="ASIR_DU"/>
    <s v="CSI 7533G"/>
    <x v="0"/>
    <s v="BANK OF AMERICA N.A."/>
    <d v="2018-03-05T00:00:00"/>
    <s v="912810SA7"/>
    <n v="2730000"/>
    <n v="97.05859375"/>
    <d v="2018-03-06T00:00:00"/>
    <s v="Buy"/>
    <s v="Booked"/>
    <d v="2018-03-05T12:24:55"/>
    <n v="3.1524310809"/>
    <n v="-2653998.2281595301"/>
    <s v="USD"/>
    <s v="T 3 02/15/2048"/>
    <x v="2"/>
    <m/>
    <m/>
    <m/>
    <x v="0"/>
    <s v="ASIR_DU_MFL_FI"/>
    <m/>
    <m/>
    <s v="TC-KINETIX-BRIDGE"/>
    <d v="2018-03-05T12:27:23"/>
    <m/>
    <d v="2018-03-05T12:24:49"/>
    <m/>
  </r>
  <r>
    <s v="21481286"/>
    <x v="2"/>
    <s v="Government"/>
    <s v="AG_CP"/>
    <s v="BONY 2785"/>
    <x v="0"/>
    <s v="BANK OF AMERICA SECURITIES"/>
    <d v="2018-03-05T00:00:00"/>
    <s v="9128283W8"/>
    <n v="5000000"/>
    <n v="99.069912500000001"/>
    <d v="2018-03-06T00:00:00"/>
    <s v="Sell"/>
    <s v="Confirmed"/>
    <d v="2018-03-05T11:07:45"/>
    <n v="2.8579749657"/>
    <n v="4960712.4758287296"/>
    <s v="USD"/>
    <s v="T 2.75 02/15/2028"/>
    <x v="1"/>
    <s v="BN21481286"/>
    <s v="M"/>
    <m/>
    <x v="0"/>
    <s v="AG_CP_MFL_FI"/>
    <m/>
    <m/>
    <s v="TC-KINETIX-BRIDGE"/>
    <d v="2018-03-05T11:13:15"/>
    <s v="BN21481286"/>
    <d v="2018-03-05T11:07:40"/>
    <m/>
  </r>
  <r>
    <s v="21476055"/>
    <x v="2"/>
    <s v="US ABS"/>
    <s v="AG_CP"/>
    <s v="CGMI XPBMFI7"/>
    <x v="9"/>
    <s v="BANK OF AMERICA SECURITIES"/>
    <d v="2018-03-05T00:00:00"/>
    <s v="21H032639"/>
    <n v="50000000"/>
    <n v="100.7109375"/>
    <d v="2018-03-20T00:00:00"/>
    <s v="Sell"/>
    <s v="Confirmed"/>
    <d v="2018-03-05T09:05:31"/>
    <n v="3.4520432453000001"/>
    <n v="50355468.75"/>
    <s v="USD"/>
    <s v="G2SF 3.5 3/18"/>
    <x v="1"/>
    <s v="BN21476055"/>
    <s v="M"/>
    <m/>
    <x v="0"/>
    <s v="AG_CP_MFL_FI"/>
    <m/>
    <m/>
    <m/>
    <d v="2018-03-05T08:57:01"/>
    <s v="BN21476055"/>
    <d v="2018-03-05T08:48:53"/>
    <m/>
  </r>
  <r>
    <s v="21476053"/>
    <x v="2"/>
    <s v="US ABS"/>
    <s v="AG_CP"/>
    <s v="CGMI XPBMFI7"/>
    <x v="9"/>
    <s v="BANK OF AMERICA SECURITIES"/>
    <d v="2018-03-05T00:00:00"/>
    <s v="21H032639"/>
    <n v="50000000"/>
    <n v="100.70703125"/>
    <d v="2018-03-20T00:00:00"/>
    <s v="Sell"/>
    <s v="Confirmed"/>
    <d v="2018-03-05T09:10:32"/>
    <n v="3.4522512453999998"/>
    <n v="50353515.625"/>
    <s v="USD"/>
    <s v="G2SF 3.5 3/18"/>
    <x v="1"/>
    <s v="BN21476053"/>
    <s v="M"/>
    <m/>
    <x v="0"/>
    <s v="AG_CP_MFL_FI"/>
    <m/>
    <m/>
    <m/>
    <d v="2018-03-05T08:57:01"/>
    <s v="BN21476053"/>
    <d v="2018-03-05T08:48:38"/>
    <m/>
  </r>
  <r>
    <s v="21476554"/>
    <x v="2"/>
    <s v="US ABS"/>
    <s v="AG_CP"/>
    <s v="CGMI XPBMFI7"/>
    <x v="9"/>
    <s v="BANK OF AMERICA SECURITIES"/>
    <d v="2018-03-05T00:00:00"/>
    <s v="21H032654"/>
    <n v="50000000"/>
    <n v="100.421875"/>
    <d v="2018-05-21T00:00:00"/>
    <s v="Buy"/>
    <s v="Confirmed"/>
    <d v="2018-03-05T09:50:37"/>
    <n v="3.4674579232"/>
    <n v="-50210937.5"/>
    <s v="USD"/>
    <s v="G2SF 3.5 5/18"/>
    <x v="1"/>
    <s v="BN21476554"/>
    <s v="M"/>
    <m/>
    <x v="0"/>
    <s v="AG_CP_MFL_FI"/>
    <m/>
    <m/>
    <m/>
    <d v="2018-03-05T09:43:28"/>
    <s v="BN21476554"/>
    <d v="2018-03-05T09:34:30"/>
    <m/>
  </r>
  <r>
    <s v="21476540"/>
    <x v="2"/>
    <s v="US ABS"/>
    <s v="AG_CP"/>
    <s v="CGMI XPBMFI7"/>
    <x v="9"/>
    <s v="BANK OF AMERICA SECURITIES"/>
    <d v="2018-03-05T00:00:00"/>
    <s v="21H032654"/>
    <n v="50000000"/>
    <n v="100.421875"/>
    <d v="2018-05-21T00:00:00"/>
    <s v="Buy"/>
    <s v="Confirmed"/>
    <d v="2018-03-05T09:50:37"/>
    <n v="3.4674579232"/>
    <n v="-50210937.5"/>
    <s v="USD"/>
    <s v="G2SF 3.5 5/18"/>
    <x v="1"/>
    <s v="BN21476540"/>
    <s v="M"/>
    <m/>
    <x v="0"/>
    <s v="AG_CP_MFL_FI"/>
    <m/>
    <m/>
    <m/>
    <d v="2018-03-05T09:43:28"/>
    <s v="BN21476540"/>
    <d v="2018-03-05T09:34:09"/>
    <m/>
  </r>
  <r>
    <s v="21481354"/>
    <x v="2"/>
    <s v="US ABS"/>
    <s v="AG_TRS"/>
    <s v="CGMI XPBMFI7"/>
    <x v="9"/>
    <s v="BANK OF AMERICA SECURITIES"/>
    <d v="2018-03-05T00:00:00"/>
    <s v="01F030439"/>
    <n v="21000000"/>
    <n v="99.5703125"/>
    <d v="2018-03-15T00:00:00"/>
    <s v="Sell"/>
    <s v="Confirmed"/>
    <d v="2018-03-05T11:26:07"/>
    <n v="3.0111419694000001"/>
    <n v="20909765.625"/>
    <s v="USD"/>
    <s v="FNCI 3 3/18"/>
    <x v="1"/>
    <s v="BN21481354"/>
    <s v="M"/>
    <m/>
    <x v="0"/>
    <s v="AG_TRS_MFL_FI"/>
    <m/>
    <m/>
    <m/>
    <d v="2018-03-05T11:16:43"/>
    <s v="BN21481354"/>
    <d v="2018-03-05T11:12:19"/>
    <m/>
  </r>
  <r>
    <s v="21481716"/>
    <x v="2"/>
    <s v="US ABS"/>
    <s v="AG_TRS"/>
    <s v="CGMI XPBMFI7"/>
    <x v="9"/>
    <s v="BANK OF AMERICA SECURITIES"/>
    <d v="2018-03-05T00:00:00"/>
    <s v="01F030447"/>
    <n v="21000000"/>
    <n v="99.453125"/>
    <d v="2018-04-17T00:00:00"/>
    <s v="Buy"/>
    <s v="Confirmed"/>
    <d v="2018-03-05T12:01:11"/>
    <n v="3.0177686079999999"/>
    <n v="-20885156.25"/>
    <s v="USD"/>
    <s v="FNCI 3 4/18"/>
    <x v="1"/>
    <s v="BN21481716"/>
    <s v="M"/>
    <m/>
    <x v="0"/>
    <s v="AG_TRS_MFL_FI"/>
    <m/>
    <m/>
    <m/>
    <d v="2018-03-05T11:53:56"/>
    <s v="BN21481716"/>
    <d v="2018-03-05T11:49:40"/>
    <m/>
  </r>
  <r>
    <s v="21484970"/>
    <x v="2"/>
    <s v="Government"/>
    <s v="SYM_ES"/>
    <s v="CSI 7533G"/>
    <x v="10"/>
    <s v="BANK OF MONTREAL"/>
    <d v="2018-03-05T00:00:00"/>
    <s v="CA135087E679"/>
    <n v="7200000"/>
    <n v="94.951599999999999"/>
    <d v="2018-03-07T00:00:00"/>
    <s v="Buy"/>
    <s v="Confirmed"/>
    <d v="2018-03-05T16:54:57"/>
    <n v="2.1726032050000001"/>
    <n v="-6864920.6794520505"/>
    <s v="CAD"/>
    <s v="CAN 1.5 06/01/2026"/>
    <x v="1"/>
    <s v="BN21484970"/>
    <s v="M"/>
    <m/>
    <x v="0"/>
    <s v="SYM_ES_MFL_FI"/>
    <m/>
    <m/>
    <s v="TC-KINETIX-BRIDGE"/>
    <d v="2018-03-05T17:01:21"/>
    <s v="BN21484970"/>
    <d v="2018-03-05T16:54:10"/>
    <m/>
  </r>
  <r>
    <s v="21473340"/>
    <x v="2"/>
    <s v="Government"/>
    <s v="SUTTON"/>
    <s v="CGMI XPBMFI6"/>
    <x v="11"/>
    <s v="BARCLAYS BANK PLC"/>
    <d v="2018-03-05T00:00:00"/>
    <s v="ES0000012B39"/>
    <n v="25000000"/>
    <n v="98.585965000000002"/>
    <d v="2018-03-07T00:00:00"/>
    <s v="Sell"/>
    <s v="Confirmed"/>
    <d v="2018-03-05T03:05:09"/>
    <n v="1.5517888704"/>
    <n v="24681011.797945209"/>
    <s v="EUR"/>
    <s v="SPGB 1.4 04/30/2028"/>
    <x v="1"/>
    <s v="BN21473340"/>
    <s v="M"/>
    <m/>
    <x v="0"/>
    <s v="SUTTON_MFL_FI"/>
    <m/>
    <m/>
    <s v="asutton"/>
    <d v="2018-03-05T03:07:23"/>
    <s v="BN21473340"/>
    <d v="2018-03-05T03:05:09"/>
    <m/>
  </r>
  <r>
    <s v="21473974"/>
    <x v="2"/>
    <s v="Government"/>
    <s v="SYM_ES"/>
    <s v="BCSL 500955"/>
    <x v="4"/>
    <s v="BARCLAYS BANK PLC"/>
    <d v="2018-03-05T00:00:00"/>
    <s v="DE0001102390"/>
    <n v="38620000"/>
    <n v="100.8386"/>
    <d v="2018-03-07T00:00:00"/>
    <s v="Buy"/>
    <s v="Confirmed"/>
    <d v="2018-03-05T05:52:28"/>
    <n v="0.39258388329999999"/>
    <n v="-38954448.14191781"/>
    <s v="EUR"/>
    <s v="DBR 0.5 02/15/2026"/>
    <x v="1"/>
    <s v="BN21473974"/>
    <s v="M"/>
    <m/>
    <x v="0"/>
    <s v="SYM_ES_MFL_FI"/>
    <m/>
    <m/>
    <s v="TC-KINETIX-BRIDGE"/>
    <d v="2018-03-05T05:58:58"/>
    <s v="BN21473974"/>
    <d v="2018-03-05T05:52:23"/>
    <m/>
  </r>
  <r>
    <s v="21474072"/>
    <x v="2"/>
    <s v="Corporate"/>
    <s v="BAIL_JG"/>
    <s v="BCSL 500955"/>
    <x v="12"/>
    <s v="BARCLAYS BANK PLC"/>
    <d v="2018-03-05T00:00:00"/>
    <s v="XS1640903701"/>
    <n v="3000000"/>
    <n v="106.25"/>
    <d v="2018-03-07T00:00:00"/>
    <s v="Buy"/>
    <s v="Confirmed"/>
    <d v="2018-03-05T06:20:50"/>
    <n v="4.4699738262000004"/>
    <n v="-3211906.0773480698"/>
    <s v="EUR"/>
    <s v="HSBC V4.75 PERP EMTN"/>
    <x v="1"/>
    <s v="BN21474072"/>
    <s v="M"/>
    <m/>
    <x v="0"/>
    <s v="BAIL_JG_MFL_FI"/>
    <m/>
    <m/>
    <s v="TC-KINETIX-BRIDGE"/>
    <d v="2018-03-05T06:26:17"/>
    <s v="BN21474072"/>
    <d v="2018-03-05T06:20:45"/>
    <m/>
  </r>
  <r>
    <s v="21476806"/>
    <x v="2"/>
    <s v="Government"/>
    <s v="BAIL_AD"/>
    <s v="CSI 7533G"/>
    <x v="0"/>
    <s v="BARCLAYS BANK PLC"/>
    <d v="2018-03-05T00:00:00"/>
    <s v="9128284A5"/>
    <n v="5000000"/>
    <n v="100.09375"/>
    <d v="2018-03-06T00:00:00"/>
    <s v="Buy"/>
    <s v="Confirmed"/>
    <d v="2018-03-05T09:54:25"/>
    <n v="2.6047616576000001"/>
    <n v="-5006827.4456521701"/>
    <s v="USD"/>
    <s v="T 2.625 02/28/2023"/>
    <x v="1"/>
    <s v="BN21476806"/>
    <s v="M"/>
    <m/>
    <x v="0"/>
    <s v="BAIL_AD_MFL_FI"/>
    <m/>
    <m/>
    <s v="Ribenincasa"/>
    <d v="2018-03-05T09:58:35"/>
    <s v="BN21476806"/>
    <d v="2018-03-05T09:54:18"/>
    <m/>
  </r>
  <r>
    <s v="21480782"/>
    <x v="2"/>
    <s v="Government"/>
    <s v="AITSAID"/>
    <s v="BCSL 500955"/>
    <x v="4"/>
    <s v="BARCLAYS BANK PLC"/>
    <d v="2018-03-05T00:00:00"/>
    <s v="DE0001135473"/>
    <n v="150000000"/>
    <n v="108.425"/>
    <d v="2018-03-07T00:00:00"/>
    <s v="Sell"/>
    <s v="Confirmed"/>
    <d v="2018-03-05T10:38:03"/>
    <n v="-0.18770637609999999"/>
    <n v="164406678.0821918"/>
    <s v="EUR"/>
    <s v="DBR 1.75 07/04/2022"/>
    <x v="1"/>
    <s v="BN21480782"/>
    <s v="M"/>
    <m/>
    <x v="0"/>
    <s v="AITSAID_MFL_FI"/>
    <m/>
    <m/>
    <s v="TC-KINETIX-BRIDGE"/>
    <d v="2018-03-05T10:45:20"/>
    <s v="BN21480782"/>
    <d v="2018-03-05T10:37:58"/>
    <m/>
  </r>
  <r>
    <s v="21481094"/>
    <x v="2"/>
    <s v="Corporate"/>
    <s v="BAIL_AD"/>
    <s v="CSI 7533G"/>
    <x v="13"/>
    <s v="BARCLAYS BANK PLC"/>
    <d v="2018-03-05T00:00:00"/>
    <s v="639365AH8"/>
    <n v="1000000"/>
    <n v="101.5"/>
    <d v="2018-03-07T00:00:00"/>
    <s v="Sell"/>
    <s v="Confirmed"/>
    <d v="2018-03-05T10:57:22"/>
    <n v="10.811079120300001"/>
    <n v="1021875"/>
    <s v="USD"/>
    <s v="NM 11.25 08/15/2022 A"/>
    <x v="1"/>
    <s v="BN21481094"/>
    <s v="M"/>
    <m/>
    <x v="0"/>
    <s v="BAIL_AD_MFL_FI"/>
    <m/>
    <m/>
    <s v="TC-KINETIX-BRIDGE"/>
    <d v="2018-03-05T11:04:03"/>
    <s v="BN21481094"/>
    <d v="2018-03-05T10:57:17"/>
    <m/>
  </r>
  <r>
    <s v="21481139"/>
    <x v="2"/>
    <s v="Corporate"/>
    <s v="ASIR_TR"/>
    <s v="CSI 7533G"/>
    <x v="1"/>
    <s v="BARCLAYS BANK PLC"/>
    <d v="2018-03-05T00:00:00"/>
    <s v="026874DH7"/>
    <n v="5545000"/>
    <n v="99.600999999999999"/>
    <d v="2018-03-07T00:00:00"/>
    <s v="Sell"/>
    <s v="Confirmed"/>
    <d v="2018-03-05T10:59:44"/>
    <n v="3.9579389366000002"/>
    <n v="5616585.9500000002"/>
    <s v="USD"/>
    <s v="AIG 3.9 04/01/2026"/>
    <x v="1"/>
    <s v="BN21481139"/>
    <s v="M"/>
    <m/>
    <x v="0"/>
    <s v="ASIR_TR_MFL_FI"/>
    <m/>
    <m/>
    <s v="TC-KINETIX-BRIDGE"/>
    <d v="2018-03-05T11:04:03"/>
    <s v="BN21481139"/>
    <d v="2018-03-05T10:59:39"/>
    <m/>
  </r>
  <r>
    <s v="21481140"/>
    <x v="2"/>
    <s v="Government"/>
    <s v="ASIR_TR"/>
    <s v="CSI 7533G"/>
    <x v="0"/>
    <s v="BARCLAYS BANK PLC"/>
    <d v="2018-03-05T00:00:00"/>
    <s v="9128283W8"/>
    <n v="4436000"/>
    <n v="99.328125"/>
    <d v="2018-03-06T00:00:00"/>
    <s v="Buy"/>
    <s v="Confirmed"/>
    <d v="2018-03-05T10:59:45"/>
    <n v="2.8278548634999998"/>
    <n v="-4412598.4150552498"/>
    <s v="USD"/>
    <s v="T 2.75 02/15/2028"/>
    <x v="1"/>
    <s v="BN21481140"/>
    <s v="M"/>
    <m/>
    <x v="0"/>
    <s v="ASIR_TR_MFL_FI"/>
    <m/>
    <m/>
    <s v="TC-KINETIX-BRIDGE"/>
    <d v="2018-03-05T11:04:03"/>
    <s v="BN21481140"/>
    <d v="2018-03-05T10:59:39"/>
    <m/>
  </r>
  <r>
    <s v="21481316"/>
    <x v="2"/>
    <s v="Government"/>
    <s v="ASIR_TR"/>
    <s v="CSI 7533G"/>
    <x v="0"/>
    <s v="BARCLAYS BANK PLC"/>
    <d v="2018-03-05T00:00:00"/>
    <s v="912810SA7"/>
    <n v="4550000"/>
    <n v="97.4453125"/>
    <d v="2018-03-06T00:00:00"/>
    <s v="Sell"/>
    <s v="Confirmed"/>
    <d v="2018-03-05T11:09:06"/>
    <n v="3.1320400884000001"/>
    <n v="4440926.0833908794"/>
    <s v="USD"/>
    <s v="T 3 02/15/2048"/>
    <x v="1"/>
    <s v="BN21481316"/>
    <s v="M"/>
    <m/>
    <x v="0"/>
    <s v="ASIR_TR_MFL_FI"/>
    <m/>
    <m/>
    <s v="TC-KINETIX-BRIDGE"/>
    <d v="2018-03-05T11:13:15"/>
    <s v="BN21481316"/>
    <d v="2018-03-05T11:08:58"/>
    <m/>
  </r>
  <r>
    <s v="21481373"/>
    <x v="2"/>
    <s v="Government"/>
    <s v="ASIR_TR"/>
    <s v="CSI 7533G"/>
    <x v="0"/>
    <s v="BARCLAYS BANK PLC"/>
    <d v="2018-03-05T00:00:00"/>
    <s v="912810SA7"/>
    <n v="4550000"/>
    <n v="97.23828125"/>
    <d v="2018-03-06T00:00:00"/>
    <s v="Sell"/>
    <s v="Confirmed"/>
    <d v="2018-03-05T11:13:18"/>
    <n v="3.1429432487"/>
    <n v="4431506.1615158804"/>
    <s v="USD"/>
    <s v="T 3 02/15/2048"/>
    <x v="1"/>
    <s v="BN21481373"/>
    <s v="M"/>
    <m/>
    <x v="0"/>
    <s v="ASIR_TR_MFL_FI"/>
    <m/>
    <m/>
    <s v="TC-KINETIX-BRIDGE"/>
    <d v="2018-03-05T11:22:38"/>
    <s v="BN21481373"/>
    <d v="2018-03-05T11:13:12"/>
    <m/>
  </r>
  <r>
    <s v="21481618"/>
    <x v="2"/>
    <s v="Government"/>
    <s v="ASIR_TR"/>
    <s v="CSI 7533G"/>
    <x v="0"/>
    <s v="BARCLAYS BANK PLC"/>
    <d v="2018-03-05T00:00:00"/>
    <s v="912810SA7"/>
    <n v="4550000"/>
    <n v="97.1796875"/>
    <d v="2018-03-06T00:00:00"/>
    <s v="Sell"/>
    <s v="Confirmed"/>
    <d v="2018-03-05T11:41:50"/>
    <n v="3.1460345779000001"/>
    <n v="4428840.1458908804"/>
    <s v="USD"/>
    <s v="T 3 02/15/2048"/>
    <x v="1"/>
    <s v="BN21481618"/>
    <s v="M"/>
    <m/>
    <x v="0"/>
    <s v="ASIR_TR_MFL_FI"/>
    <m/>
    <m/>
    <s v="TC-KINETIX-BRIDGE"/>
    <d v="2018-03-05T11:50:27"/>
    <s v="BN21481618"/>
    <d v="2018-03-05T11:41:09"/>
    <m/>
  </r>
  <r>
    <s v="21481620"/>
    <x v="2"/>
    <s v="Government"/>
    <s v="ASIR_TR"/>
    <s v="CSI 7533G"/>
    <x v="0"/>
    <s v="BARCLAYS BANK PLC"/>
    <d v="2018-03-05T00:00:00"/>
    <s v="912810SA7"/>
    <n v="4550000"/>
    <n v="97.1171875"/>
    <d v="2018-03-06T00:00:00"/>
    <s v="Sell"/>
    <s v="Confirmed"/>
    <d v="2018-03-05T11:41:51"/>
    <n v="3.1493346921000001"/>
    <n v="4425996.3958908804"/>
    <s v="USD"/>
    <s v="T 3 02/15/2048"/>
    <x v="1"/>
    <s v="BN21481620"/>
    <s v="M"/>
    <m/>
    <x v="0"/>
    <s v="ASIR_TR_MFL_FI"/>
    <m/>
    <m/>
    <s v="TC-KINETIX-BRIDGE"/>
    <d v="2018-03-05T11:50:27"/>
    <s v="BN21481620"/>
    <d v="2018-03-05T11:41:08"/>
    <m/>
  </r>
  <r>
    <s v="21483453"/>
    <x v="2"/>
    <s v="Government"/>
    <s v="ASIR_TR"/>
    <s v="CSI 7533G"/>
    <x v="0"/>
    <s v="BARCLAYS BANK PLC"/>
    <d v="2018-03-05T00:00:00"/>
    <s v="912810SA7"/>
    <n v="4550000"/>
    <n v="97.0703125"/>
    <d v="2018-03-06T00:00:00"/>
    <s v="Buy"/>
    <s v="Confirmed"/>
    <d v="2018-03-05T12:23:50"/>
    <n v="3.1518116069"/>
    <n v="-4423863.5833908794"/>
    <s v="USD"/>
    <s v="T 3 02/15/2048"/>
    <x v="1"/>
    <s v="BN21483453"/>
    <s v="M"/>
    <m/>
    <x v="0"/>
    <s v="ASIR_TR_MFL_FI"/>
    <m/>
    <m/>
    <s v="TC-KINETIX-BRIDGE"/>
    <d v="2018-03-05T12:27:23"/>
    <s v="BN21483453"/>
    <d v="2018-03-05T12:23:47"/>
    <m/>
  </r>
  <r>
    <s v="21483470"/>
    <x v="2"/>
    <s v="Government"/>
    <s v="ASIR_TR"/>
    <s v="CSI 7533G"/>
    <x v="0"/>
    <s v="BARCLAYS BANK PLC"/>
    <d v="2018-03-05T00:00:00"/>
    <s v="912810SA7"/>
    <n v="4550000"/>
    <n v="97.08984375"/>
    <d v="2018-03-06T00:00:00"/>
    <s v="Buy"/>
    <s v="Confirmed"/>
    <d v="2018-03-05T12:25:54"/>
    <n v="3.1507793683999998"/>
    <n v="-4424752.2552658804"/>
    <s v="USD"/>
    <s v="T 3 02/15/2048"/>
    <x v="1"/>
    <s v="BN21483470"/>
    <s v="M"/>
    <m/>
    <x v="0"/>
    <s v="ASIR_TR_MFL_FI"/>
    <m/>
    <m/>
    <s v="TC-KINETIX-BRIDGE"/>
    <d v="2018-03-05T12:36:56"/>
    <s v="BN21483470"/>
    <d v="2018-03-05T12:25:49"/>
    <m/>
  </r>
  <r>
    <s v="21481537"/>
    <x v="2"/>
    <s v="Corporate"/>
    <s v="NEG_BMXF"/>
    <s v="CSI 7533G"/>
    <x v="1"/>
    <s v="BARCLAYS BANK PLC"/>
    <d v="2018-03-05T00:00:00"/>
    <s v="767754CH5"/>
    <n v="5000000"/>
    <n v="101.05"/>
    <d v="2018-03-07T00:00:00"/>
    <s v="Buy"/>
    <s v="Confirmed"/>
    <d v="2018-03-05T13:18:40"/>
    <n v="5.8757467016999998"/>
    <n v="-5083975.6944444394"/>
    <s v="USD"/>
    <s v="RAD 6.125 04/01/2023 A"/>
    <x v="1"/>
    <s v="BN21481537"/>
    <s v="M"/>
    <m/>
    <x v="0"/>
    <s v="NEG_BMXF_MFL_FI"/>
    <m/>
    <m/>
    <s v="bmaggio"/>
    <d v="2018-03-05T11:41:05"/>
    <s v="BN21481537"/>
    <d v="2018-03-05T13:18:40"/>
    <m/>
  </r>
  <r>
    <s v="21484135"/>
    <x v="2"/>
    <s v="Corporate"/>
    <s v="ASIR_RT"/>
    <s v="CSI 7533G"/>
    <x v="14"/>
    <s v="BARCLAYS BANK PLC"/>
    <d v="2018-03-05T00:00:00"/>
    <s v="04686JAA9"/>
    <n v="2730000"/>
    <n v="95.686000000000007"/>
    <d v="2018-03-07T00:00:00"/>
    <s v="Sell"/>
    <s v="Confirmed"/>
    <d v="2018-03-05T13:34:40"/>
    <n v="4.6760361575999996"/>
    <n v="2629432.4875000003"/>
    <s v="USD"/>
    <s v="ATH 4.125 01/12/2028"/>
    <x v="1"/>
    <s v="BN21484135"/>
    <s v="M"/>
    <m/>
    <x v="0"/>
    <s v="ASIR_RT_MFL_FI"/>
    <m/>
    <m/>
    <s v="TC-KINETIX-BRIDGE"/>
    <d v="2018-03-05T13:42:45"/>
    <s v="BN21484135"/>
    <d v="2018-03-05T13:34:34"/>
    <m/>
  </r>
  <r>
    <s v="21484142"/>
    <x v="2"/>
    <s v="Government"/>
    <s v="ASIR_RT"/>
    <s v="CSI 7533G"/>
    <x v="0"/>
    <s v="BARCLAYS BANK PLC"/>
    <d v="2018-03-05T00:00:00"/>
    <s v="9128283W8"/>
    <n v="2421000"/>
    <n v="99"/>
    <d v="2018-03-06T00:00:00"/>
    <s v="Buy"/>
    <s v="Confirmed"/>
    <d v="2018-03-05T13:34:44"/>
    <n v="2.8661455599000001"/>
    <n v="-2400284.39917127"/>
    <s v="USD"/>
    <s v="T 2.75 02/15/2028"/>
    <x v="1"/>
    <s v="BN21484142"/>
    <s v="M"/>
    <m/>
    <x v="0"/>
    <s v="ASIR_RT_MFL_FI"/>
    <m/>
    <m/>
    <s v="TC-KINETIX-BRIDGE"/>
    <d v="2018-03-05T13:42:45"/>
    <s v="BN21484142"/>
    <d v="2018-03-05T13:34:37"/>
    <m/>
  </r>
  <r>
    <s v="21483278"/>
    <x v="2"/>
    <s v="Government"/>
    <s v="ZARKHIN"/>
    <s v="BONY 2785"/>
    <x v="0"/>
    <s v="BARCLAYS BANK PLC"/>
    <d v="2018-03-05T00:00:00"/>
    <s v="912828C99"/>
    <n v="100000000"/>
    <n v="100.1875"/>
    <d v="2018-03-06T00:00:00"/>
    <s v="Buy"/>
    <s v="Confirmed"/>
    <d v="2018-03-05T14:09:30"/>
    <n v="-4.3922228100000002E-2"/>
    <n v="-105549788.07692307"/>
    <s v="USD"/>
    <s v="TII 0.125 04/15/2019"/>
    <x v="1"/>
    <s v="BN21483278"/>
    <s v="M"/>
    <m/>
    <x v="0"/>
    <s v="ZARKHIN_MFL_FI"/>
    <m/>
    <m/>
    <s v="acohn"/>
    <d v="2018-03-05T12:08:55"/>
    <s v="BN21483278"/>
    <d v="2018-03-05T14:09:30"/>
    <m/>
  </r>
  <r>
    <s v="21484354"/>
    <x v="2"/>
    <s v="Government"/>
    <s v="SYM_SA"/>
    <s v="BONY 2785"/>
    <x v="0"/>
    <s v="BARCLAYS BANK PLC"/>
    <d v="2018-03-05T00:00:00"/>
    <s v="9128283F5"/>
    <n v="11000000"/>
    <n v="94.909841999999998"/>
    <d v="2018-03-06T00:00:00"/>
    <s v="Buy"/>
    <s v="Confirmed"/>
    <d v="2018-03-05T14:34:37"/>
    <n v="2.8546060190000002"/>
    <n v="-10515973.5039779"/>
    <s v="USD"/>
    <s v="T 2.25 11/15/2027"/>
    <x v="1"/>
    <s v="BN21484354"/>
    <s v="M"/>
    <m/>
    <x v="0"/>
    <s v="SYM_SA_MFL_FI"/>
    <m/>
    <m/>
    <s v="TC-KINETIX-BRIDGE"/>
    <d v="2018-03-05T14:39:27"/>
    <s v="BN21484354"/>
    <d v="2018-03-05T14:34:31"/>
    <m/>
  </r>
  <r>
    <s v="21484355"/>
    <x v="2"/>
    <s v="Government"/>
    <s v="SYM_SA"/>
    <s v="BONY 2785"/>
    <x v="0"/>
    <s v="BARCLAYS BANK PLC"/>
    <d v="2018-03-05T00:00:00"/>
    <s v="9128283W8"/>
    <n v="10500000"/>
    <n v="99.2890625"/>
    <d v="2018-03-06T00:00:00"/>
    <s v="Sell"/>
    <s v="Confirmed"/>
    <d v="2018-03-05T14:34:38"/>
    <n v="2.8324057090000001"/>
    <n v="10440506.949240331"/>
    <s v="USD"/>
    <s v="T 2.75 02/15/2028"/>
    <x v="1"/>
    <s v="BN21484355"/>
    <s v="M"/>
    <m/>
    <x v="0"/>
    <s v="SYM_SA_MFL_FI"/>
    <m/>
    <m/>
    <s v="TC-KINETIX-BRIDGE"/>
    <d v="2018-03-05T14:39:27"/>
    <s v="BN21484355"/>
    <d v="2018-03-05T14:34:31"/>
    <m/>
  </r>
  <r>
    <s v="21484401"/>
    <x v="2"/>
    <s v="Government"/>
    <s v="TT_JS"/>
    <s v="BONY 2785"/>
    <x v="0"/>
    <s v="BARCLAYS BANK PLC"/>
    <d v="2018-03-05T00:00:00"/>
    <s v="9128283F5"/>
    <n v="200000000"/>
    <n v="94.432490000000001"/>
    <d v="2018-03-06T00:00:00"/>
    <s v="Sell"/>
    <s v="Confirmed"/>
    <d v="2018-03-05T14:52:06"/>
    <n v="2.9131858454000001"/>
    <n v="190244814.25414363"/>
    <s v="USD"/>
    <s v="T 2.25 11/15/2027"/>
    <x v="1"/>
    <s v="BN21484401"/>
    <s v="M"/>
    <m/>
    <x v="0"/>
    <s v="TT_JS_MFL_FI"/>
    <m/>
    <m/>
    <s v="TC-KINETIX-BRIDGE"/>
    <d v="2018-03-05T14:58:06"/>
    <s v="BN21484401"/>
    <d v="2018-03-05T14:52:02"/>
    <m/>
  </r>
  <r>
    <s v="21484503"/>
    <x v="2"/>
    <s v="Corporate"/>
    <s v="ASIR_DU"/>
    <s v="CSI 7533G"/>
    <x v="15"/>
    <s v="BARCLAYS BANK PLC"/>
    <d v="2018-03-05T00:00:00"/>
    <s v="29250NAW5"/>
    <n v="4550000"/>
    <n v="100.25"/>
    <d v="2018-03-07T00:00:00"/>
    <s v="Buy"/>
    <s v="Confirmed"/>
    <d v="2018-03-05T15:17:41"/>
    <n v="6.2104153841"/>
    <n v="-4566114.5833333302"/>
    <s v="USD"/>
    <s v="ENBCN V6.25 03/01/2078"/>
    <x v="1"/>
    <s v="BN21484503"/>
    <s v="M"/>
    <m/>
    <x v="0"/>
    <s v="ASIR_DU_MFL_FI"/>
    <m/>
    <m/>
    <s v="TC-KINETIX-BRIDGE"/>
    <d v="2018-03-05T15:26:17"/>
    <s v="BN21484503"/>
    <d v="2018-03-05T15:17:33"/>
    <m/>
  </r>
  <r>
    <s v="21484682"/>
    <x v="2"/>
    <s v="Government"/>
    <s v="NEG_MG"/>
    <s v="CSI 7533G"/>
    <x v="0"/>
    <s v="BARCLAYS BANK PLC"/>
    <d v="2018-03-05T00:00:00"/>
    <s v="9128283W8"/>
    <n v="1800000"/>
    <n v="98.875"/>
    <d v="2018-03-06T00:00:00"/>
    <s v="Buy"/>
    <s v="Confirmed"/>
    <d v="2018-03-05T16:06:13"/>
    <n v="2.8807705845"/>
    <n v="-1782348.06629834"/>
    <s v="USD"/>
    <s v="T 2.75 02/15/2028"/>
    <x v="1"/>
    <s v="BN21484682"/>
    <s v="M"/>
    <m/>
    <x v="0"/>
    <s v="NEG_MG_MFL_FI"/>
    <m/>
    <m/>
    <s v="TC-KINETIX-BRIDGE"/>
    <d v="2018-03-05T16:13:09"/>
    <s v="BN21484682"/>
    <d v="2018-03-05T16:06:06"/>
    <m/>
  </r>
  <r>
    <s v="21484680"/>
    <x v="2"/>
    <s v="Corporate"/>
    <s v="NEG_MG"/>
    <s v="CSI 7533G"/>
    <x v="1"/>
    <s v="BARCLAYS BANK PLC"/>
    <d v="2018-03-05T00:00:00"/>
    <s v="25470DAR0"/>
    <n v="2000000"/>
    <n v="95.704999999999998"/>
    <d v="2018-03-07T00:00:00"/>
    <s v="Sell"/>
    <s v="Confirmed"/>
    <d v="2018-03-05T16:06:17"/>
    <n v="4.4805137462999998"/>
    <n v="1950527.7777777801"/>
    <s v="USD"/>
    <s v="DISCA 3.95 03/20/2028"/>
    <x v="1"/>
    <s v="BN21484680"/>
    <s v="M"/>
    <m/>
    <x v="0"/>
    <s v="NEG_MG_MFL_FI"/>
    <m/>
    <m/>
    <s v="TC-KINETIX-BRIDGE"/>
    <d v="2018-03-05T16:13:09"/>
    <s v="BN21484680"/>
    <d v="2018-03-05T16:06:10"/>
    <m/>
  </r>
  <r>
    <s v="21483810"/>
    <x v="2"/>
    <s v="Government"/>
    <s v="AITSAID"/>
    <s v="BONY 2785"/>
    <x v="0"/>
    <s v="BARCLAYS BANK PLC"/>
    <d v="2018-03-05T00:00:00"/>
    <s v="912828XL9"/>
    <n v="67600000"/>
    <n v="98.25"/>
    <d v="2018-03-06T00:00:00"/>
    <s v="Buy"/>
    <s v="Booked"/>
    <d v="2018-03-06T09:30:20"/>
    <n v="0.61902712309999997"/>
    <n v="-69141326.811132595"/>
    <s v="USD"/>
    <s v="TII 0.375 07/15/2025"/>
    <x v="0"/>
    <m/>
    <m/>
    <m/>
    <x v="0"/>
    <s v="AITSAID_MFL_FI"/>
    <m/>
    <s v="trades confimred manually by Danijela at Barclays"/>
    <s v="JMAGNESS"/>
    <d v="2018-03-05T13:14:20"/>
    <m/>
    <d v="2018-03-06T09:30:20"/>
    <m/>
  </r>
  <r>
    <s v="21483841"/>
    <x v="2"/>
    <s v="Government"/>
    <s v="AITSAID"/>
    <s v="BONY 2785"/>
    <x v="0"/>
    <s v="BARCLAYS BANK PLC"/>
    <d v="2018-03-05T00:00:00"/>
    <s v="912828K74"/>
    <n v="77300000"/>
    <n v="94.405918999999997"/>
    <d v="2018-03-06T00:00:00"/>
    <s v="Sell"/>
    <s v="Booked"/>
    <d v="2018-03-06T09:30:21"/>
    <n v="2.8385229814000001"/>
    <n v="73056919.033408836"/>
    <s v="USD"/>
    <s v="T 2 08/15/2025"/>
    <x v="0"/>
    <m/>
    <m/>
    <m/>
    <x v="0"/>
    <s v="AITSAID_MFL_FI"/>
    <m/>
    <s v="trades confimred manually by Danijela at Barclays"/>
    <s v="JMAGNESS"/>
    <d v="2018-03-05T13:14:20"/>
    <m/>
    <d v="2018-03-06T09:30:21"/>
    <m/>
  </r>
  <r>
    <s v="21483864"/>
    <x v="2"/>
    <s v="Government"/>
    <s v="AITSD_MA"/>
    <s v="BONY 2785"/>
    <x v="0"/>
    <s v="BARCLAYS BANK PLC"/>
    <d v="2018-03-05T00:00:00"/>
    <s v="912828XL9"/>
    <n v="33800000"/>
    <n v="98.25"/>
    <d v="2018-03-06T00:00:00"/>
    <s v="Buy"/>
    <s v="Booked"/>
    <d v="2018-03-06T09:30:22"/>
    <n v="0.61902712309999997"/>
    <n v="-34570663.405566297"/>
    <s v="USD"/>
    <s v="TII 0.375 07/15/2025"/>
    <x v="0"/>
    <m/>
    <m/>
    <m/>
    <x v="0"/>
    <s v="AITSD_MA_MFL_FI"/>
    <m/>
    <s v="trades confimred manually by Danijela at Barclays"/>
    <s v="JMAGNESS"/>
    <d v="2018-03-05T13:14:20"/>
    <m/>
    <d v="2018-03-06T09:30:22"/>
    <m/>
  </r>
  <r>
    <s v="21486251"/>
    <x v="2"/>
    <s v="Government"/>
    <s v="AITSD_MA"/>
    <s v="BONY 2785"/>
    <x v="0"/>
    <s v="BARCLAYS BANK PLC"/>
    <d v="2018-03-05T00:00:00"/>
    <s v="912828K74"/>
    <n v="38700000"/>
    <n v="94.405918999999997"/>
    <d v="2018-03-06T00:00:00"/>
    <s v="Sell"/>
    <s v="Booked"/>
    <d v="2018-03-06T09:30:24"/>
    <n v="2.8385229814000001"/>
    <n v="36575714.962392271"/>
    <s v="USD"/>
    <s v="T 2 08/15/2025"/>
    <x v="0"/>
    <m/>
    <m/>
    <m/>
    <x v="0"/>
    <s v="AITSD_MA_MFL_FI"/>
    <m/>
    <s v="trades confimred manually by Danijela at Barclays"/>
    <s v="JMAGNESS"/>
    <d v="2018-03-06T03:36:06"/>
    <m/>
    <d v="2018-03-06T09:30:24"/>
    <m/>
  </r>
  <r>
    <s v="21484270"/>
    <x v="2"/>
    <s v="US ABS"/>
    <s v="AG_CP"/>
    <s v="CGMI XPBMFI7"/>
    <x v="9"/>
    <s v="BARCLAYS BANK PLC"/>
    <d v="2018-03-05T00:00:00"/>
    <s v="01F030637"/>
    <n v="7000000"/>
    <n v="96.6171875"/>
    <d v="2018-03-13T00:00:00"/>
    <s v="Sell"/>
    <s v="Confirmed"/>
    <d v="2018-03-05T14:51:51"/>
    <n v="3.1642862073"/>
    <n v="6763203.1249999991"/>
    <s v="USD"/>
    <s v="FNCL 3 3/18"/>
    <x v="1"/>
    <s v="BN21484270"/>
    <s v="M"/>
    <m/>
    <x v="0"/>
    <s v="AG_CP_MFL_FI"/>
    <m/>
    <m/>
    <m/>
    <d v="2018-03-05T14:05:24"/>
    <s v="BN21484270"/>
    <d v="2018-03-05T13:59:42"/>
    <m/>
  </r>
  <r>
    <s v="21475510"/>
    <x v="0"/>
    <s v="Government"/>
    <s v="SYM_ES"/>
    <s v="BCSL 500955"/>
    <x v="4"/>
    <s v="BGC FINANCIAL LP"/>
    <d v="2018-03-05T00:00:00"/>
    <s v="DE0001104693"/>
    <n v="54000000"/>
    <n v="100.98739999999999"/>
    <d v="2018-03-07T00:00:00"/>
    <s v="Sell"/>
    <s v="Booked"/>
    <d v="2018-03-05T09:14:21"/>
    <n v="-0.64410288120000003"/>
    <n v="54533196"/>
    <s v="EUR"/>
    <s v="BKO 0 09/13/2019"/>
    <x v="0"/>
    <m/>
    <m/>
    <m/>
    <x v="0"/>
    <s v="SYM_ES_MFL_FI"/>
    <m/>
    <s v="NO PLATFORM - Match vs Confirmed _x000a_"/>
    <s v="VEN_VGAYAKWAD"/>
    <m/>
    <m/>
    <d v="2018-03-05T09:14:21"/>
    <m/>
  </r>
  <r>
    <s v="21479805"/>
    <x v="0"/>
    <s v="Government"/>
    <s v="SYM_ES"/>
    <s v="BCSL 500955"/>
    <x v="4"/>
    <s v="BGC FINANCIAL LP"/>
    <d v="2018-03-05T00:00:00"/>
    <s v="DE0001141760"/>
    <n v="36000000"/>
    <n v="100.5467"/>
    <d v="2018-03-07T00:00:00"/>
    <s v="Sell"/>
    <s v="Booked"/>
    <d v="2018-03-05T10:49:57"/>
    <n v="-0.11880751740000001"/>
    <n v="36196812"/>
    <s v="EUR"/>
    <s v="OBL 0 10/07/2022"/>
    <x v="0"/>
    <m/>
    <m/>
    <m/>
    <x v="0"/>
    <s v="SYM_ES_MFL_FI"/>
    <m/>
    <s v="NO PLATFORM - Match vs Confirmed _x000a_"/>
    <s v="VEN_VGAYAKWAD"/>
    <m/>
    <m/>
    <d v="2018-03-05T10:49:57"/>
    <m/>
  </r>
  <r>
    <s v="21481245"/>
    <x v="0"/>
    <s v="Government"/>
    <s v="TT_JS"/>
    <s v="BONY 2785"/>
    <x v="0"/>
    <s v="BGC FINANCIAL LP"/>
    <d v="2018-03-05T00:00:00"/>
    <s v="9128283Q1"/>
    <n v="29000000"/>
    <n v="98.83984375"/>
    <d v="2018-03-06T00:00:00"/>
    <s v="Buy"/>
    <s v="Booked"/>
    <d v="2018-03-05T11:08:57"/>
    <n v="2.4216032284"/>
    <n v="-28743665.184737571"/>
    <s v="USD"/>
    <s v="T 2 01/15/2021"/>
    <x v="0"/>
    <m/>
    <m/>
    <m/>
    <x v="0"/>
    <s v="TT_JS_MFL_FI"/>
    <m/>
    <s v="NO PLATFORM - Confirmed over email with Kahn, Dale "/>
    <s v="VEN_SKULKARNI"/>
    <m/>
    <m/>
    <d v="2018-03-05T11:08:57"/>
    <m/>
  </r>
  <r>
    <s v="21481244"/>
    <x v="0"/>
    <s v="Government"/>
    <s v="TT_JS"/>
    <s v="BONY 2785"/>
    <x v="0"/>
    <s v="BGC FINANCIAL LP"/>
    <d v="2018-03-05T00:00:00"/>
    <s v="9128283X6"/>
    <n v="28050000"/>
    <n v="99.5"/>
    <d v="2018-03-06T00:00:00"/>
    <s v="Sell"/>
    <s v="Booked"/>
    <d v="2018-03-05T11:08:57"/>
    <n v="2.4265748014000001"/>
    <n v="27942875.345303871"/>
    <s v="USD"/>
    <s v="T 2.25 02/15/2021"/>
    <x v="0"/>
    <m/>
    <m/>
    <m/>
    <x v="0"/>
    <s v="TT_JS_MFL_FI"/>
    <m/>
    <s v="NO PLATFORM - Confirmed over email with Kahn, Dale "/>
    <s v="VEN_SKULKARNI"/>
    <m/>
    <m/>
    <d v="2018-03-05T11:08:57"/>
    <m/>
  </r>
  <r>
    <s v="21481750"/>
    <x v="0"/>
    <s v="Government"/>
    <s v="SYM_ES"/>
    <s v="BCSL 500955"/>
    <x v="4"/>
    <s v="BGC FINANCIAL LP"/>
    <d v="2018-03-05T00:00:00"/>
    <s v="DE0001135432"/>
    <n v="18000000"/>
    <n v="143.62950000000001"/>
    <d v="2018-03-07T00:00:00"/>
    <s v="Sell"/>
    <s v="Booked"/>
    <d v="2018-03-05T13:56:53"/>
    <n v="1.1768487406000001"/>
    <n v="26247583.97260274"/>
    <s v="EUR"/>
    <s v="DBR 3.25 07/04/2042"/>
    <x v="0"/>
    <m/>
    <m/>
    <m/>
    <x v="0"/>
    <s v="SYM_ES_MFL_FI"/>
    <m/>
    <s v="NO PLATFORM - Match vs Confirmed _x000a_"/>
    <s v="VEN_SKULKARNI"/>
    <m/>
    <m/>
    <d v="2018-03-05T13:56:53"/>
    <m/>
  </r>
  <r>
    <s v="21484663"/>
    <x v="0"/>
    <s v="Government"/>
    <s v="TIER"/>
    <s v="BONY 2785"/>
    <x v="0"/>
    <s v="BGC FINANCIAL LP"/>
    <d v="2018-03-05T00:00:00"/>
    <s v="9128282R0"/>
    <n v="25000000"/>
    <n v="94.637468749999996"/>
    <d v="2018-03-06T00:00:00"/>
    <s v="Buy"/>
    <s v="Booked"/>
    <d v="2018-03-05T16:27:24"/>
    <n v="2.9029949463000002"/>
    <n v="-23688890.668162983"/>
    <s v="USD"/>
    <s v="T 2.25 08/15/2027"/>
    <x v="0"/>
    <m/>
    <m/>
    <m/>
    <x v="0"/>
    <s v="TIER_MFL_FI"/>
    <m/>
    <s v="NO PLATFORM - Confirmed over email with Farina, Jonathan "/>
    <s v="VEN_SKULKARNI"/>
    <m/>
    <m/>
    <d v="2018-03-05T16:27:24"/>
    <m/>
  </r>
  <r>
    <s v="21484667"/>
    <x v="0"/>
    <s v="Government"/>
    <s v="TIER"/>
    <s v="BONY 2785"/>
    <x v="0"/>
    <s v="BGC FINANCIAL LP"/>
    <d v="2018-03-05T00:00:00"/>
    <s v="9128283W8"/>
    <n v="23250000"/>
    <n v="98.875"/>
    <d v="2018-03-06T00:00:00"/>
    <s v="Sell"/>
    <s v="Booked"/>
    <d v="2018-03-05T16:27:25"/>
    <n v="2.8807705845"/>
    <n v="23021995.856353592"/>
    <s v="USD"/>
    <s v="T 2.75 02/15/2028"/>
    <x v="0"/>
    <m/>
    <m/>
    <m/>
    <x v="0"/>
    <s v="TIER_MFL_FI"/>
    <m/>
    <s v="NO PLATFORM - Confirmed over email with Farina, Jonathan "/>
    <s v="VEN_SKULKARNI"/>
    <m/>
    <m/>
    <d v="2018-03-05T16:27:25"/>
    <m/>
  </r>
  <r>
    <s v="21485016"/>
    <x v="0"/>
    <s v="Government"/>
    <s v="TIER"/>
    <s v="BONY 2785"/>
    <x v="0"/>
    <s v="BGC FINANCIAL LP"/>
    <d v="2018-03-05T00:00:00"/>
    <s v="912810RX8"/>
    <n v="15000000"/>
    <n v="97.664812499999996"/>
    <d v="2018-03-06T00:00:00"/>
    <s v="Buy"/>
    <s v="Booked"/>
    <d v="2018-03-06T07:14:01"/>
    <n v="3.1223469677"/>
    <n v="-14787705.300414359"/>
    <s v="USD"/>
    <s v="T 3 05/15/2047"/>
    <x v="0"/>
    <m/>
    <m/>
    <m/>
    <x v="0"/>
    <s v="TIER_MFL_FI"/>
    <m/>
    <s v="NO PLATFORM - Confirmed over email with Farina._x000a_"/>
    <s v="VEN_RAKOTTUR"/>
    <m/>
    <m/>
    <d v="2018-03-06T07:14:01"/>
    <m/>
  </r>
  <r>
    <s v="21485015"/>
    <x v="0"/>
    <s v="Government"/>
    <s v="TIER"/>
    <s v="BONY 2785"/>
    <x v="0"/>
    <s v="BGC FINANCIAL LP"/>
    <d v="2018-03-05T00:00:00"/>
    <s v="912810SA7"/>
    <n v="14750000"/>
    <n v="97.75"/>
    <d v="2018-03-06T00:00:00"/>
    <s v="Sell"/>
    <s v="Booked"/>
    <d v="2018-03-06T07:14:02"/>
    <n v="3.1160490499"/>
    <n v="14441350.138121549"/>
    <s v="USD"/>
    <s v="T 3 02/15/2048"/>
    <x v="0"/>
    <m/>
    <m/>
    <m/>
    <x v="0"/>
    <s v="TIER_MFL_FI"/>
    <m/>
    <s v="NO PLATFORM - Confirmed over email with Farina._x000a_"/>
    <s v="VEN_RAKOTTUR"/>
    <m/>
    <m/>
    <d v="2018-03-06T07:14:02"/>
    <m/>
  </r>
  <r>
    <s v="21476493"/>
    <x v="2"/>
    <s v="US ABS"/>
    <s v="CONNELLY"/>
    <s v="CSI 7534G"/>
    <x v="9"/>
    <s v="BNP"/>
    <d v="2018-03-05T00:00:00"/>
    <s v="01F032633"/>
    <n v="50000000"/>
    <n v="99.9765625"/>
    <d v="2018-03-13T00:00:00"/>
    <s v="Buy"/>
    <s v="Confirmed"/>
    <d v="2018-03-05T14:46:51"/>
    <n v="3.4885400943999998"/>
    <n v="-49988281.249999993"/>
    <s v="USD"/>
    <s v="FNCL 3.5 3/18"/>
    <x v="1"/>
    <s v="BN21476493"/>
    <s v="M"/>
    <m/>
    <x v="0"/>
    <s v="CONNELLY_MFL_FI"/>
    <m/>
    <m/>
    <m/>
    <d v="2018-03-05T09:34:00"/>
    <s v="BN21476493"/>
    <d v="2018-03-05T09:28:45"/>
    <m/>
  </r>
  <r>
    <s v="21476785"/>
    <x v="2"/>
    <s v="Government"/>
    <s v="CONNELLY"/>
    <s v="BONY 2785"/>
    <x v="0"/>
    <s v="BNP PARIBAS"/>
    <d v="2018-03-05T00:00:00"/>
    <s v="9128283W8"/>
    <n v="35000000"/>
    <n v="99.3046875"/>
    <d v="2018-03-06T00:00:00"/>
    <s v="Sell"/>
    <s v="Booked"/>
    <d v="2018-03-05T13:13:51"/>
    <n v="2.8305851257999999"/>
    <n v="34807158.580801107"/>
    <s v="USD"/>
    <s v="T 2.75 02/15/2028"/>
    <x v="0"/>
    <m/>
    <m/>
    <m/>
    <x v="0"/>
    <s v="CONNELLY_MFL_FI"/>
    <m/>
    <s v="INTERNAL AMEND – Trade is already confirmed with CP but MLP cancel corrects for some reason; no economic change, confirmed with  Magness, Joshua "/>
    <s v="VEN_SKULKARNI"/>
    <d v="2018-03-05T09:58:35"/>
    <m/>
    <d v="2018-03-05T13:13:51"/>
    <m/>
  </r>
  <r>
    <s v="21484253"/>
    <x v="2"/>
    <s v="Government"/>
    <s v="ASIR_TR"/>
    <s v="CSI 7533G"/>
    <x v="0"/>
    <s v="BNP PARIBAS"/>
    <d v="2018-03-05T00:00:00"/>
    <s v="912810SA7"/>
    <n v="4550000"/>
    <n v="96.8125"/>
    <d v="2018-03-06T00:00:00"/>
    <s v="Sell"/>
    <s v="Booked"/>
    <d v="2018-03-05T14:55:15"/>
    <n v="3.1654627520999998"/>
    <n v="4412133.1146408804"/>
    <s v="USD"/>
    <s v="T 3 02/15/2048"/>
    <x v="0"/>
    <m/>
    <m/>
    <m/>
    <x v="0"/>
    <s v="ASIR_TR_MFL_FI"/>
    <m/>
    <s v="BROKER BOOKING ISSUE (AESIR) - Confirmed over email with Jared FROST "/>
    <s v="VEN_SKULKARNI"/>
    <d v="2018-03-05T14:02:01"/>
    <m/>
    <d v="2018-03-05T14:55:15"/>
    <m/>
  </r>
  <r>
    <s v="21476630"/>
    <x v="2"/>
    <s v="Government"/>
    <s v="BAIL_AD"/>
    <s v="CSI 7533G"/>
    <x v="0"/>
    <s v="BNP PARIBAS SECURITIES CORP."/>
    <d v="2018-03-05T00:00:00"/>
    <s v="9128284A5"/>
    <n v="5000000"/>
    <n v="100.1328125"/>
    <d v="2018-03-06T00:00:00"/>
    <s v="Sell"/>
    <s v="Confirmed"/>
    <d v="2018-03-05T09:39:41"/>
    <n v="2.5963595651000002"/>
    <n v="5008780.5706521701"/>
    <s v="USD"/>
    <s v="T 2.625 02/28/2023"/>
    <x v="1"/>
    <s v="BN21476630"/>
    <s v="M"/>
    <m/>
    <x v="0"/>
    <s v="BAIL_AD_MFL_FI"/>
    <m/>
    <m/>
    <s v="Ribenincasa"/>
    <d v="2018-03-05T09:49:21"/>
    <s v="BN21476630"/>
    <d v="2018-03-05T09:39:33"/>
    <m/>
  </r>
  <r>
    <s v="21476880"/>
    <x v="2"/>
    <s v="Government"/>
    <s v="ANDBRO"/>
    <s v="BCSL 500955"/>
    <x v="16"/>
    <s v="BNP PARIBAS SECURITIES CORP."/>
    <d v="2018-03-05T00:00:00"/>
    <s v="ZAG000077488"/>
    <n v="100000000"/>
    <n v="74.589330000000004"/>
    <d v="2018-03-08T00:00:00"/>
    <s v="Buy"/>
    <s v="Confirmed"/>
    <d v="2018-03-05T10:00:46"/>
    <n v="9.1699998909999998"/>
    <n v="-74731800"/>
    <s v="ZAR"/>
    <s v="SAGB 6.5 02/28/2041 R214"/>
    <x v="1"/>
    <s v="BN21476880"/>
    <s v="M"/>
    <m/>
    <x v="0"/>
    <s v="ANDBRO_C_MFL_FI"/>
    <m/>
    <m/>
    <s v="daanderson"/>
    <d v="2018-03-05T10:08:09"/>
    <s v="BN21476880"/>
    <d v="2018-03-05T10:00:46"/>
    <m/>
  </r>
  <r>
    <s v="21481384"/>
    <x v="2"/>
    <s v="Corporate"/>
    <s v="NEG_BM"/>
    <s v="CSI 7533G"/>
    <x v="17"/>
    <s v="BNP PARIBAS SECURITIES CORP."/>
    <d v="2018-03-05T00:00:00"/>
    <s v="09659T2A8"/>
    <n v="5000000"/>
    <n v="98.671000000000006"/>
    <d v="2018-03-07T00:00:00"/>
    <s v="Buy"/>
    <s v="Confirmed"/>
    <d v="2018-03-05T11:39:32"/>
    <n v="4.4978034189000002"/>
    <n v="-4937195.8333333302"/>
    <s v="USD"/>
    <s v="BNP V4.375 03/01/2033 A"/>
    <x v="1"/>
    <s v="BN21481384"/>
    <s v="M"/>
    <m/>
    <x v="0"/>
    <s v="NEG_BM_MFL_FI"/>
    <m/>
    <m/>
    <s v="bmaggio"/>
    <d v="2018-03-05T11:22:38"/>
    <s v="BN21481384"/>
    <d v="2018-03-05T11:39:32"/>
    <m/>
  </r>
  <r>
    <s v="21484304"/>
    <x v="2"/>
    <s v="Corporate"/>
    <s v="NEG_BM"/>
    <s v="CSI 0Z6Q"/>
    <x v="3"/>
    <s v="BNP PARIBAS SECURITIES CORP."/>
    <d v="2018-03-05T00:00:00"/>
    <s v="46115HBD8"/>
    <n v="5000000"/>
    <n v="94.61"/>
    <d v="2018-03-07T00:00:00"/>
    <s v="Buy"/>
    <s v="Confirmed"/>
    <d v="2018-03-05T14:14:53"/>
    <n v="4.5599447448000001"/>
    <n v="-4760100.6944444394"/>
    <s v="USD"/>
    <s v="ISPIM 3.875 01/12/2028"/>
    <x v="1"/>
    <s v="BN21484304"/>
    <s v="M"/>
    <m/>
    <x v="0"/>
    <s v="NEG_BM_MPI_FI"/>
    <m/>
    <m/>
    <s v="bmaggio"/>
    <d v="2018-03-05T14:20:50"/>
    <s v="BN21484304"/>
    <d v="2018-03-05T14:14:53"/>
    <m/>
  </r>
  <r>
    <s v="21488886"/>
    <x v="2"/>
    <s v="Corporate"/>
    <s v="NET_FIN"/>
    <s v="CSI 7533G"/>
    <x v="1"/>
    <s v="BNP PARIBAS SECURITIES CORP."/>
    <d v="2018-03-05T00:00:00"/>
    <s v="38141GWV2"/>
    <n v="10000000"/>
    <n v="97.453000000000003"/>
    <d v="2018-03-07T00:00:00"/>
    <s v="Buy"/>
    <s v="Confirmed"/>
    <d v="2018-03-06T08:10:02"/>
    <n v="4.1142009692999997"/>
    <n v="-9791915.5555555616"/>
    <s v="USD"/>
    <s v="GS V3.814 04/23/2029"/>
    <x v="1"/>
    <s v="BN21488886"/>
    <s v="M"/>
    <m/>
    <x v="0"/>
    <s v="NET_FIN_MFL_FI"/>
    <m/>
    <m/>
    <s v="JMAGNESS"/>
    <d v="2018-03-06T08:20:03"/>
    <s v="BN21488886"/>
    <d v="2018-03-06T08:09:57"/>
    <m/>
  </r>
  <r>
    <s v="21484303"/>
    <x v="2"/>
    <s v="Government"/>
    <s v="NEG_BM"/>
    <s v="CSI 7533G"/>
    <x v="0"/>
    <s v="BNP PARIBAS SECURITIES CORP."/>
    <d v="2018-03-05T00:00:00"/>
    <s v="9128283W8"/>
    <n v="4460000"/>
    <n v="98.796875"/>
    <d v="2018-03-06T00:00:00"/>
    <s v="Sell"/>
    <s v="Booked"/>
    <d v="2018-03-06T09:17:28"/>
    <n v="2.8899219395000002"/>
    <n v="4412778.0559392301"/>
    <s v="USD"/>
    <s v="T 2.75 02/15/2028"/>
    <x v="0"/>
    <m/>
    <m/>
    <m/>
    <x v="0"/>
    <s v="NEG_BM_MFL_FI"/>
    <m/>
    <s v="block matched only - trades confimred manually with Jen at BNP due to a system issue on their end"/>
    <s v="JMAGNESS"/>
    <d v="2018-03-05T14:20:50"/>
    <m/>
    <d v="2018-03-06T09:17:28"/>
    <m/>
  </r>
  <r>
    <s v="21484187"/>
    <x v="2"/>
    <s v="Government"/>
    <s v="NET_FIN"/>
    <s v="CSI 7533G"/>
    <x v="0"/>
    <s v="BNP PARIBAS SECURITIES CORP."/>
    <d v="2018-03-05T00:00:00"/>
    <s v="9128283W8"/>
    <n v="9490000"/>
    <n v="98.78125"/>
    <d v="2018-03-06T00:00:00"/>
    <s v="Sell"/>
    <s v="Booked"/>
    <d v="2018-03-06T09:17:28"/>
    <n v="2.8917532010999998"/>
    <n v="9388038.2078729291"/>
    <s v="USD"/>
    <s v="T 2.75 02/15/2028"/>
    <x v="0"/>
    <m/>
    <m/>
    <m/>
    <x v="0"/>
    <s v="NET_FIN_MFL_FI"/>
    <m/>
    <s v="block matched only - trades confimred manually with Jen at BNP due to a system issue on their end"/>
    <s v="JMAGNESS"/>
    <d v="2018-03-05T13:52:05"/>
    <m/>
    <d v="2018-03-06T09:17:28"/>
    <m/>
  </r>
  <r>
    <s v="21481385"/>
    <x v="2"/>
    <s v="Government"/>
    <s v="NEG_BM"/>
    <s v="CSI 7533G"/>
    <x v="0"/>
    <s v="BNP PARIBAS SECURITIES CORP."/>
    <d v="2018-03-05T00:00:00"/>
    <s v="9128283W8"/>
    <n v="4610000"/>
    <n v="99.03125"/>
    <d v="2018-03-06T00:00:00"/>
    <s v="Sell"/>
    <s v="Booked"/>
    <d v="2018-03-06T09:17:29"/>
    <n v="2.8624925948"/>
    <n v="4571994.5614640899"/>
    <s v="USD"/>
    <s v="T 2.75 02/15/2028"/>
    <x v="0"/>
    <m/>
    <m/>
    <m/>
    <x v="0"/>
    <s v="NEG_BM_MFL_FI"/>
    <m/>
    <s v="block matched only - trades confimred manually with Jen at BNP due to a system issue on their end"/>
    <s v="JMAGNESS"/>
    <d v="2018-03-05T11:22:38"/>
    <m/>
    <d v="2018-03-06T09:17:29"/>
    <m/>
  </r>
  <r>
    <s v="21475233"/>
    <x v="2"/>
    <s v="Government"/>
    <s v="LOMBARDO"/>
    <s v="CSI 7533G"/>
    <x v="0"/>
    <s v="CANTOR FITZGERALD &amp; CO."/>
    <d v="2018-03-05T00:00:00"/>
    <s v="9128283F5"/>
    <n v="10430000"/>
    <n v="94.765625"/>
    <d v="2018-03-06T00:00:00"/>
    <s v="Sell"/>
    <s v="Confirmed"/>
    <d v="2018-03-05T07:58:56"/>
    <n v="2.8722690423000001"/>
    <n v="9956013.0438535903"/>
    <s v="USD"/>
    <s v="T 2.25 11/15/2027"/>
    <x v="1"/>
    <s v="BN21475233"/>
    <s v="M"/>
    <m/>
    <x v="0"/>
    <s v="LOMBARDO_MFL_FI"/>
    <m/>
    <m/>
    <s v="klombardo"/>
    <d v="2018-03-05T08:07:23"/>
    <s v="BN21475233"/>
    <d v="2018-03-05T07:58:56"/>
    <m/>
  </r>
  <r>
    <s v="21475248"/>
    <x v="2"/>
    <s v="Government"/>
    <s v="LOMBARDO"/>
    <s v="CSI 7533G"/>
    <x v="0"/>
    <s v="CANTOR FITZGERALD &amp; CO."/>
    <d v="2018-03-05T00:00:00"/>
    <s v="9128283F5"/>
    <n v="317000"/>
    <n v="94.761718999999999"/>
    <d v="2018-03-06T00:00:00"/>
    <s v="Sell"/>
    <s v="Confirmed"/>
    <d v="2018-03-05T07:58:56"/>
    <n v="2.8727478517999998"/>
    <n v="302581.68652281997"/>
    <s v="USD"/>
    <s v="T 2.25 11/15/2027"/>
    <x v="1"/>
    <s v="BN21475248"/>
    <s v="M"/>
    <m/>
    <x v="0"/>
    <s v="LOMBARDO_MFL_FI"/>
    <m/>
    <m/>
    <s v="klombardo"/>
    <d v="2018-03-05T08:07:23"/>
    <s v="BN21475248"/>
    <d v="2018-03-05T07:58:56"/>
    <m/>
  </r>
  <r>
    <s v="21475225"/>
    <x v="2"/>
    <s v="Government"/>
    <s v="LOMBARDO"/>
    <s v="CSI 7533G"/>
    <x v="0"/>
    <s v="CANTOR FITZGERALD &amp; CO."/>
    <d v="2018-03-05T00:00:00"/>
    <s v="9128283W8"/>
    <n v="9900000"/>
    <n v="99.15625"/>
    <d v="2018-03-06T00:00:00"/>
    <s v="Buy"/>
    <s v="Confirmed"/>
    <d v="2018-03-05T07:59:09"/>
    <n v="2.8478938714000002"/>
    <n v="-9830758.1146408804"/>
    <s v="USD"/>
    <s v="T 2.75 02/15/2028"/>
    <x v="1"/>
    <s v="BN21475225"/>
    <s v="M"/>
    <m/>
    <x v="0"/>
    <s v="LOMBARDO_MFL_FI"/>
    <m/>
    <m/>
    <s v="klombardo"/>
    <d v="2018-03-05T08:07:23"/>
    <s v="BN21475225"/>
    <d v="2018-03-05T07:59:09"/>
    <m/>
  </r>
  <r>
    <s v="21475174"/>
    <x v="2"/>
    <s v="Government"/>
    <s v="LOMBARDO"/>
    <s v="CSI 7533G"/>
    <x v="0"/>
    <s v="CANTOR FITZGERALD &amp; CO."/>
    <d v="2018-03-05T00:00:00"/>
    <s v="912810RY6"/>
    <n v="14390000"/>
    <n v="92.613281000000001"/>
    <d v="2018-03-06T00:00:00"/>
    <s v="Buy"/>
    <s v="Confirmed"/>
    <d v="2018-03-05T07:59:20"/>
    <n v="3.1360232379999999"/>
    <n v="-13347821.23258508"/>
    <s v="USD"/>
    <s v="T 2.75 08/15/2047"/>
    <x v="1"/>
    <s v="BN21475174"/>
    <s v="M"/>
    <m/>
    <x v="0"/>
    <s v="LOMBARDO_MFL_FI"/>
    <m/>
    <m/>
    <s v="klombardo"/>
    <d v="2018-03-05T07:57:43"/>
    <s v="BN21475174"/>
    <d v="2018-03-05T07:59:20"/>
    <m/>
  </r>
  <r>
    <s v="21475203"/>
    <x v="2"/>
    <s v="Government"/>
    <s v="LOMBARDO"/>
    <s v="CSI 7533G"/>
    <x v="0"/>
    <s v="CANTOR FITZGERALD &amp; CO."/>
    <d v="2018-03-05T00:00:00"/>
    <s v="912810RZ3"/>
    <n v="13750000"/>
    <n v="92.585937999999999"/>
    <d v="2018-03-06T00:00:00"/>
    <s v="Sell"/>
    <s v="Confirmed"/>
    <d v="2018-03-05T10:45:02"/>
    <n v="3.1353828112"/>
    <n v="12846510.881077351"/>
    <s v="USD"/>
    <s v="T 2.75 11/15/2047"/>
    <x v="1"/>
    <s v="BN21475203"/>
    <s v="M"/>
    <m/>
    <x v="0"/>
    <s v="LOMBARDO_MFL_FI"/>
    <m/>
    <m/>
    <s v="klombardo"/>
    <d v="2018-03-05T07:57:43"/>
    <s v="BN21475203"/>
    <d v="2018-03-05T10:45:02"/>
    <m/>
  </r>
  <r>
    <s v="21483753"/>
    <x v="2"/>
    <s v="Corporate"/>
    <s v="LOMBARDO"/>
    <s v="CSI 7533G"/>
    <x v="1"/>
    <s v="CANTOR FITZGERALD &amp; CO."/>
    <d v="2018-03-05T00:00:00"/>
    <s v="89417EAN9"/>
    <n v="3000000"/>
    <n v="98.477999999999994"/>
    <d v="2018-03-07T00:00:00"/>
    <s v="Sell"/>
    <s v="Confirmed"/>
    <d v="2018-03-05T13:06:25"/>
    <n v="4.1390499636999998"/>
    <n v="2954340"/>
    <s v="USD"/>
    <s v="TRV 4.05 03/07/2048"/>
    <x v="1"/>
    <s v="BN21483753"/>
    <s v="M"/>
    <m/>
    <x v="0"/>
    <s v="LOMBARDO_MFL_FI"/>
    <m/>
    <m/>
    <s v="klombardo"/>
    <d v="2018-03-05T13:14:20"/>
    <s v="BN21483753"/>
    <d v="2018-03-05T13:06:25"/>
    <m/>
  </r>
  <r>
    <s v="21483752"/>
    <x v="2"/>
    <s v="Government"/>
    <s v="LOMBARDO"/>
    <s v="CSI 7533G"/>
    <x v="0"/>
    <s v="CANTOR FITZGERALD &amp; CO."/>
    <d v="2018-03-05T00:00:00"/>
    <s v="912810RZ3"/>
    <n v="2820000"/>
    <n v="91.96875"/>
    <d v="2018-03-06T00:00:00"/>
    <s v="Buy"/>
    <s v="Confirmed"/>
    <d v="2018-03-05T13:06:46"/>
    <n v="3.1692644617000001"/>
    <n v="-2617297.8936464102"/>
    <s v="USD"/>
    <s v="T 2.75 11/15/2047"/>
    <x v="1"/>
    <s v="BN21483752"/>
    <s v="M"/>
    <m/>
    <x v="0"/>
    <s v="LOMBARDO_MFL_FI"/>
    <m/>
    <m/>
    <s v="klombardo"/>
    <d v="2018-03-05T13:14:20"/>
    <s v="BN21483752"/>
    <d v="2018-03-05T13:06:46"/>
    <m/>
  </r>
  <r>
    <s v="21481654"/>
    <x v="2"/>
    <s v="Government"/>
    <s v="NEG_NR"/>
    <s v="CSI 7533G"/>
    <x v="0"/>
    <s v="CITADEL SECURITIES LLC"/>
    <d v="2018-03-05T00:00:00"/>
    <s v="9128283W8"/>
    <n v="2604000"/>
    <n v="98.921875"/>
    <d v="2018-03-06T00:00:00"/>
    <s v="Sell"/>
    <s v="Confirmed"/>
    <d v="2018-03-05T11:45:22"/>
    <n v="2.87528373"/>
    <n v="2579684.1609116001"/>
    <s v="USD"/>
    <s v="T 2.75 02/15/2028"/>
    <x v="1"/>
    <s v="BN21481654"/>
    <s v="M"/>
    <m/>
    <x v="0"/>
    <s v="NEG_NR_MFL_FI"/>
    <m/>
    <m/>
    <s v="nrana"/>
    <d v="2018-03-05T11:50:27"/>
    <s v="BN21481654"/>
    <d v="2018-03-05T11:45:22"/>
    <m/>
  </r>
  <r>
    <s v="21484433"/>
    <x v="2"/>
    <s v="Government"/>
    <s v="TT_JS"/>
    <s v="BONY 2785"/>
    <x v="0"/>
    <s v="CITADEL SECURITIES LLC"/>
    <d v="2018-03-05T00:00:00"/>
    <s v="9128283W8"/>
    <n v="114600000"/>
    <n v="98.875"/>
    <d v="2018-03-06T00:00:00"/>
    <s v="Sell"/>
    <s v="Confirmed"/>
    <d v="2018-03-05T15:02:53"/>
    <n v="2.8807705845"/>
    <n v="113476160.22099449"/>
    <s v="USD"/>
    <s v="T 2.75 02/15/2028"/>
    <x v="1"/>
    <s v="BN21484433"/>
    <s v="M"/>
    <m/>
    <x v="0"/>
    <s v="TT_JS_MFL_FI"/>
    <m/>
    <m/>
    <s v="jstaisiunas"/>
    <d v="2018-03-05T15:07:20"/>
    <s v="BN21484433"/>
    <d v="2018-03-05T15:02:53"/>
    <m/>
  </r>
  <r>
    <s v="21484431"/>
    <x v="2"/>
    <s v="Government"/>
    <s v="TT_JS"/>
    <s v="BONY 2785"/>
    <x v="0"/>
    <s v="CITADEL SECURITIES LLC"/>
    <d v="2018-03-05T00:00:00"/>
    <s v="9128283F5"/>
    <n v="120300000"/>
    <n v="94.515625"/>
    <d v="2018-03-06T00:00:00"/>
    <s v="Buy"/>
    <s v="Confirmed"/>
    <d v="2018-03-05T15:02:53"/>
    <n v="2.9029597096000002"/>
    <n v="-114532267.1788674"/>
    <s v="USD"/>
    <s v="T 2.25 11/15/2027"/>
    <x v="1"/>
    <s v="BN21484431"/>
    <s v="M"/>
    <m/>
    <x v="0"/>
    <s v="TT_JS_MFL_FI"/>
    <m/>
    <m/>
    <s v="jstaisiunas"/>
    <d v="2018-03-05T15:07:20"/>
    <s v="BN21484431"/>
    <d v="2018-03-05T15:02:53"/>
    <m/>
  </r>
  <r>
    <s v="21484439"/>
    <x v="2"/>
    <s v="Government"/>
    <s v="NEG_NR"/>
    <s v="CSI 7533G"/>
    <x v="0"/>
    <s v="CITADEL SECURITIES LLC"/>
    <d v="2018-03-05T00:00:00"/>
    <s v="9128283W8"/>
    <n v="1504000"/>
    <n v="98.859375"/>
    <d v="2018-03-06T00:00:00"/>
    <s v="Sell"/>
    <s v="Confirmed"/>
    <d v="2018-03-05T15:06:49"/>
    <n v="2.8826001954999998"/>
    <n v="1489015.82872928"/>
    <s v="USD"/>
    <s v="T 2.75 02/15/2028"/>
    <x v="1"/>
    <s v="BN21484439"/>
    <s v="M"/>
    <m/>
    <x v="0"/>
    <s v="NEG_NR_MFL_FI"/>
    <m/>
    <m/>
    <s v="nrana"/>
    <d v="2018-03-05T15:16:49"/>
    <s v="BN21484439"/>
    <d v="2018-03-05T15:06:49"/>
    <m/>
  </r>
  <r>
    <s v="21475647"/>
    <x v="2"/>
    <s v="Government"/>
    <s v="NET_MACR"/>
    <s v="BONY 2785"/>
    <x v="0"/>
    <s v="CITIBANK N A"/>
    <d v="2018-03-05T00:00:00"/>
    <s v="9128283W8"/>
    <n v="4000000"/>
    <n v="99.23828125"/>
    <d v="2018-03-06T00:00:00"/>
    <s v="Sell"/>
    <s v="Confirmed"/>
    <d v="2018-03-05T08:23:05"/>
    <n v="2.8383248618999999"/>
    <n v="3975304.7306629801"/>
    <s v="USD"/>
    <s v="T 2.75 02/15/2028"/>
    <x v="1"/>
    <s v="BN21475647"/>
    <s v="M"/>
    <m/>
    <x v="0"/>
    <s v="NET_MACR_MFL_FI"/>
    <m/>
    <m/>
    <s v="TC-KINETIX-BRIDGE"/>
    <d v="2018-03-05T08:25:53"/>
    <s v="BN21475647"/>
    <d v="2018-03-05T08:23:01"/>
    <m/>
  </r>
  <r>
    <s v="21475965"/>
    <x v="2"/>
    <s v="Corporate"/>
    <s v="BAIL_CR"/>
    <s v="CSI 7533G"/>
    <x v="1"/>
    <s v="CITIBANK N A"/>
    <d v="2018-03-05T00:00:00"/>
    <s v="55336VAM2"/>
    <n v="2500000"/>
    <n v="97.222999999999999"/>
    <d v="2018-03-07T00:00:00"/>
    <s v="Buy"/>
    <s v="Confirmed"/>
    <d v="2018-03-05T09:02:05"/>
    <n v="4.7139793129000003"/>
    <n v="-2439637.5"/>
    <s v="USD"/>
    <s v="MPLX 4.5 04/15/2038"/>
    <x v="1"/>
    <s v="BN21475965"/>
    <s v="M"/>
    <m/>
    <x v="0"/>
    <s v="BAIL_CR_MFL_FI"/>
    <m/>
    <m/>
    <s v="Ribenincasa"/>
    <d v="2018-03-05T08:53:45"/>
    <s v="BN21475965"/>
    <d v="2018-03-05T09:02:05"/>
    <m/>
  </r>
  <r>
    <s v="21475966"/>
    <x v="2"/>
    <s v="Government"/>
    <s v="BAIL_CR"/>
    <s v="CSI 7533G"/>
    <x v="0"/>
    <s v="CITIBANK N A"/>
    <d v="2018-03-05T00:00:00"/>
    <s v="912810RZ3"/>
    <n v="1700000"/>
    <n v="92.796875"/>
    <d v="2018-03-06T00:00:00"/>
    <s v="Sell"/>
    <s v="Confirmed"/>
    <d v="2018-03-05T09:02:22"/>
    <n v="3.1238701800999999"/>
    <n v="1591881.81975138"/>
    <s v="USD"/>
    <s v="T 2.75 11/15/2047"/>
    <x v="1"/>
    <s v="BN21475966"/>
    <s v="M"/>
    <m/>
    <x v="0"/>
    <s v="BAIL_CR_MFL_FI"/>
    <m/>
    <m/>
    <s v="Ribenincasa"/>
    <d v="2018-03-05T08:53:45"/>
    <s v="BN21475966"/>
    <d v="2018-03-05T09:02:22"/>
    <m/>
  </r>
  <r>
    <s v="21476731"/>
    <x v="2"/>
    <s v="Government"/>
    <s v="GOYAL"/>
    <s v="BCSL 500955"/>
    <x v="18"/>
    <s v="CITIBANK N A"/>
    <d v="2018-03-05T00:00:00"/>
    <s v="GR0124034688"/>
    <n v="5000000"/>
    <n v="95.2"/>
    <d v="2018-03-07T00:00:00"/>
    <s v="Sell"/>
    <s v="Confirmed"/>
    <d v="2018-03-05T09:48:27"/>
    <n v="4.3562568245"/>
    <n v="4778493.1506849499"/>
    <s v="EUR"/>
    <s v="GGB 3.75 01/30/2028"/>
    <x v="1"/>
    <s v="BN21476731"/>
    <s v="M"/>
    <m/>
    <x v="0"/>
    <s v="GOYAL_CR_MFL_FI"/>
    <m/>
    <m/>
    <s v="cferraro"/>
    <d v="2018-03-05T09:58:35"/>
    <s v="BN21476731"/>
    <d v="2018-03-05T09:48:27"/>
    <m/>
  </r>
  <r>
    <s v="21480755"/>
    <x v="2"/>
    <s v="Government"/>
    <s v="BONELLO"/>
    <s v="BONY 2785"/>
    <x v="0"/>
    <s v="CITIBANK N A"/>
    <d v="2018-03-05T00:00:00"/>
    <s v="912828XT2"/>
    <n v="220000000"/>
    <n v="95.5078125"/>
    <d v="2018-03-06T00:00:00"/>
    <s v="Buy"/>
    <s v="Confirmed"/>
    <d v="2018-03-05T10:37:13"/>
    <n v="2.7894993473"/>
    <n v="-211277627.06043956"/>
    <s v="USD"/>
    <s v="T 2 05/31/2024"/>
    <x v="1"/>
    <s v="BN21480755"/>
    <s v="M"/>
    <m/>
    <x v="0"/>
    <s v="BONELLO_MFL_FI"/>
    <m/>
    <m/>
    <s v="TC-KINETIX-BRIDGE"/>
    <d v="2018-03-05T10:45:20"/>
    <s v="BN21480755"/>
    <d v="2018-03-05T10:37:08"/>
    <m/>
  </r>
  <r>
    <s v="21480756"/>
    <x v="2"/>
    <s v="Government"/>
    <s v="BONELLO"/>
    <s v="BONY 2785"/>
    <x v="0"/>
    <s v="CITIBANK N A"/>
    <d v="2018-03-05T00:00:00"/>
    <s v="9128283Z1"/>
    <n v="194000000"/>
    <n v="99.5"/>
    <d v="2018-03-06T00:00:00"/>
    <s v="Sell"/>
    <s v="Confirmed"/>
    <d v="2018-03-05T10:37:14"/>
    <n v="2.8293568444999999"/>
    <n v="193116983.69565216"/>
    <s v="USD"/>
    <s v="T 2.75 02/28/2025"/>
    <x v="1"/>
    <s v="BN21480756"/>
    <s v="M"/>
    <m/>
    <x v="0"/>
    <s v="BONELLO_MFL_FI"/>
    <m/>
    <m/>
    <s v="TC-KINETIX-BRIDGE"/>
    <d v="2018-03-05T10:45:20"/>
    <s v="BN21480756"/>
    <d v="2018-03-05T10:37:09"/>
    <m/>
  </r>
  <r>
    <s v="21480823"/>
    <x v="2"/>
    <s v="Government"/>
    <s v="ASIR_M"/>
    <s v="CSI 7533G"/>
    <x v="0"/>
    <s v="CITIBANK N A"/>
    <d v="2018-03-05T00:00:00"/>
    <s v="9128283W8"/>
    <n v="8152000"/>
    <n v="99.203125"/>
    <d v="2018-03-06T00:00:00"/>
    <s v="Buy"/>
    <s v="Confirmed"/>
    <d v="2018-03-05T10:40:21"/>
    <n v="2.8424247609000002"/>
    <n v="-8098805.1035911599"/>
    <s v="USD"/>
    <s v="T 2.75 02/15/2028"/>
    <x v="1"/>
    <s v="BN21480823"/>
    <s v="M"/>
    <m/>
    <x v="0"/>
    <s v="ASIR_M_MFL_FI"/>
    <m/>
    <m/>
    <s v="TC-KINETIX-BRIDGE"/>
    <d v="2018-03-05T10:45:20"/>
    <s v="BN21480823"/>
    <d v="2018-03-05T10:40:16"/>
    <m/>
  </r>
  <r>
    <s v="21480824"/>
    <x v="2"/>
    <s v="Corporate"/>
    <s v="ASIR_M"/>
    <s v="CSI 7533G"/>
    <x v="8"/>
    <s v="CITIBANK N A"/>
    <d v="2018-03-05T00:00:00"/>
    <s v="29278GAF5"/>
    <n v="8923000"/>
    <n v="94.040999999999997"/>
    <d v="2018-03-07T00:00:00"/>
    <s v="Sell"/>
    <s v="Confirmed"/>
    <d v="2018-03-05T10:40:22"/>
    <n v="4.2320035920999999"/>
    <n v="8522273.0272222199"/>
    <s v="USD"/>
    <s v="ENELIM 3.5 04/06/2028 A"/>
    <x v="1"/>
    <s v="BN21480824"/>
    <s v="M"/>
    <m/>
    <x v="0"/>
    <s v="ASIR_M_MFL_FI"/>
    <m/>
    <m/>
    <s v="TC-KINETIX-BRIDGE"/>
    <d v="2018-03-05T10:45:20"/>
    <s v="BN21480824"/>
    <d v="2018-03-05T10:40:16"/>
    <m/>
  </r>
  <r>
    <s v="21480849"/>
    <x v="2"/>
    <s v="Government"/>
    <s v="BONELLO"/>
    <s v="BONY 2785"/>
    <x v="0"/>
    <s v="CITIBANK N A"/>
    <d v="2018-03-05T00:00:00"/>
    <s v="9128283Z1"/>
    <n v="194000000"/>
    <n v="99.921875"/>
    <d v="2018-03-06T00:00:00"/>
    <s v="Buy"/>
    <s v="Confirmed"/>
    <d v="2018-03-05T10:42:48"/>
    <n v="2.7623302873000002"/>
    <n v="-193935421.19565216"/>
    <s v="USD"/>
    <s v="T 2.75 02/28/2025"/>
    <x v="1"/>
    <s v="BN21480849"/>
    <s v="M"/>
    <m/>
    <x v="0"/>
    <s v="BONELLO_MFL_FI"/>
    <m/>
    <m/>
    <s v="TC-KINETIX-BRIDGE"/>
    <d v="2018-03-05T10:45:20"/>
    <s v="BN21480849"/>
    <d v="2018-03-05T10:42:40"/>
    <m/>
  </r>
  <r>
    <s v="21479286"/>
    <x v="2"/>
    <s v="Government"/>
    <s v="NET_FIN"/>
    <s v="CSI 7533G"/>
    <x v="0"/>
    <s v="CITIBANK N A"/>
    <d v="2018-03-05T00:00:00"/>
    <s v="9128283W8"/>
    <n v="25000000"/>
    <n v="99.1953125"/>
    <d v="2018-03-06T00:00:00"/>
    <s v="Sell"/>
    <s v="Confirmed"/>
    <d v="2018-03-05T11:31:29"/>
    <n v="2.8433360745999998"/>
    <n v="24834912.379143652"/>
    <s v="USD"/>
    <s v="T 2.75 02/15/2028"/>
    <x v="1"/>
    <s v="BN21479286"/>
    <s v="M"/>
    <m/>
    <x v="0"/>
    <s v="NET_FIN_MFL_FI"/>
    <m/>
    <m/>
    <s v="cdaniel"/>
    <d v="2018-03-05T10:35:53"/>
    <s v="BN21479286"/>
    <d v="2018-03-05T11:31:29"/>
    <m/>
  </r>
  <r>
    <s v="21481199"/>
    <x v="2"/>
    <s v="Government"/>
    <s v="NET_FIN"/>
    <s v="CSI 7533G"/>
    <x v="0"/>
    <s v="CITIBANK N A"/>
    <d v="2018-03-05T00:00:00"/>
    <s v="9128283W8"/>
    <n v="7340000"/>
    <n v="99.11328125"/>
    <d v="2018-03-06T00:00:00"/>
    <s v="Sell"/>
    <s v="Confirmed"/>
    <d v="2018-03-05T11:31:39"/>
    <n v="2.8529098138000002"/>
    <n v="7285509.1807665704"/>
    <s v="USD"/>
    <s v="T 2.75 02/15/2028"/>
    <x v="1"/>
    <s v="BN21481199"/>
    <s v="M"/>
    <m/>
    <x v="0"/>
    <s v="NET_FIN_MFL_FI"/>
    <m/>
    <m/>
    <s v="cdaniel"/>
    <d v="2018-03-05T11:13:15"/>
    <s v="BN21481199"/>
    <d v="2018-03-05T11:31:39"/>
    <m/>
  </r>
  <r>
    <s v="21483272"/>
    <x v="2"/>
    <s v="Corporate"/>
    <s v="ASIR_TR"/>
    <s v="CSI 7533G"/>
    <x v="1"/>
    <s v="CITIBANK N A"/>
    <d v="2018-03-05T00:00:00"/>
    <s v="035242AP1"/>
    <n v="4550000"/>
    <n v="99.049000000000007"/>
    <d v="2018-03-07T00:00:00"/>
    <s v="Buy"/>
    <s v="Confirmed"/>
    <d v="2018-03-05T12:03:23"/>
    <n v="3.7900239821000001"/>
    <n v="-4523337"/>
    <s v="USD"/>
    <s v="ABIBB 3.65 02/01/2026"/>
    <x v="1"/>
    <s v="BN21483272"/>
    <s v="M"/>
    <m/>
    <x v="0"/>
    <s v="ASIR_TR_MFL_FI"/>
    <m/>
    <m/>
    <s v="TC-KINETIX-BRIDGE"/>
    <d v="2018-03-05T12:08:55"/>
    <s v="BN21483272"/>
    <d v="2018-03-05T12:03:17"/>
    <m/>
  </r>
  <r>
    <s v="21483273"/>
    <x v="2"/>
    <s v="Government"/>
    <s v="ASIR_TR"/>
    <s v="CSI 7533G"/>
    <x v="0"/>
    <s v="CITIBANK N A"/>
    <d v="2018-03-05T00:00:00"/>
    <s v="9128283W8"/>
    <n v="3595000"/>
    <n v="98.96875"/>
    <d v="2018-03-06T00:00:00"/>
    <s v="Sell"/>
    <s v="Confirmed"/>
    <d v="2018-03-05T12:03:24"/>
    <n v="2.8697998404999998"/>
    <n v="3563115.47824586"/>
    <s v="USD"/>
    <s v="T 2.75 02/15/2028"/>
    <x v="1"/>
    <s v="BN21483273"/>
    <s v="M"/>
    <m/>
    <x v="0"/>
    <s v="ASIR_TR_MFL_FI"/>
    <m/>
    <m/>
    <s v="TC-KINETIX-BRIDGE"/>
    <d v="2018-03-05T12:08:55"/>
    <s v="BN21483273"/>
    <d v="2018-03-05T12:03:18"/>
    <m/>
  </r>
  <r>
    <s v="21483291"/>
    <x v="2"/>
    <s v="Corporate"/>
    <s v="NEG_MG"/>
    <s v="CSI 7533G"/>
    <x v="1"/>
    <s v="CITIBANK N A"/>
    <d v="2018-03-05T00:00:00"/>
    <s v="00206RER9"/>
    <n v="16500000"/>
    <n v="97.58"/>
    <d v="2018-03-07T00:00:00"/>
    <s v="Buy"/>
    <s v="Confirmed"/>
    <d v="2018-03-05T12:04:35"/>
    <n v="4.4029666023000003"/>
    <n v="-16142041.66666667"/>
    <s v="USD"/>
    <s v="T 4.1 02/15/2028 A"/>
    <x v="1"/>
    <s v="BN21483291"/>
    <s v="M"/>
    <m/>
    <x v="0"/>
    <s v="NEG_MG_MFL_FI"/>
    <m/>
    <m/>
    <s v="TC-KINETIX-BRIDGE"/>
    <d v="2018-03-05T12:08:55"/>
    <s v="BN21483291"/>
    <d v="2018-03-05T12:04:30"/>
    <m/>
  </r>
  <r>
    <s v="21483290"/>
    <x v="2"/>
    <s v="Government"/>
    <s v="NEG_MG"/>
    <s v="CSI 7533G"/>
    <x v="0"/>
    <s v="CITIBANK N A"/>
    <d v="2018-03-05T00:00:00"/>
    <s v="9128283W8"/>
    <n v="15200000"/>
    <n v="98.9375"/>
    <d v="2018-03-06T00:00:00"/>
    <s v="Sell"/>
    <s v="Confirmed"/>
    <d v="2018-03-05T12:04:36"/>
    <n v="2.8734554375000001"/>
    <n v="15060439.226519339"/>
    <s v="USD"/>
    <s v="T 2.75 02/15/2028"/>
    <x v="1"/>
    <s v="BN21483290"/>
    <s v="M"/>
    <m/>
    <x v="0"/>
    <s v="NEG_MG_MFL_FI"/>
    <m/>
    <m/>
    <s v="TC-KINETIX-BRIDGE"/>
    <d v="2018-03-05T12:08:55"/>
    <s v="BN21483290"/>
    <d v="2018-03-05T12:04:30"/>
    <m/>
  </r>
  <r>
    <s v="21481612"/>
    <x v="2"/>
    <s v="Government"/>
    <s v="NET_FIN"/>
    <s v="CSI 7533G"/>
    <x v="0"/>
    <s v="CITIBANK N A"/>
    <d v="2018-03-05T00:00:00"/>
    <s v="9128283W8"/>
    <n v="5000000"/>
    <n v="98.96875"/>
    <d v="2018-03-06T00:00:00"/>
    <s v="Sell"/>
    <s v="Confirmed"/>
    <d v="2018-03-05T12:13:27"/>
    <n v="2.8697998404999998"/>
    <n v="4955654.3508287305"/>
    <s v="USD"/>
    <s v="T 2.75 02/15/2028"/>
    <x v="1"/>
    <s v="BN21481612"/>
    <s v="M"/>
    <m/>
    <x v="0"/>
    <s v="NET_FIN_MFL_FI"/>
    <m/>
    <m/>
    <s v="cdaniel"/>
    <d v="2018-03-05T11:50:27"/>
    <s v="BN21481612"/>
    <d v="2018-03-05T12:13:27"/>
    <m/>
  </r>
  <r>
    <s v="21483721"/>
    <x v="2"/>
    <s v="Government"/>
    <s v="NET_FIN"/>
    <s v="CSI 7533G"/>
    <x v="0"/>
    <s v="CITIBANK N A"/>
    <d v="2018-03-05T00:00:00"/>
    <s v="9128283W8"/>
    <n v="29000000"/>
    <n v="98.765625"/>
    <d v="2018-03-06T00:00:00"/>
    <s v="Sell"/>
    <s v="Confirmed"/>
    <d v="2018-03-05T13:05:07"/>
    <n v="2.8935847932000001"/>
    <n v="28683888.984806631"/>
    <s v="USD"/>
    <s v="T 2.75 02/15/2028"/>
    <x v="1"/>
    <s v="BN21483721"/>
    <s v="M"/>
    <m/>
    <x v="0"/>
    <s v="NET_FIN_MFL_FI"/>
    <m/>
    <m/>
    <s v="cdaniel"/>
    <d v="2018-03-05T13:04:52"/>
    <s v="BN21483721"/>
    <d v="2018-03-05T13:05:07"/>
    <m/>
  </r>
  <r>
    <s v="21483500"/>
    <x v="2"/>
    <s v="Government"/>
    <s v="NET_FIN"/>
    <s v="CSI 7533G"/>
    <x v="0"/>
    <s v="CITIBANK N A"/>
    <d v="2018-03-05T00:00:00"/>
    <s v="9128283W8"/>
    <n v="25000000"/>
    <n v="98.87890625"/>
    <d v="2018-03-06T00:00:00"/>
    <s v="Sell"/>
    <s v="Confirmed"/>
    <d v="2018-03-05T13:05:07"/>
    <n v="2.8803132332999999"/>
    <n v="24755810.816643648"/>
    <s v="USD"/>
    <s v="T 2.75 02/15/2028"/>
    <x v="1"/>
    <s v="BN21483500"/>
    <s v="M"/>
    <m/>
    <x v="0"/>
    <s v="NET_FIN_MFL_FI"/>
    <m/>
    <m/>
    <s v="cdaniel"/>
    <d v="2018-03-05T12:46:16"/>
    <s v="BN21483500"/>
    <d v="2018-03-05T13:05:07"/>
    <m/>
  </r>
  <r>
    <s v="21484239"/>
    <x v="2"/>
    <s v="Corporate"/>
    <s v="SRBL_CR"/>
    <s v="CSI 7533G"/>
    <x v="1"/>
    <s v="CITIBANK N A"/>
    <d v="2018-03-05T00:00:00"/>
    <s v="373143AA4"/>
    <n v="2000000"/>
    <n v="98.77"/>
    <d v="2018-03-09T00:00:00"/>
    <s v="Buy"/>
    <s v="Confirmed"/>
    <d v="2018-03-05T13:52:51"/>
    <n v="6.6267826858000003"/>
    <n v="-1975400"/>
    <s v="USD"/>
    <s v="GEOCAP 6.375 03/09/2024 A"/>
    <x v="1"/>
    <s v="BN21484239"/>
    <s v="M"/>
    <m/>
    <x v="0"/>
    <s v="SRBL_CR_MFL_FI"/>
    <m/>
    <m/>
    <s v="TC-KINETIX-BRIDGE"/>
    <d v="2018-03-05T14:02:01"/>
    <s v="BN21484239"/>
    <d v="2018-03-05T13:52:46"/>
    <m/>
  </r>
  <r>
    <s v="21484334"/>
    <x v="2"/>
    <s v="Corporate"/>
    <s v="NEG_BM"/>
    <s v="CSI 7533G"/>
    <x v="1"/>
    <s v="CITIBANK N A"/>
    <d v="2018-03-05T00:00:00"/>
    <s v="63861VAB3"/>
    <n v="3500000"/>
    <n v="99.55"/>
    <d v="2018-03-08T00:00:00"/>
    <s v="Buy"/>
    <s v="Confirmed"/>
    <d v="2018-03-05T14:24:43"/>
    <n v="4.353572904"/>
    <n v="-3484250"/>
    <s v="USD"/>
    <s v="NWIDE V4.302 03/08/2029 A"/>
    <x v="1"/>
    <s v="BN21484334"/>
    <s v="M"/>
    <m/>
    <x v="0"/>
    <s v="NEG_BM_MFL_FI"/>
    <m/>
    <m/>
    <s v="bmaggio"/>
    <d v="2018-03-05T14:30:20"/>
    <s v="BN21484334"/>
    <d v="2018-03-05T14:24:43"/>
    <m/>
  </r>
  <r>
    <s v="21484333"/>
    <x v="2"/>
    <s v="Government"/>
    <s v="NEG_BM"/>
    <s v="CSI 7533G"/>
    <x v="0"/>
    <s v="CITIBANK N A"/>
    <d v="2018-03-05T00:00:00"/>
    <s v="9128283W8"/>
    <n v="3300000"/>
    <n v="98.8125"/>
    <d v="2018-03-06T00:00:00"/>
    <s v="Sell"/>
    <s v="Confirmed"/>
    <d v="2018-03-05T14:24:49"/>
    <n v="2.8880910082"/>
    <n v="3265575.62154696"/>
    <s v="USD"/>
    <s v="T 2.75 02/15/2028"/>
    <x v="1"/>
    <s v="BN21484333"/>
    <s v="M"/>
    <m/>
    <x v="0"/>
    <s v="NEG_BM_MFL_FI"/>
    <m/>
    <m/>
    <s v="bmaggio"/>
    <d v="2018-03-05T14:30:20"/>
    <s v="BN21484333"/>
    <d v="2018-03-05T14:24:49"/>
    <m/>
  </r>
  <r>
    <s v="21484353"/>
    <x v="2"/>
    <s v="Government"/>
    <s v="SYM_SA"/>
    <s v="CGMI XPBMFI6"/>
    <x v="19"/>
    <s v="CITIBANK N A"/>
    <d v="2018-03-05T00:00:00"/>
    <s v="GB00B16NNR78"/>
    <n v="6300000"/>
    <n v="125.012"/>
    <d v="2018-03-06T00:00:00"/>
    <s v="Buy"/>
    <s v="Confirmed"/>
    <d v="2018-03-05T14:34:35"/>
    <n v="1.4860616909"/>
    <n v="-7941222.3461538497"/>
    <s v="GBP"/>
    <s v="UKT 4.25 12/07/2027"/>
    <x v="1"/>
    <s v="BN21484353"/>
    <s v="M"/>
    <m/>
    <x v="0"/>
    <s v="SYM_SA_MFL_FI"/>
    <m/>
    <m/>
    <s v="TC-KINETIX-BRIDGE"/>
    <d v="2018-03-05T14:39:27"/>
    <s v="BN21484353"/>
    <d v="2018-03-05T14:34:31"/>
    <m/>
  </r>
  <r>
    <s v="21484357"/>
    <x v="2"/>
    <s v="Government"/>
    <s v="SYM_SA"/>
    <s v="CGMI XPBMFI6"/>
    <x v="19"/>
    <s v="CITIBANK N A"/>
    <d v="2018-03-05T00:00:00"/>
    <s v="GB00BDRHNP05"/>
    <n v="7500000"/>
    <n v="97.719848999999996"/>
    <d v="2018-03-06T00:00:00"/>
    <s v="Sell"/>
    <s v="Confirmed"/>
    <d v="2018-03-05T14:34:40"/>
    <n v="1.5115619902999999"/>
    <n v="7340124.72472376"/>
    <s v="GBP"/>
    <s v="UKT 1.25 07/22/2027"/>
    <x v="1"/>
    <s v="BN21484357"/>
    <s v="M"/>
    <m/>
    <x v="0"/>
    <s v="SYM_SA_MFL_FI"/>
    <m/>
    <m/>
    <s v="TC-KINETIX-BRIDGE"/>
    <d v="2018-03-05T14:39:27"/>
    <s v="BN21484357"/>
    <d v="2018-03-05T14:34:31"/>
    <m/>
  </r>
  <r>
    <s v="21484757"/>
    <x v="2"/>
    <s v="Government"/>
    <s v="NEG_MG"/>
    <s v="CSI 7533G"/>
    <x v="0"/>
    <s v="CITIBANK N A"/>
    <d v="2018-03-05T00:00:00"/>
    <s v="912810RZ3"/>
    <n v="8300000"/>
    <n v="92.109375"/>
    <d v="2018-03-06T00:00:00"/>
    <s v="Buy"/>
    <s v="Confirmed"/>
    <d v="2018-03-05T16:37:09"/>
    <n v="3.1615186828000001"/>
    <n v="-7715066.3846685104"/>
    <s v="USD"/>
    <s v="T 2.75 11/15/2047"/>
    <x v="1"/>
    <s v="BN21484757"/>
    <s v="M"/>
    <m/>
    <x v="0"/>
    <s v="NEG_MG_MFL_FI"/>
    <m/>
    <m/>
    <s v="TC-KINETIX-BRIDGE"/>
    <d v="2018-03-05T16:41:55"/>
    <s v="BN21484757"/>
    <d v="2018-03-05T16:37:05"/>
    <m/>
  </r>
  <r>
    <s v="21484758"/>
    <x v="2"/>
    <s v="Corporate"/>
    <s v="NEG_MG"/>
    <s v="CSI 7533G"/>
    <x v="1"/>
    <s v="CITIBANK N A"/>
    <d v="2018-03-05T00:00:00"/>
    <s v="126650CN8"/>
    <n v="10000000"/>
    <n v="103.002"/>
    <d v="2018-03-07T00:00:00"/>
    <s v="Sell"/>
    <s v="Confirmed"/>
    <d v="2018-03-05T16:37:13"/>
    <n v="4.9237310364000004"/>
    <n v="10367109.72222222"/>
    <s v="USD"/>
    <s v="CVS 5.125 07/20/2045"/>
    <x v="1"/>
    <s v="BN21484758"/>
    <s v="M"/>
    <m/>
    <x v="0"/>
    <s v="NEG_MG_MFL_FI"/>
    <m/>
    <m/>
    <s v="TC-KINETIX-BRIDGE"/>
    <d v="2018-03-05T16:41:55"/>
    <s v="BN21484758"/>
    <d v="2018-03-05T16:37:05"/>
    <m/>
  </r>
  <r>
    <s v="21484753"/>
    <x v="2"/>
    <s v="Corporate"/>
    <s v="NEG_RN2"/>
    <s v="CSI 7533G"/>
    <x v="1"/>
    <s v="CITIBANK N A"/>
    <d v="2018-03-05T00:00:00"/>
    <s v="55336VAR1"/>
    <n v="3000000"/>
    <n v="98.441999999999993"/>
    <d v="2018-03-07T00:00:00"/>
    <s v="Buy"/>
    <s v="Confirmed"/>
    <d v="2018-03-05T16:40:04"/>
    <n v="4.1910138321000003"/>
    <n v="-2962926.6666666702"/>
    <s v="USD"/>
    <s v="MPLX 4 03/15/2028"/>
    <x v="1"/>
    <s v="BN21484753"/>
    <s v="M"/>
    <m/>
    <x v="0"/>
    <s v="NEG_RN2_MFL_FI"/>
    <m/>
    <m/>
    <s v="nrana"/>
    <d v="2018-03-05T16:51:38"/>
    <s v="BN21484753"/>
    <d v="2018-03-05T16:40:04"/>
    <m/>
  </r>
  <r>
    <s v="21484754"/>
    <x v="2"/>
    <s v="Government"/>
    <s v="NEG_RN2"/>
    <s v="CSI 7533G"/>
    <x v="0"/>
    <s v="CITIBANK N A"/>
    <d v="2018-03-05T00:00:00"/>
    <s v="9128283W8"/>
    <n v="2800000"/>
    <n v="98.875"/>
    <d v="2018-03-06T00:00:00"/>
    <s v="Sell"/>
    <s v="Confirmed"/>
    <d v="2018-03-05T16:40:14"/>
    <n v="2.8807705845"/>
    <n v="2772541.4364640899"/>
    <s v="USD"/>
    <s v="T 2.75 02/15/2028"/>
    <x v="1"/>
    <s v="BN21484754"/>
    <s v="M"/>
    <m/>
    <x v="0"/>
    <s v="NEG_RN2_MFL_FI"/>
    <m/>
    <m/>
    <s v="nrana"/>
    <d v="2018-03-05T16:51:38"/>
    <s v="BN21484754"/>
    <d v="2018-03-05T16:40:14"/>
    <m/>
  </r>
  <r>
    <s v="21480841"/>
    <x v="2"/>
    <s v="Corporate"/>
    <s v="ASIR_BG"/>
    <s v="CSI 7533G"/>
    <x v="1"/>
    <s v="CITIBANK N A"/>
    <d v="2018-03-05T00:00:00"/>
    <s v="12686CBB4"/>
    <n v="2275000"/>
    <n v="100"/>
    <d v="2018-03-07T00:00:00"/>
    <s v="Buy"/>
    <s v="Booked"/>
    <d v="2018-03-05T12:45:53"/>
    <n v="5.8745374771999996"/>
    <n v="-2338857.9861111101"/>
    <s v="USD"/>
    <s v="CVC 5.875 09/15/2022"/>
    <x v="0"/>
    <m/>
    <m/>
    <m/>
    <x v="0"/>
    <s v="ASIR_BG_MFL_FI"/>
    <m/>
    <s v="BROKER BOOKING ISSUE (AESIR) - Confirmed over email with Mitchell Falanga"/>
    <s v="VEN_SKULKARNI"/>
    <d v="2018-03-05T10:45:20"/>
    <m/>
    <d v="2018-03-05T12:45:53"/>
    <m/>
  </r>
  <r>
    <s v="21483582"/>
    <x v="2"/>
    <s v="Government"/>
    <s v="ASIR_TR"/>
    <s v="CSI 7533G"/>
    <x v="0"/>
    <s v="CITIBANK N A"/>
    <d v="2018-03-05T00:00:00"/>
    <s v="912810SA7"/>
    <n v="4550000"/>
    <n v="96.94140625"/>
    <d v="2018-03-06T00:00:00"/>
    <s v="Sell"/>
    <s v="Booked"/>
    <d v="2018-03-05T13:39:20"/>
    <n v="3.1586312234"/>
    <n v="4417998.3490158804"/>
    <s v="USD"/>
    <s v="T 3 02/15/2048"/>
    <x v="0"/>
    <m/>
    <m/>
    <m/>
    <x v="0"/>
    <s v="ASIR_TR_MFL_FI"/>
    <m/>
    <s v="BROKER BOOKING ISSUE (AESIR) - Confirmed over email with Mitchell Falanga"/>
    <s v="VEN_SKULKARNI"/>
    <d v="2018-03-05T12:46:16"/>
    <m/>
    <d v="2018-03-05T13:39:20"/>
    <m/>
  </r>
  <r>
    <s v="21484105"/>
    <x v="2"/>
    <s v="Government"/>
    <s v="ASIR_TR"/>
    <s v="CSI 7533G"/>
    <x v="0"/>
    <s v="CITIBANK N A"/>
    <d v="2018-03-05T00:00:00"/>
    <s v="912810SA7"/>
    <n v="9100000"/>
    <n v="96.84375"/>
    <d v="2018-03-06T00:00:00"/>
    <s v="Sell"/>
    <s v="Booked"/>
    <d v="2018-03-05T14:46:32"/>
    <n v="3.1638055279000001"/>
    <n v="8827109.9792817701"/>
    <s v="USD"/>
    <s v="T 3 02/15/2048"/>
    <x v="0"/>
    <m/>
    <m/>
    <m/>
    <x v="0"/>
    <s v="ASIR_TR_MFL_FI"/>
    <m/>
    <s v="BROKER BOOKING ISSUE (AESIR) - Confirmed over email with mitchell.falanga"/>
    <s v="VEN_SKULKARNI"/>
    <d v="2018-03-05T13:33:10"/>
    <m/>
    <d v="2018-03-05T14:46:32"/>
    <m/>
  </r>
  <r>
    <s v="21484234"/>
    <x v="2"/>
    <s v="Government"/>
    <s v="ASIR_TR"/>
    <s v="CSI 7533G"/>
    <x v="0"/>
    <s v="CITIBANK N A"/>
    <d v="2018-03-05T00:00:00"/>
    <s v="912810SA7"/>
    <n v="4550000"/>
    <n v="96.84375"/>
    <d v="2018-03-06T00:00:00"/>
    <s v="Sell"/>
    <s v="Booked"/>
    <d v="2018-03-05T14:46:32"/>
    <n v="3.1638055279000001"/>
    <n v="4413554.9896408804"/>
    <s v="USD"/>
    <s v="T 3 02/15/2048"/>
    <x v="0"/>
    <m/>
    <m/>
    <m/>
    <x v="0"/>
    <s v="ASIR_TR_MFL_FI"/>
    <m/>
    <s v="BROKER BOOKING ISSUE (AESIR) - Confirmed over email with mitchell.falanga"/>
    <s v="VEN_SKULKARNI"/>
    <d v="2018-03-05T14:02:01"/>
    <m/>
    <d v="2018-03-05T14:46:32"/>
    <m/>
  </r>
  <r>
    <s v="21475226"/>
    <x v="2"/>
    <s v="Government"/>
    <s v="AG_CP"/>
    <s v="BONY 2785"/>
    <x v="0"/>
    <s v="CITIGROUP GLOBAL MARKETS INC"/>
    <d v="2018-03-05T00:00:00"/>
    <s v="9128283W8"/>
    <n v="5000000"/>
    <n v="99.203524999999999"/>
    <d v="2018-03-06T00:00:00"/>
    <s v="Buy"/>
    <s v="Confirmed"/>
    <d v="2018-03-05T07:56:00"/>
    <n v="2.8423781038000002"/>
    <n v="-4967393.1008287305"/>
    <s v="USD"/>
    <s v="T 2.75 02/15/2028"/>
    <x v="1"/>
    <s v="BN21475226"/>
    <s v="M"/>
    <m/>
    <x v="0"/>
    <s v="AG_CP_MFL_FI"/>
    <m/>
    <m/>
    <s v="TC-KINETIX-BRIDGE"/>
    <d v="2018-03-05T08:07:23"/>
    <s v="BN21475226"/>
    <d v="2018-03-05T07:55:53"/>
    <m/>
  </r>
  <r>
    <s v="21484158"/>
    <x v="2"/>
    <s v="Government"/>
    <s v="AG_CP"/>
    <s v="BONY 2785"/>
    <x v="0"/>
    <s v="CITIGROUP GLOBAL MARKETS INC"/>
    <d v="2018-03-05T00:00:00"/>
    <s v="9128283W8"/>
    <n v="5000000"/>
    <n v="98.836337499999999"/>
    <d v="2018-03-06T00:00:00"/>
    <s v="Buy"/>
    <s v="Confirmed"/>
    <d v="2018-03-05T13:37:24"/>
    <n v="2.8852983757000001"/>
    <n v="-4949033.7258287296"/>
    <s v="USD"/>
    <s v="T 2.75 02/15/2028"/>
    <x v="1"/>
    <s v="BN21484158"/>
    <s v="M"/>
    <m/>
    <x v="0"/>
    <s v="AG_CP_MFL_FI"/>
    <m/>
    <m/>
    <s v="TC-KINETIX-BRIDGE"/>
    <d v="2018-03-05T13:42:45"/>
    <s v="BN21484158"/>
    <d v="2018-03-05T13:37:15"/>
    <m/>
  </r>
  <r>
    <s v="21481261"/>
    <x v="2"/>
    <s v="US ABS"/>
    <s v="AG_TRS"/>
    <s v="CGMI XPBMFI7"/>
    <x v="9"/>
    <s v="CITIGROUP GLOBAL MARKETS INC"/>
    <d v="2018-03-05T00:00:00"/>
    <s v="01F030637"/>
    <n v="40000000"/>
    <n v="96.875"/>
    <d v="2018-03-13T00:00:00"/>
    <s v="Sell"/>
    <s v="Confirmed"/>
    <d v="2018-03-05T11:16:05"/>
    <n v="3.1507059549999998"/>
    <n v="38750000"/>
    <s v="USD"/>
    <s v="FNCL 3 3/18"/>
    <x v="1"/>
    <s v="BN21481261"/>
    <s v="M"/>
    <m/>
    <x v="0"/>
    <s v="AG_TRS_MFL_FI"/>
    <m/>
    <m/>
    <m/>
    <d v="2018-03-05T11:07:18"/>
    <s v="BN21481261"/>
    <d v="2018-03-05T11:06:42"/>
    <m/>
  </r>
  <r>
    <s v="21481257"/>
    <x v="2"/>
    <s v="US ABS"/>
    <s v="AG_TRS"/>
    <s v="CGMI XPBMFI7"/>
    <x v="9"/>
    <s v="CITIGROUP GLOBAL MARKETS INC"/>
    <d v="2018-03-05T00:00:00"/>
    <s v="01F030645"/>
    <n v="40000000"/>
    <n v="96.75"/>
    <d v="2018-04-12T00:00:00"/>
    <s v="Buy"/>
    <s v="Confirmed"/>
    <d v="2018-03-05T11:16:05"/>
    <n v="3.1574385441000001"/>
    <n v="-38700000"/>
    <s v="USD"/>
    <s v="FNCL 3 4/18"/>
    <x v="1"/>
    <s v="BN21481257"/>
    <s v="M"/>
    <m/>
    <x v="0"/>
    <s v="AG_TRS_MFL_FI"/>
    <m/>
    <m/>
    <m/>
    <d v="2018-03-05T11:07:18"/>
    <s v="BN21481257"/>
    <d v="2018-03-05T11:06:34"/>
    <m/>
  </r>
  <r>
    <s v="21481326"/>
    <x v="2"/>
    <s v="US ABS"/>
    <s v="AG_TRS"/>
    <s v="CGMI XPBMFI7"/>
    <x v="9"/>
    <s v="CITIGROUP GLOBAL MARKETS INC"/>
    <d v="2018-03-05T00:00:00"/>
    <s v="01F042632"/>
    <n v="53000000"/>
    <n v="104.66015625"/>
    <d v="2018-03-13T00:00:00"/>
    <s v="Sell"/>
    <s v="Confirmed"/>
    <d v="2018-03-05T11:26:06"/>
    <n v="4.2084462611999998"/>
    <n v="55469882.8125"/>
    <s v="USD"/>
    <s v="FNCL 4.5 3/18"/>
    <x v="1"/>
    <s v="BN21481326"/>
    <s v="M"/>
    <m/>
    <x v="0"/>
    <s v="AG_TRS_MFL_FI"/>
    <m/>
    <m/>
    <m/>
    <d v="2018-03-05T11:16:43"/>
    <s v="BN21481326"/>
    <d v="2018-03-05T11:09:53"/>
    <m/>
  </r>
  <r>
    <s v="21482906"/>
    <x v="2"/>
    <s v="US ABS"/>
    <s v="AG_TRS"/>
    <s v="CGMI XPBMFI7"/>
    <x v="9"/>
    <s v="CITIGROUP GLOBAL MARKETS INC"/>
    <d v="2018-03-05T00:00:00"/>
    <s v="01F042640"/>
    <n v="53000000"/>
    <n v="104.5"/>
    <d v="2018-04-12T00:00:00"/>
    <s v="Buy"/>
    <s v="Confirmed"/>
    <d v="2018-03-05T12:11:12"/>
    <n v="4.2177782335999998"/>
    <n v="-55385000"/>
    <s v="USD"/>
    <s v="FNCL 4.5 4/18"/>
    <x v="1"/>
    <s v="BN21482906"/>
    <s v="M"/>
    <m/>
    <x v="0"/>
    <s v="AG_TRS_MFL_FI"/>
    <m/>
    <m/>
    <m/>
    <d v="2018-03-05T12:03:00"/>
    <s v="BN21482906"/>
    <d v="2018-03-05T12:02:26"/>
    <m/>
  </r>
  <r>
    <s v="21481399"/>
    <x v="0"/>
    <s v="Government"/>
    <s v="SYM_ES"/>
    <s v="BONY 2785"/>
    <x v="0"/>
    <s v="COEX PARTNERS"/>
    <d v="2018-03-05T00:00:00"/>
    <s v="9128284A5"/>
    <n v="38900000"/>
    <n v="100.08735"/>
    <d v="2018-03-06T00:00:00"/>
    <s v="Buy"/>
    <s v="Booked"/>
    <d v="2018-03-05T14:09:49"/>
    <n v="2.6061386137999998"/>
    <n v="-38950627.927173905"/>
    <s v="USD"/>
    <s v="T 2.625 02/28/2023"/>
    <x v="0"/>
    <m/>
    <m/>
    <m/>
    <x v="0"/>
    <s v="SYM_ES_MFL_FI"/>
    <m/>
    <s v="NO PLATFORM - Confirmed over email with Toni Lopardo "/>
    <s v="VEN_SKULKARNI"/>
    <m/>
    <m/>
    <d v="2018-03-05T14:09:49"/>
    <m/>
  </r>
  <r>
    <s v="21476107"/>
    <x v="2"/>
    <s v="Government"/>
    <s v="SYM_DT"/>
    <s v="CGMI XPBMFI6"/>
    <x v="20"/>
    <s v="CREDIT AGRICOLE CORPORATE"/>
    <d v="2018-03-05T00:00:00"/>
    <s v="IT0005056541"/>
    <n v="3600000"/>
    <n v="101.82"/>
    <d v="2018-03-07T00:00:00"/>
    <s v="Buy"/>
    <s v="Confirmed"/>
    <d v="2018-03-05T08:53:12"/>
    <n v="-0.1117042751"/>
    <n v="-3669841.4"/>
    <s v="EUR"/>
    <s v="CCTS F 12/15/2020 EU"/>
    <x v="1"/>
    <s v="BN21476107"/>
    <s v="M"/>
    <m/>
    <x v="0"/>
    <s v="SYM_DT_MFL_FI"/>
    <m/>
    <m/>
    <s v="TC-KINETIX-BRIDGE"/>
    <d v="2018-03-05T10:08:09"/>
    <s v="BN21476107"/>
    <d v="2018-03-05T08:53:08"/>
    <m/>
  </r>
  <r>
    <s v="21484330"/>
    <x v="2"/>
    <s v="US ABS"/>
    <s v="AG_CP"/>
    <s v="CGMI XPBMFI7"/>
    <x v="9"/>
    <s v="CREDIT SUISSE SECURITIES (USA) LLC"/>
    <d v="2018-03-05T00:00:00"/>
    <s v="01F040636"/>
    <n v="17000000"/>
    <n v="102.26171875"/>
    <d v="2018-03-13T00:00:00"/>
    <s v="Buy"/>
    <s v="Confirmed"/>
    <d v="2018-03-05T14:36:49"/>
    <n v="3.8574530837999998"/>
    <n v="-17384492.1875"/>
    <s v="USD"/>
    <s v="FNCL 4 3/18"/>
    <x v="1"/>
    <s v="BN21484330"/>
    <s v="M"/>
    <m/>
    <x v="0"/>
    <s v="AG_CP_MFL_FI"/>
    <m/>
    <m/>
    <m/>
    <d v="2018-03-05T14:24:23"/>
    <s v="BN21484330"/>
    <d v="2018-03-05T14:22:08"/>
    <m/>
  </r>
  <r>
    <s v="21481161"/>
    <x v="2"/>
    <s v="US ABS"/>
    <s v="AG_TRS"/>
    <s v="CGMI XPBMFI7"/>
    <x v="9"/>
    <s v="CREDIT SUISSE SECURITIES (USA) LLC"/>
    <d v="2018-03-05T00:00:00"/>
    <s v="21H042638"/>
    <n v="3000000"/>
    <n v="103.90625"/>
    <d v="2018-03-20T00:00:00"/>
    <s v="Sell"/>
    <s v="Booked"/>
    <d v="2018-03-06T11:41:25"/>
    <n v="4.2552632682000002"/>
    <n v="3117187.5"/>
    <s v="USD"/>
    <s v="G2SF 4.5 3/18"/>
    <x v="0"/>
    <m/>
    <m/>
    <m/>
    <x v="0"/>
    <s v="AG_TRS_MFL_FI"/>
    <m/>
    <s v="block matched and matched at ficc"/>
    <s v="CMCEVILLY"/>
    <d v="2018-03-05T11:07:18"/>
    <m/>
    <d v="2018-03-05T11:00:49"/>
    <m/>
  </r>
  <r>
    <s v="21481738"/>
    <x v="2"/>
    <s v="Government"/>
    <s v="US_GDEBT"/>
    <s v="BONY 2474"/>
    <x v="0"/>
    <s v="DAIWA CAPITAL MARKETS AMERICA INC."/>
    <d v="2018-03-05T00:00:00"/>
    <s v="912796PJ2"/>
    <n v="125000000"/>
    <n v="99.582663999999994"/>
    <d v="2018-03-08T00:00:00"/>
    <s v="Buy"/>
    <s v="Booked"/>
    <d v="2018-03-05T11:51:56"/>
    <n v="1.6509995604000001"/>
    <n v="-124478329.99999999"/>
    <s v="USD"/>
    <s v="B 0 06/07/2018"/>
    <x v="2"/>
    <m/>
    <m/>
    <m/>
    <x v="0"/>
    <s v="US_GDEBT_MLP_OT"/>
    <m/>
    <m/>
    <s v="JMAGNESS"/>
    <d v="2018-03-05T11:59:44"/>
    <m/>
    <d v="2018-03-05T11:51:52"/>
    <m/>
  </r>
  <r>
    <s v="21476863"/>
    <x v="2"/>
    <s v="Government"/>
    <s v="ANDBRO"/>
    <s v="BCSL 500955"/>
    <x v="16"/>
    <s v="DEUTSCHE BK AG"/>
    <d v="2018-03-05T00:00:00"/>
    <s v="ZAG000077488"/>
    <n v="50000000"/>
    <n v="74.62715"/>
    <d v="2018-03-08T00:00:00"/>
    <s v="Sell"/>
    <s v="Confirmed"/>
    <d v="2018-03-05T10:00:46"/>
    <n v="9.1649995381"/>
    <n v="37384810"/>
    <s v="ZAR"/>
    <s v="SAGB 6.5 02/28/2041 R214"/>
    <x v="1"/>
    <s v="BN21476863"/>
    <s v="M"/>
    <m/>
    <x v="0"/>
    <s v="ANDBRO_C_MFL_FI"/>
    <m/>
    <m/>
    <s v="daanderson"/>
    <d v="2018-03-05T10:08:09"/>
    <s v="BN21476863"/>
    <d v="2018-03-05T10:00:46"/>
    <m/>
  </r>
  <r>
    <s v="21483641"/>
    <x v="2"/>
    <s v="Corporate"/>
    <s v="BAIL_CR"/>
    <s v="CSI 7533G"/>
    <x v="1"/>
    <s v="DEUTSCHE BK AG"/>
    <d v="2018-03-05T00:00:00"/>
    <s v="00287YAS8"/>
    <n v="2000000"/>
    <n v="102.86199999999999"/>
    <d v="2018-03-07T00:00:00"/>
    <s v="Sell"/>
    <s v="Confirmed"/>
    <d v="2018-03-05T12:47:55"/>
    <n v="4.5157622152999997"/>
    <n v="2086745.5555555599"/>
    <s v="USD"/>
    <s v="ABBV 4.7 05/14/2045"/>
    <x v="1"/>
    <s v="BN21483641"/>
    <s v="M"/>
    <m/>
    <x v="0"/>
    <s v="BAIL_CR_MFL_FI"/>
    <m/>
    <m/>
    <s v="Ribenincasa"/>
    <d v="2018-03-05T12:55:36"/>
    <s v="BN21483641"/>
    <d v="2018-03-05T12:47:55"/>
    <m/>
  </r>
  <r>
    <s v="21483642"/>
    <x v="2"/>
    <s v="Government"/>
    <s v="BAIL_CR"/>
    <s v="CSI 7533G"/>
    <x v="0"/>
    <s v="DEUTSCHE BK AG"/>
    <d v="2018-03-05T00:00:00"/>
    <s v="912810RZ3"/>
    <n v="1730000"/>
    <n v="92.0625"/>
    <d v="2018-03-06T00:00:00"/>
    <s v="Buy"/>
    <s v="Confirmed"/>
    <d v="2018-03-05T12:48:07"/>
    <n v="3.1640989018000001"/>
    <n v="-1607269.1643646399"/>
    <s v="USD"/>
    <s v="T 2.75 11/15/2047"/>
    <x v="1"/>
    <s v="BN21483642"/>
    <s v="M"/>
    <m/>
    <x v="0"/>
    <s v="BAIL_CR_MFL_FI"/>
    <m/>
    <m/>
    <s v="Ribenincasa"/>
    <d v="2018-03-05T12:55:36"/>
    <s v="BN21483642"/>
    <d v="2018-03-05T12:48:07"/>
    <m/>
  </r>
  <r>
    <s v="21484248"/>
    <x v="2"/>
    <s v="Government"/>
    <s v="SYM_ES"/>
    <s v="BONY 2785"/>
    <x v="0"/>
    <s v="DEUTSCHE BK AG"/>
    <d v="2018-03-05T00:00:00"/>
    <s v="9128283W8"/>
    <n v="82500000"/>
    <n v="98.875"/>
    <d v="2018-03-06T00:00:00"/>
    <s v="Buy"/>
    <s v="Confirmed"/>
    <d v="2018-03-05T13:54:34"/>
    <n v="2.8807705845"/>
    <n v="-81690953.038674042"/>
    <s v="USD"/>
    <s v="T 2.75 02/15/2028"/>
    <x v="1"/>
    <s v="BN21484248"/>
    <s v="M"/>
    <m/>
    <x v="0"/>
    <s v="SYM_ES_MFL_FI"/>
    <m/>
    <m/>
    <s v="TC-KINETIX-BRIDGE"/>
    <d v="2018-03-05T14:02:01"/>
    <s v="BN21484248"/>
    <d v="2018-03-05T13:54:29"/>
    <m/>
  </r>
  <r>
    <s v="21484249"/>
    <x v="2"/>
    <s v="Government"/>
    <s v="SYM_ES"/>
    <s v="BONY 2785"/>
    <x v="0"/>
    <s v="DEUTSCHE BK AG"/>
    <d v="2018-03-05T00:00:00"/>
    <s v="912828X88"/>
    <n v="90000000"/>
    <n v="95.82421875"/>
    <d v="2018-03-06T00:00:00"/>
    <s v="Sell"/>
    <s v="Confirmed"/>
    <d v="2018-03-05T13:54:38"/>
    <n v="2.8953554204"/>
    <n v="86897218.145718232"/>
    <s v="USD"/>
    <s v="T 2.375 05/15/2027"/>
    <x v="1"/>
    <s v="BN21484249"/>
    <s v="M"/>
    <m/>
    <x v="0"/>
    <s v="SYM_ES_MFL_FI"/>
    <m/>
    <m/>
    <s v="TC-KINETIX-BRIDGE"/>
    <d v="2018-03-05T14:02:01"/>
    <s v="BN21484249"/>
    <d v="2018-03-05T13:54:31"/>
    <m/>
  </r>
  <r>
    <s v="21484351"/>
    <x v="2"/>
    <s v="Government"/>
    <s v="ASIR_TR"/>
    <s v="CSI 7533G"/>
    <x v="0"/>
    <s v="DEUTSCHE BK AG"/>
    <d v="2018-03-05T00:00:00"/>
    <s v="912810RZ3"/>
    <n v="4131000"/>
    <n v="91.9375"/>
    <d v="2018-03-06T00:00:00"/>
    <s v="Sell"/>
    <s v="Confirmed"/>
    <d v="2018-03-05T14:34:31"/>
    <n v="3.170987835"/>
    <n v="3832772.04074586"/>
    <s v="USD"/>
    <s v="T 2.75 11/15/2047"/>
    <x v="1"/>
    <s v="BN21484351"/>
    <s v="M"/>
    <m/>
    <x v="0"/>
    <s v="ASIR_TR_MFL_FI"/>
    <m/>
    <m/>
    <s v="TC-KINETIX-BRIDGE"/>
    <d v="2018-03-05T14:39:27"/>
    <s v="BN21484351"/>
    <d v="2018-03-05T14:34:26"/>
    <m/>
  </r>
  <r>
    <s v="21484352"/>
    <x v="2"/>
    <s v="Corporate"/>
    <s v="ASIR_TR"/>
    <s v="CSI 7533G"/>
    <x v="1"/>
    <s v="DEUTSCHE BK AG"/>
    <d v="2018-03-05T00:00:00"/>
    <s v="035242AN6"/>
    <n v="4550000"/>
    <n v="106.73399999999999"/>
    <d v="2018-03-07T00:00:00"/>
    <s v="Buy"/>
    <s v="Confirmed"/>
    <d v="2018-03-05T14:34:32"/>
    <n v="4.4747652727"/>
    <n v="-4878692"/>
    <s v="USD"/>
    <s v="ABIBB 4.9 02/01/2046"/>
    <x v="1"/>
    <s v="BN21484352"/>
    <s v="M"/>
    <m/>
    <x v="0"/>
    <s v="ASIR_TR_MFL_FI"/>
    <m/>
    <m/>
    <s v="TC-KINETIX-BRIDGE"/>
    <d v="2018-03-05T14:39:27"/>
    <s v="BN21484352"/>
    <d v="2018-03-05T14:34:26"/>
    <m/>
  </r>
  <r>
    <s v="21484460"/>
    <x v="2"/>
    <s v="Corporate"/>
    <s v="BAIL_CR"/>
    <s v="CSI 7533G"/>
    <x v="1"/>
    <s v="DEUTSCHE BK AG"/>
    <d v="2018-03-05T00:00:00"/>
    <s v="031162CF5"/>
    <n v="5000000"/>
    <n v="101.84"/>
    <d v="2018-03-07T00:00:00"/>
    <s v="Sell"/>
    <s v="Confirmed"/>
    <d v="2018-03-05T15:07:22"/>
    <n v="4.5546931791"/>
    <n v="5145106.3888888899"/>
    <s v="USD"/>
    <s v="AMGN 4.663 06/15/2051"/>
    <x v="1"/>
    <s v="BN21484460"/>
    <s v="M"/>
    <m/>
    <x v="0"/>
    <s v="BAIL_CR_MFL_FI"/>
    <m/>
    <m/>
    <s v="Ribenincasa"/>
    <d v="2018-03-05T15:16:49"/>
    <s v="BN21484460"/>
    <d v="2018-03-05T15:07:22"/>
    <m/>
  </r>
  <r>
    <s v="21484462"/>
    <x v="2"/>
    <s v="Government"/>
    <s v="BAIL_CR"/>
    <s v="CSI 7533G"/>
    <x v="0"/>
    <s v="DEUTSCHE BK AG"/>
    <d v="2018-03-05T00:00:00"/>
    <s v="912810RZ3"/>
    <n v="4715000"/>
    <n v="92.25"/>
    <d v="2018-03-06T00:00:00"/>
    <s v="Buy"/>
    <s v="Confirmed"/>
    <d v="2018-03-05T15:07:35"/>
    <n v="3.1537882441999998"/>
    <n v="-4389345.8908839794"/>
    <s v="USD"/>
    <s v="T 2.75 11/15/2047"/>
    <x v="1"/>
    <s v="BN21484462"/>
    <s v="M"/>
    <m/>
    <x v="0"/>
    <s v="BAIL_CR_MFL_FI"/>
    <m/>
    <m/>
    <s v="Ribenincasa"/>
    <d v="2018-03-05T15:16:49"/>
    <s v="BN21484462"/>
    <d v="2018-03-05T15:07:35"/>
    <m/>
  </r>
  <r>
    <s v="21484478"/>
    <x v="2"/>
    <s v="Corporate"/>
    <s v="BAIL_CR"/>
    <s v="CSI 7533G"/>
    <x v="1"/>
    <s v="DEUTSCHE BK AG"/>
    <d v="2018-03-05T00:00:00"/>
    <s v="031162BZ2"/>
    <n v="5000000"/>
    <n v="99.335999999999999"/>
    <d v="2018-03-07T00:00:00"/>
    <s v="Buy"/>
    <s v="Confirmed"/>
    <d v="2018-03-05T15:09:41"/>
    <n v="4.4420153524000003"/>
    <n v="-5043800"/>
    <s v="USD"/>
    <s v="AMGN 4.4 05/01/2045"/>
    <x v="1"/>
    <s v="BN21484478"/>
    <s v="M"/>
    <m/>
    <x v="0"/>
    <s v="BAIL_CR_MFL_FI"/>
    <m/>
    <m/>
    <s v="Ribenincasa"/>
    <d v="2018-03-05T15:16:49"/>
    <s v="BN21484478"/>
    <d v="2018-03-05T15:09:41"/>
    <m/>
  </r>
  <r>
    <s v="21484479"/>
    <x v="2"/>
    <s v="Government"/>
    <s v="BAIL_CR"/>
    <s v="CSI 7533G"/>
    <x v="0"/>
    <s v="DEUTSCHE BK AG"/>
    <d v="2018-03-05T00:00:00"/>
    <s v="912810RZ3"/>
    <n v="4290000"/>
    <n v="92.1875"/>
    <d v="2018-03-06T00:00:00"/>
    <s v="Sell"/>
    <s v="Confirmed"/>
    <d v="2018-03-05T15:09:53"/>
    <n v="3.1572221045000002"/>
    <n v="3991018.4046961302"/>
    <s v="USD"/>
    <s v="T 2.75 11/15/2047"/>
    <x v="1"/>
    <s v="BN21484479"/>
    <s v="M"/>
    <m/>
    <x v="0"/>
    <s v="BAIL_CR_MFL_FI"/>
    <m/>
    <m/>
    <s v="Ribenincasa"/>
    <d v="2018-03-05T15:16:49"/>
    <s v="BN21484479"/>
    <d v="2018-03-05T15:09:53"/>
    <m/>
  </r>
  <r>
    <s v="21484774"/>
    <x v="2"/>
    <s v="Corporate"/>
    <s v="ASIR_DU"/>
    <s v="CSI 7533G"/>
    <x v="1"/>
    <s v="DEUTSCHE BK AG"/>
    <d v="2018-03-05T00:00:00"/>
    <s v="80281LAG0"/>
    <n v="4550000"/>
    <n v="95.245999999999995"/>
    <d v="2018-03-07T00:00:00"/>
    <s v="Buy"/>
    <s v="Confirmed"/>
    <d v="2018-03-05T16:49:20"/>
    <n v="4.4247122444000002"/>
    <n v="-4393607.9055555603"/>
    <s v="USD"/>
    <s v="SANUK V3.823 11/03/2028"/>
    <x v="1"/>
    <s v="BN21484774"/>
    <s v="M"/>
    <m/>
    <x v="0"/>
    <s v="ASIR_DU_MFL_FI"/>
    <m/>
    <m/>
    <s v="TC-KINETIX-BRIDGE"/>
    <d v="2018-03-05T17:01:21"/>
    <s v="BN21484774"/>
    <d v="2018-03-05T16:49:15"/>
    <m/>
  </r>
  <r>
    <s v="21484773"/>
    <x v="2"/>
    <s v="Government"/>
    <s v="ASIR_DU"/>
    <s v="CSI 7533G"/>
    <x v="0"/>
    <s v="DEUTSCHE BK AG"/>
    <d v="2018-03-05T00:00:00"/>
    <s v="9128283W8"/>
    <n v="4004000"/>
    <n v="98.859375"/>
    <d v="2018-03-06T00:00:00"/>
    <s v="Sell"/>
    <s v="Confirmed"/>
    <d v="2018-03-05T16:49:23"/>
    <n v="2.8826001954999998"/>
    <n v="3964108.6291436497"/>
    <s v="USD"/>
    <s v="T 2.75 02/15/2028"/>
    <x v="1"/>
    <s v="BN21484773"/>
    <s v="M"/>
    <m/>
    <x v="0"/>
    <s v="ASIR_DU_MFL_FI"/>
    <m/>
    <m/>
    <s v="TC-KINETIX-BRIDGE"/>
    <d v="2018-03-05T17:01:21"/>
    <s v="BN21484773"/>
    <d v="2018-03-05T16:49:08"/>
    <m/>
  </r>
  <r>
    <s v="21488758"/>
    <x v="2"/>
    <s v="Government"/>
    <s v="NEG_MG"/>
    <s v="CSI 7533G"/>
    <x v="0"/>
    <s v="DEUTSCHE BK AG"/>
    <d v="2018-03-05T00:00:00"/>
    <s v="9128283W8"/>
    <n v="4340000"/>
    <n v="98.875"/>
    <d v="2018-03-06T00:00:00"/>
    <s v="Buy"/>
    <s v="Confirmed"/>
    <d v="2018-03-06T07:59:45"/>
    <n v="2.8807705845"/>
    <n v="-4297439.2265193397"/>
    <s v="USD"/>
    <s v="T 2.75 02/15/2028"/>
    <x v="1"/>
    <s v="BN21488758"/>
    <s v="M"/>
    <m/>
    <x v="0"/>
    <s v="NEG_MG_MFL_FI"/>
    <m/>
    <m/>
    <s v="TC-KINETIX-BRIDGE"/>
    <d v="2018-03-06T08:10:34"/>
    <s v="BN21488758"/>
    <d v="2018-03-06T07:59:37"/>
    <m/>
  </r>
  <r>
    <s v="21488756"/>
    <x v="2"/>
    <s v="Corporate"/>
    <s v="NEG_MG"/>
    <s v="CSI 7533G"/>
    <x v="1"/>
    <s v="DEUTSCHE BK AG"/>
    <d v="2018-03-05T00:00:00"/>
    <s v="25470DAR0"/>
    <n v="4745000"/>
    <n v="95.744"/>
    <d v="2018-03-07T00:00:00"/>
    <s v="Sell"/>
    <s v="Confirmed"/>
    <d v="2018-03-06T07:59:48"/>
    <n v="4.4755266104000002"/>
    <n v="4629477.7027777806"/>
    <s v="USD"/>
    <s v="DISCA 3.95 03/20/2028"/>
    <x v="1"/>
    <s v="BN21488756"/>
    <s v="M"/>
    <m/>
    <x v="0"/>
    <s v="NEG_MG_MFL_FI"/>
    <m/>
    <m/>
    <s v="TC-KINETIX-BRIDGE"/>
    <d v="2018-03-06T08:10:34"/>
    <s v="BN21488756"/>
    <d v="2018-03-06T07:59:42"/>
    <m/>
  </r>
  <r>
    <s v="21476913"/>
    <x v="2"/>
    <s v="Government"/>
    <s v="US_GDEBT"/>
    <s v="BONY 2474"/>
    <x v="0"/>
    <s v="DEUTSCHE BK AG"/>
    <d v="2018-03-05T00:00:00"/>
    <s v="912796PJ2"/>
    <n v="125000000"/>
    <n v="99.581652779999999"/>
    <d v="2018-03-08T00:00:00"/>
    <s v="Buy"/>
    <s v="Booked"/>
    <d v="2018-03-05T13:18:07"/>
    <n v="1.655"/>
    <n v="-124477065.972222"/>
    <s v="USD"/>
    <s v="B 0 06/07/2018"/>
    <x v="0"/>
    <m/>
    <m/>
    <m/>
    <x v="0"/>
    <s v="US_GDEBT_MLP_OT"/>
    <m/>
    <s v="BROKER BOOKING ISSUE - Confirmed over email with Sarah Saffold "/>
    <s v="VEN_SKULKARNI"/>
    <d v="2018-03-05T10:08:09"/>
    <m/>
    <d v="2018-03-05T13:18:07"/>
    <m/>
  </r>
  <r>
    <s v="21481539"/>
    <x v="2"/>
    <s v="Government"/>
    <s v="ASIR_TR"/>
    <s v="CSI 7533G"/>
    <x v="0"/>
    <s v="DEUTSCHE BK AG"/>
    <d v="2018-03-05T00:00:00"/>
    <s v="912810SA7"/>
    <n v="4550000"/>
    <n v="97.1953125"/>
    <d v="2018-03-06T00:00:00"/>
    <s v="Sell"/>
    <s v="Booked"/>
    <d v="2018-03-05T13:44:44"/>
    <n v="3.1452099844000001"/>
    <n v="4429551.0833908794"/>
    <s v="USD"/>
    <s v="T 3 02/15/2048"/>
    <x v="0"/>
    <m/>
    <m/>
    <m/>
    <x v="0"/>
    <s v="ASIR_TR_MFL_FI"/>
    <m/>
    <s v="BROKER BOOKING ISSUE (AESIR) - Confirmed over email with Bill Siano "/>
    <s v="VEN_SKULKARNI"/>
    <d v="2018-03-05T11:41:05"/>
    <m/>
    <d v="2018-03-05T13:44:44"/>
    <m/>
  </r>
  <r>
    <s v="21481572"/>
    <x v="2"/>
    <s v="Government"/>
    <s v="ASIR_TR"/>
    <s v="CSI 7533G"/>
    <x v="0"/>
    <s v="DEUTSCHE BK AG"/>
    <d v="2018-03-05T00:00:00"/>
    <s v="912810SA7"/>
    <n v="6825000"/>
    <n v="97.1875"/>
    <d v="2018-03-06T00:00:00"/>
    <s v="Buy"/>
    <s v="Booked"/>
    <d v="2018-03-05T13:44:44"/>
    <n v="3.1456222594000001"/>
    <n v="-6643793.4219613299"/>
    <s v="USD"/>
    <s v="T 3 02/15/2048"/>
    <x v="0"/>
    <m/>
    <m/>
    <m/>
    <x v="0"/>
    <s v="ASIR_TR_MFL_FI"/>
    <m/>
    <s v="BROKER BOOKING ISSUE (AESIR) - Confirmed over email with Bill Siano "/>
    <s v="VEN_SKULKARNI"/>
    <d v="2018-03-05T11:41:05"/>
    <m/>
    <d v="2018-03-05T13:44:44"/>
    <m/>
  </r>
  <r>
    <s v="21481592"/>
    <x v="2"/>
    <s v="Government"/>
    <s v="ASIR_TR"/>
    <s v="CSI 7533G"/>
    <x v="0"/>
    <s v="DEUTSCHE BK AG"/>
    <d v="2018-03-05T00:00:00"/>
    <s v="912810SA7"/>
    <n v="6825000"/>
    <n v="97.21484375"/>
    <d v="2018-03-06T00:00:00"/>
    <s v="Buy"/>
    <s v="Booked"/>
    <d v="2018-03-05T13:44:45"/>
    <n v="3.1441794870000002"/>
    <n v="-6645659.6328988299"/>
    <s v="USD"/>
    <s v="T 3 02/15/2048"/>
    <x v="0"/>
    <m/>
    <m/>
    <m/>
    <x v="0"/>
    <s v="ASIR_TR_MFL_FI"/>
    <m/>
    <s v="BROKER BOOKING ISSUE (AESIR) - Confirmed over email with Bill Siano "/>
    <s v="VEN_SKULKARNI"/>
    <d v="2018-03-05T11:41:05"/>
    <m/>
    <d v="2018-03-05T13:44:45"/>
    <m/>
  </r>
  <r>
    <s v="21481746"/>
    <x v="2"/>
    <s v="Government"/>
    <s v="ASIR_TR"/>
    <s v="CSI 7533G"/>
    <x v="0"/>
    <s v="DEUTSCHE BK AG"/>
    <d v="2018-03-05T00:00:00"/>
    <s v="912810SA7"/>
    <n v="4550000"/>
    <n v="97.0390625"/>
    <d v="2018-03-06T00:00:00"/>
    <s v="Sell"/>
    <s v="Booked"/>
    <d v="2018-03-05T13:44:45"/>
    <n v="3.1534637554999998"/>
    <n v="4422441.7083908804"/>
    <s v="USD"/>
    <s v="T 3 02/15/2048"/>
    <x v="0"/>
    <m/>
    <m/>
    <m/>
    <x v="0"/>
    <s v="ASIR_TR_MFL_FI"/>
    <m/>
    <s v="BROKER BOOKING ISSUE (AESIR) - Confirmed over email with Bill Siano "/>
    <s v="VEN_SKULKARNI"/>
    <d v="2018-03-05T11:59:44"/>
    <m/>
    <d v="2018-03-05T13:44:45"/>
    <m/>
  </r>
  <r>
    <s v="21484109"/>
    <x v="2"/>
    <s v="Government"/>
    <s v="ASIR_TR"/>
    <s v="CSI 7533G"/>
    <x v="0"/>
    <s v="DEUTSCHE BK AG"/>
    <d v="2018-03-05T00:00:00"/>
    <s v="912810SA7"/>
    <n v="9100000"/>
    <n v="96.79296875"/>
    <d v="2018-03-06T00:00:00"/>
    <s v="Buy"/>
    <s v="Booked"/>
    <d v="2018-03-05T15:36:14"/>
    <n v="3.1664988738000002"/>
    <n v="-8822488.8855317701"/>
    <s v="USD"/>
    <s v="T 3 02/15/2048"/>
    <x v="0"/>
    <m/>
    <m/>
    <m/>
    <x v="0"/>
    <s v="ASIR_TR_MFL_FI"/>
    <m/>
    <s v="BROKER BOOKING ISSUE (AESIR) - Confirmed over email with Bill Siano "/>
    <s v="VEN_SKULKARNI"/>
    <d v="2018-03-05T13:33:10"/>
    <m/>
    <d v="2018-03-05T15:36:14"/>
    <m/>
  </r>
  <r>
    <s v="21484112"/>
    <x v="2"/>
    <s v="Government"/>
    <s v="ASIR_TR"/>
    <s v="CSI 7533G"/>
    <x v="0"/>
    <s v="DEUTSCHE BK AG"/>
    <d v="2018-03-05T00:00:00"/>
    <s v="912810SA7"/>
    <n v="4550000"/>
    <n v="96.77734375"/>
    <d v="2018-03-06T00:00:00"/>
    <s v="Sell"/>
    <s v="Booked"/>
    <d v="2018-03-05T15:36:14"/>
    <n v="3.1673279689"/>
    <n v="4410533.5052658804"/>
    <s v="USD"/>
    <s v="T 3 02/15/2048"/>
    <x v="0"/>
    <m/>
    <m/>
    <m/>
    <x v="0"/>
    <s v="ASIR_TR_MFL_FI"/>
    <m/>
    <s v="BROKER BOOKING ISSUE (AESIR) - Confirmed over email with Bill Siano "/>
    <s v="VEN_SKULKARNI"/>
    <d v="2018-03-05T13:33:10"/>
    <m/>
    <d v="2018-03-05T15:36:14"/>
    <m/>
  </r>
  <r>
    <s v="21484166"/>
    <x v="2"/>
    <s v="Government"/>
    <s v="ASIR_TR"/>
    <s v="CSI 7533G"/>
    <x v="0"/>
    <s v="DEUTSCHE BK AG"/>
    <d v="2018-03-05T00:00:00"/>
    <s v="912810SA7"/>
    <n v="6825000"/>
    <n v="96.9296875"/>
    <d v="2018-03-06T00:00:00"/>
    <s v="Buy"/>
    <s v="Booked"/>
    <d v="2018-03-05T15:36:15"/>
    <n v="3.1592517785999998"/>
    <n v="-6626197.7188363308"/>
    <s v="USD"/>
    <s v="T 3 02/15/2048"/>
    <x v="0"/>
    <m/>
    <m/>
    <m/>
    <x v="0"/>
    <s v="ASIR_TR_MFL_FI"/>
    <m/>
    <s v="BROKER BOOKING ISSUE (AESIR) - Confirmed over email with Bill Siano "/>
    <s v="VEN_SKULKARNI"/>
    <d v="2018-03-05T13:42:45"/>
    <m/>
    <d v="2018-03-05T15:36:15"/>
    <m/>
  </r>
  <r>
    <s v="21485137"/>
    <x v="2"/>
    <s v="Government"/>
    <s v="BONELLO"/>
    <s v="BONY 2785"/>
    <x v="0"/>
    <s v="DEUTSCHE BK AG"/>
    <d v="2018-03-05T00:00:00"/>
    <s v="912796PY9"/>
    <n v="250000000"/>
    <n v="99.069777779999995"/>
    <d v="2018-03-08T00:00:00"/>
    <s v="Buy"/>
    <s v="Booked"/>
    <d v="2018-03-06T08:08:59"/>
    <n v="1.84"/>
    <n v="-247674444.444444"/>
    <s v="USD"/>
    <s v="B 0 09/06/2018"/>
    <x v="0"/>
    <m/>
    <m/>
    <m/>
    <x v="0"/>
    <s v="BONELLO_MFL_FI"/>
    <m/>
    <s v="previously confirmed, WIT bill roll"/>
    <s v="JMAGNESS"/>
    <d v="2018-03-05T17:58:39"/>
    <m/>
    <d v="2018-03-06T08:08:59"/>
    <m/>
  </r>
  <r>
    <s v="21484459"/>
    <x v="0"/>
    <s v="Government"/>
    <s v="NET_MACR"/>
    <s v="BONY 2785"/>
    <x v="0"/>
    <s v="ED&amp;F MAN CAPITAL MARKETS LIMITED"/>
    <d v="2018-03-05T00:00:00"/>
    <s v="9128284A5"/>
    <n v="16200000"/>
    <n v="99.924308999999994"/>
    <d v="2018-03-06T00:00:00"/>
    <s v="Buy"/>
    <s v="Booked"/>
    <d v="2018-03-05T15:47:09"/>
    <n v="2.6412507645000001"/>
    <n v="-16194671.481913041"/>
    <s v="USD"/>
    <s v="T 2.625 02/28/2023"/>
    <x v="0"/>
    <m/>
    <m/>
    <m/>
    <x v="0"/>
    <s v="NET_MACR_MFL_FI"/>
    <m/>
    <s v="NO PLATFORM - Confirmed over email with Wienke, Tyler (CHG)"/>
    <s v="VEN_SKULKARNI"/>
    <m/>
    <m/>
    <d v="2018-03-05T15:47:09"/>
    <m/>
  </r>
  <r>
    <s v="21484461"/>
    <x v="0"/>
    <s v="Government"/>
    <s v="NET_MACR"/>
    <s v="BONY 2785"/>
    <x v="0"/>
    <s v="ED&amp;F MAN CAPITAL MARKETS LIMITED"/>
    <d v="2018-03-05T00:00:00"/>
    <s v="9128283X6"/>
    <n v="26600000"/>
    <n v="99.570312000000001"/>
    <d v="2018-03-06T00:00:00"/>
    <s v="Sell"/>
    <s v="Booked"/>
    <d v="2018-03-05T15:47:09"/>
    <n v="2.4016510394999999"/>
    <n v="26517115.975425407"/>
    <s v="USD"/>
    <s v="T 2.25 02/15/2021"/>
    <x v="0"/>
    <m/>
    <m/>
    <m/>
    <x v="0"/>
    <s v="NET_MACR_MFL_FI"/>
    <m/>
    <s v="NO PLATFORM - Confirmed over email with Wienke, Tyler (CHG)"/>
    <s v="VEN_SKULKARNI"/>
    <m/>
    <m/>
    <d v="2018-03-05T15:47:09"/>
    <m/>
  </r>
  <r>
    <s v="21484463"/>
    <x v="0"/>
    <s v="Government"/>
    <s v="NET_MACR"/>
    <s v="BONY 2785"/>
    <x v="0"/>
    <s v="ED&amp;F MAN CAPITAL MARKETS LIMITED"/>
    <d v="2018-03-05T00:00:00"/>
    <s v="9128283Z1"/>
    <n v="11900000"/>
    <n v="99.628147999999996"/>
    <d v="2018-03-06T00:00:00"/>
    <s v="Buy"/>
    <s v="Booked"/>
    <d v="2018-03-05T15:47:09"/>
    <n v="2.8089629302999999"/>
    <n v="-11861085.209826091"/>
    <s v="USD"/>
    <s v="T 2.75 02/28/2025"/>
    <x v="0"/>
    <m/>
    <m/>
    <m/>
    <x v="0"/>
    <s v="NET_MACR_MFL_FI"/>
    <m/>
    <s v="NO PLATFORM - Confirmed over email with Wienke, Tyler (CHG)"/>
    <s v="VEN_SKULKARNI"/>
    <m/>
    <m/>
    <d v="2018-03-05T15:47:09"/>
    <m/>
  </r>
  <r>
    <s v="21484464"/>
    <x v="0"/>
    <s v="Government"/>
    <s v="NET_MACR"/>
    <s v="BONY 2785"/>
    <x v="0"/>
    <s v="ED&amp;F MAN CAPITAL MARKETS LIMITED"/>
    <d v="2018-03-05T00:00:00"/>
    <s v="9128283F5"/>
    <n v="9200000"/>
    <n v="94.476562000000001"/>
    <d v="2018-03-06T00:00:00"/>
    <s v="Sell"/>
    <s v="Booked"/>
    <d v="2018-03-05T15:47:10"/>
    <n v="2.9077634458000001"/>
    <n v="8755316.0796906091"/>
    <s v="USD"/>
    <s v="T 2.25 11/15/2027"/>
    <x v="0"/>
    <m/>
    <m/>
    <m/>
    <x v="0"/>
    <s v="NET_MACR_MFL_FI"/>
    <m/>
    <s v="NO PLATFORM - Confirmed over email with Wienke, Tyler (CHG)"/>
    <s v="VEN_SKULKARNI"/>
    <m/>
    <m/>
    <d v="2018-03-05T15:47:10"/>
    <m/>
  </r>
  <r>
    <s v="21481730"/>
    <x v="0"/>
    <s v="Government"/>
    <s v="BON_DD"/>
    <s v="BONY 2785"/>
    <x v="0"/>
    <s v="ED&amp;F MAN CAPITAL MARKETS LIMITED"/>
    <d v="2018-03-05T00:00:00"/>
    <s v="9128283X6"/>
    <n v="35400000"/>
    <n v="99.589843999999999"/>
    <d v="2018-03-06T00:00:00"/>
    <s v="Sell"/>
    <s v="Booked"/>
    <d v="2018-03-05T15:53:40"/>
    <n v="2.3947311765000001"/>
    <n v="35296610.024618782"/>
    <s v="USD"/>
    <s v="T 2.25 02/15/2021"/>
    <x v="0"/>
    <m/>
    <m/>
    <m/>
    <x v="0"/>
    <s v="BON_DD_MFL_FI"/>
    <m/>
    <s v="NO PLATFORM - Confirmed over email with Glorioso, Salvatore (NYC) "/>
    <s v="VEN_SKULKARNI"/>
    <m/>
    <m/>
    <d v="2018-03-05T15:53:40"/>
    <m/>
  </r>
  <r>
    <s v="21481731"/>
    <x v="0"/>
    <s v="Government"/>
    <s v="BON_DD"/>
    <s v="BONY 2785"/>
    <x v="0"/>
    <s v="ED&amp;F MAN CAPITAL MARKETS LIMITED"/>
    <d v="2018-03-05T00:00:00"/>
    <s v="9128283Z1"/>
    <n v="15800000"/>
    <n v="99.76491"/>
    <d v="2018-03-06T00:00:00"/>
    <s v="Buy"/>
    <s v="Booked"/>
    <d v="2018-03-05T15:53:41"/>
    <n v="2.7872309620000002"/>
    <n v="-15769940.019130429"/>
    <s v="USD"/>
    <s v="T 2.75 02/28/2025"/>
    <x v="0"/>
    <m/>
    <m/>
    <m/>
    <x v="0"/>
    <s v="BON_DD_MFL_FI"/>
    <m/>
    <s v="NO PLATFORM - Confirmed over email with Glorioso, Salvatore (NYC) "/>
    <s v="VEN_SKULKARNI"/>
    <m/>
    <m/>
    <d v="2018-03-05T15:53:41"/>
    <m/>
  </r>
  <r>
    <s v="21484084"/>
    <x v="0"/>
    <s v="Government"/>
    <s v="BON_DD"/>
    <s v="BONY 2785"/>
    <x v="0"/>
    <s v="ED&amp;F MAN CAPITAL MARKETS LIMITED"/>
    <d v="2018-03-05T00:00:00"/>
    <s v="9128283Y4"/>
    <n v="51800000"/>
    <n v="100.00189399999999"/>
    <d v="2018-03-06T00:00:00"/>
    <s v="Buy"/>
    <s v="Booked"/>
    <d v="2018-03-05T15:53:42"/>
    <n v="2.2489157518999998"/>
    <n v="-51819983.809391297"/>
    <s v="USD"/>
    <s v="T 2.25 02/29/2020"/>
    <x v="0"/>
    <m/>
    <m/>
    <m/>
    <x v="0"/>
    <s v="BON_DD_MFL_FI"/>
    <m/>
    <s v="NO PLATFORM - Confirmed over email with Glorioso, Salvatore (NYC) "/>
    <s v="VEN_SKULKARNI"/>
    <m/>
    <m/>
    <d v="2018-03-05T15:53:42"/>
    <m/>
  </r>
  <r>
    <s v="21484085"/>
    <x v="0"/>
    <s v="Government"/>
    <s v="BON_DD"/>
    <s v="BONY 2785"/>
    <x v="0"/>
    <s v="ED&amp;F MAN CAPITAL MARKETS LIMITED"/>
    <d v="2018-03-05T00:00:00"/>
    <s v="9128283F5"/>
    <n v="12200000"/>
    <n v="94.40625"/>
    <d v="2018-03-06T00:00:00"/>
    <s v="Sell"/>
    <s v="Booked"/>
    <d v="2018-03-05T15:53:42"/>
    <n v="2.9164156384000002"/>
    <n v="11601732.389502758"/>
    <s v="USD"/>
    <s v="T 2.25 11/15/2027"/>
    <x v="0"/>
    <m/>
    <m/>
    <m/>
    <x v="0"/>
    <s v="BON_DD_MFL_FI"/>
    <m/>
    <s v="NO PLATFORM - Confirmed over email with Glorioso, Salvatore (NYC) "/>
    <s v="VEN_SKULKARNI"/>
    <m/>
    <m/>
    <d v="2018-03-05T15:53:42"/>
    <m/>
  </r>
  <r>
    <s v="21476390"/>
    <x v="2"/>
    <s v="Corporate"/>
    <s v="ASIR_M"/>
    <s v="CSI 7533G"/>
    <x v="1"/>
    <s v="GOLDMAN SACHS GROUP INC."/>
    <d v="2018-03-05T00:00:00"/>
    <s v="00130HBZ7"/>
    <n v="455000"/>
    <n v="100.25"/>
    <d v="2018-03-15T00:00:00"/>
    <s v="Sell"/>
    <s v="Confirmed"/>
    <d v="2018-03-05T09:19:14"/>
    <n v="3.9108712932"/>
    <n v="456137.5"/>
    <s v="USD"/>
    <s v="AES 4 03/15/2021"/>
    <x v="1"/>
    <s v="BN21476390"/>
    <s v="M"/>
    <m/>
    <x v="0"/>
    <s v="ASIR_M_MFL_FI"/>
    <m/>
    <m/>
    <s v="TC-KINETIX-BRIDGE"/>
    <d v="2018-03-05T09:21:40"/>
    <s v="BN21476390"/>
    <d v="2018-03-05T09:19:08"/>
    <m/>
  </r>
  <r>
    <s v="21481464"/>
    <x v="2"/>
    <s v="Government"/>
    <s v="GALISHFF"/>
    <s v="BONY 2785"/>
    <x v="0"/>
    <s v="GOLDMAN SACHS GROUP INC."/>
    <d v="2018-03-05T00:00:00"/>
    <s v="9128284A5"/>
    <n v="25000000"/>
    <n v="99.972321249999993"/>
    <d v="2018-03-06T00:00:00"/>
    <s v="Sell"/>
    <s v="Confirmed"/>
    <d v="2018-03-05T11:25:55"/>
    <n v="2.6309041535"/>
    <n v="25003780.040760867"/>
    <s v="USD"/>
    <s v="T 2.625 02/28/2023"/>
    <x v="1"/>
    <s v="BN21481464"/>
    <s v="M"/>
    <m/>
    <x v="0"/>
    <s v="GALISHFF_MFL_FI"/>
    <m/>
    <m/>
    <s v="TC-KINETIX-BRIDGE"/>
    <d v="2018-03-05T11:31:51"/>
    <s v="BN21481464"/>
    <d v="2018-03-05T11:25:48"/>
    <m/>
  </r>
  <r>
    <s v="21483583"/>
    <x v="2"/>
    <s v="Government"/>
    <s v="VEALE"/>
    <s v="BONY 2785"/>
    <x v="0"/>
    <s v="GOLDMAN SACHS GROUP INC."/>
    <d v="2018-03-05T00:00:00"/>
    <s v="9128283W8"/>
    <n v="150000"/>
    <n v="98.87109375"/>
    <d v="2018-03-06T00:00:00"/>
    <s v="Buy"/>
    <s v="Confirmed"/>
    <d v="2018-03-05T12:40:53"/>
    <n v="2.8812279563000001"/>
    <n v="-148523.14614986"/>
    <s v="USD"/>
    <s v="T 2.75 02/15/2028"/>
    <x v="1"/>
    <s v="BN21483583"/>
    <s v="M"/>
    <m/>
    <x v="0"/>
    <s v="VEALE_MFL_FI"/>
    <m/>
    <m/>
    <s v="TC-KINETIX-BRIDGE"/>
    <d v="2018-03-05T12:46:16"/>
    <s v="BN21483583"/>
    <d v="2018-03-05T12:40:48"/>
    <m/>
  </r>
  <r>
    <s v="21483607"/>
    <x v="2"/>
    <s v="Government"/>
    <s v="VEALE"/>
    <s v="BONY 2785"/>
    <x v="0"/>
    <s v="GOLDMAN SACHS GROUP INC."/>
    <d v="2018-03-05T00:00:00"/>
    <s v="9128284A5"/>
    <n v="100000"/>
    <n v="99.92578125"/>
    <d v="2018-03-06T00:00:00"/>
    <s v="Sell"/>
    <s v="Confirmed"/>
    <d v="2018-03-05T13:08:44"/>
    <n v="2.6409334109999998"/>
    <n v="99968.580163039995"/>
    <s v="USD"/>
    <s v="T 2.625 02/28/2023"/>
    <x v="1"/>
    <s v="BN21483607"/>
    <s v="M"/>
    <m/>
    <x v="0"/>
    <s v="VEALE_MFL_FI"/>
    <m/>
    <m/>
    <s v="dveale"/>
    <d v="2018-03-05T12:46:16"/>
    <s v="BN21483607"/>
    <d v="2018-03-05T13:08:44"/>
    <m/>
  </r>
  <r>
    <s v="21484326"/>
    <x v="2"/>
    <s v="Government"/>
    <s v="ASIR_TR"/>
    <s v="CSI 7533G"/>
    <x v="0"/>
    <s v="GOLDMAN SACHS GROUP INC."/>
    <d v="2018-03-05T00:00:00"/>
    <s v="912810SA7"/>
    <n v="4550000"/>
    <n v="96.85546875"/>
    <d v="2018-03-06T00:00:00"/>
    <s v="Buy"/>
    <s v="Confirmed"/>
    <d v="2018-03-05T14:20:07"/>
    <n v="3.1631842498"/>
    <n v="-4414088.1927658794"/>
    <s v="USD"/>
    <s v="T 3 02/15/2048"/>
    <x v="1"/>
    <s v="BN21484326"/>
    <s v="M"/>
    <m/>
    <x v="0"/>
    <s v="ASIR_TR_MFL_FI"/>
    <m/>
    <m/>
    <s v="TC-KINETIX-BRIDGE"/>
    <d v="2018-03-05T14:30:20"/>
    <s v="BN21484326"/>
    <d v="2018-03-05T14:20:01"/>
    <m/>
  </r>
  <r>
    <s v="21479878"/>
    <x v="1"/>
    <s v="US ABS"/>
    <s v="CONNELLY"/>
    <s v="CSI 7534G"/>
    <x v="9"/>
    <s v="GOLDMAN SACHS GROUP INC."/>
    <d v="2018-03-05T00:00:00"/>
    <s v="01F032633"/>
    <n v="35000000"/>
    <n v="99.88671875"/>
    <d v="2018-03-13T00:00:00"/>
    <s v="Buy"/>
    <s v="Booked"/>
    <d v="2018-03-05T15:33:30"/>
    <n v="3.4933710344"/>
    <n v="-34960351.5625"/>
    <s v="USD"/>
    <s v="FNCL 3.5 3/18"/>
    <x v="0"/>
    <m/>
    <m/>
    <m/>
    <x v="0"/>
    <s v="CONNELLY_MFL_FI"/>
    <m/>
    <s v="MLP SYSTEM ISSUE – Confirmed over email with Ray Reyes"/>
    <s v="VEN_SKULKARNI"/>
    <d v="2018-03-05T10:36:32"/>
    <m/>
    <d v="2018-03-05T10:34:37"/>
    <m/>
  </r>
  <r>
    <s v="21481209"/>
    <x v="1"/>
    <s v="US ABS"/>
    <s v="AG_TRS"/>
    <s v="CGMI XPBMFI7"/>
    <x v="9"/>
    <s v="GOLDMAN SACHS GROUP INC."/>
    <d v="2018-03-05T00:00:00"/>
    <s v="01F032435"/>
    <n v="2000000"/>
    <n v="101.7109375"/>
    <d v="2018-03-15T00:00:00"/>
    <s v="Sell"/>
    <s v="Booked"/>
    <d v="2018-03-05T15:33:31"/>
    <n v="3.3960529664000001"/>
    <n v="2034218.75"/>
    <s v="USD"/>
    <s v="FNCI 3.5 3/18"/>
    <x v="0"/>
    <m/>
    <m/>
    <m/>
    <x v="0"/>
    <s v="AG_TRS_MFL_FI"/>
    <m/>
    <s v="MLP SYSTEM ISSUE – Confirmed over email with Ray Reyes"/>
    <s v="VEN_SKULKARNI"/>
    <d v="2018-03-05T11:02:59"/>
    <m/>
    <d v="2018-03-05T11:02:21"/>
    <m/>
  </r>
  <r>
    <s v="21481342"/>
    <x v="1"/>
    <s v="US ABS"/>
    <s v="AG_TRS"/>
    <s v="CGMI XPBMFI7"/>
    <x v="9"/>
    <s v="GOLDMAN SACHS GROUP INC."/>
    <d v="2018-03-05T00:00:00"/>
    <s v="21H030633"/>
    <n v="9000000"/>
    <n v="97.69921875"/>
    <d v="2018-03-20T00:00:00"/>
    <s v="Sell"/>
    <s v="Booked"/>
    <d v="2018-03-05T15:33:31"/>
    <n v="3.1099359517999998"/>
    <n v="8792929.6875"/>
    <s v="USD"/>
    <s v="G2SF 3 3/18"/>
    <x v="0"/>
    <m/>
    <m/>
    <m/>
    <x v="0"/>
    <s v="AG_TRS_MFL_FI"/>
    <m/>
    <s v="MLP SYSTEM ISSUE – Confirmed over email with Ray Reyes"/>
    <s v="VEN_SKULKARNI"/>
    <d v="2018-03-05T11:12:41"/>
    <m/>
    <d v="2018-03-05T11:11:09"/>
    <m/>
  </r>
  <r>
    <s v="21481343"/>
    <x v="1"/>
    <s v="US ABS"/>
    <s v="AG_TRS"/>
    <s v="CGMI XPBMFI7"/>
    <x v="9"/>
    <s v="GOLDMAN SACHS GROUP INC."/>
    <d v="2018-03-05T00:00:00"/>
    <s v="21H030641"/>
    <n v="9000000"/>
    <n v="97.5859375"/>
    <d v="2018-04-19T00:00:00"/>
    <s v="Buy"/>
    <s v="Booked"/>
    <d v="2018-03-05T15:33:32"/>
    <n v="3.1179036891999998"/>
    <n v="-8782734.375"/>
    <s v="USD"/>
    <s v="G2SF 3 200447"/>
    <x v="0"/>
    <m/>
    <m/>
    <m/>
    <x v="0"/>
    <s v="AG_TRS_MFL_FI"/>
    <m/>
    <s v="MLP SYSTEM ISSUE – Confirmed over email with Ray Reyes"/>
    <s v="VEN_SKULKARNI"/>
    <d v="2018-03-05T11:12:41"/>
    <m/>
    <d v="2018-03-05T11:11:09"/>
    <m/>
  </r>
  <r>
    <s v="21473536"/>
    <x v="2"/>
    <s v="Government"/>
    <s v="MSELATI"/>
    <s v="BONY 2785"/>
    <x v="0"/>
    <s v="GOLDMAN SACHS INTERNATIONAL"/>
    <d v="2018-03-05T00:00:00"/>
    <s v="912810SA7"/>
    <n v="8000000"/>
    <n v="98.00390625"/>
    <d v="2018-03-06T00:00:00"/>
    <s v="Sell"/>
    <s v="Confirmed"/>
    <d v="2018-03-05T03:30:16"/>
    <n v="3.1027730010000001"/>
    <n v="7852909.1850828696"/>
    <s v="USD"/>
    <s v="T 3 02/15/2048"/>
    <x v="1"/>
    <s v="BN21473536"/>
    <s v="M"/>
    <m/>
    <x v="0"/>
    <s v="MSELATI_MFL_CO"/>
    <m/>
    <m/>
    <s v="TC-KINETIX-BRIDGE"/>
    <d v="2018-03-05T03:34:12"/>
    <s v="BN21473536"/>
    <d v="2018-03-05T03:30:10"/>
    <m/>
  </r>
  <r>
    <s v="21480861"/>
    <x v="2"/>
    <s v="Corporate"/>
    <s v="BAIL_AD"/>
    <s v="CSI 7533G"/>
    <x v="1"/>
    <s v="GOLDMAN SACHS INTERNATIONAL"/>
    <d v="2018-03-05T00:00:00"/>
    <s v="42829LAC8"/>
    <n v="3000000"/>
    <n v="97"/>
    <d v="2018-03-07T00:00:00"/>
    <s v="Sell"/>
    <s v="Confirmed"/>
    <d v="2018-03-05T10:43:39"/>
    <n v="11.6342897657"/>
    <n v="3028333.3333333298"/>
    <s v="USD"/>
    <s v="HXN 10 04/15/2020"/>
    <x v="1"/>
    <s v="BN21480861"/>
    <s v="M"/>
    <m/>
    <x v="0"/>
    <s v="BAIL_AD_MFL_FI"/>
    <m/>
    <m/>
    <s v="TC-KINETIX-BRIDGE"/>
    <d v="2018-03-05T10:54:43"/>
    <s v="BN21480861"/>
    <d v="2018-03-05T10:43:34"/>
    <m/>
  </r>
  <r>
    <s v="21481333"/>
    <x v="2"/>
    <s v="Corporate"/>
    <s v="BAIL_CR"/>
    <s v="CSI 7533G"/>
    <x v="1"/>
    <s v="GOLDMAN SACHS INTERNATIONAL"/>
    <d v="2018-03-05T00:00:00"/>
    <s v="002824BG4"/>
    <n v="8000000"/>
    <n v="106.49"/>
    <d v="2018-03-07T00:00:00"/>
    <s v="Buy"/>
    <s v="Confirmed"/>
    <d v="2018-03-05T11:20:09"/>
    <n v="4.2437808076000003"/>
    <n v="-8621588.8888888899"/>
    <s v="USD"/>
    <s v="ABT 4.75 11/30/2036"/>
    <x v="1"/>
    <s v="BN21481333"/>
    <s v="M"/>
    <m/>
    <x v="0"/>
    <s v="BAIL_CR_MFL_FI"/>
    <m/>
    <m/>
    <s v="Ribenincasa"/>
    <d v="2018-03-05T11:13:15"/>
    <s v="BN21481333"/>
    <d v="2018-03-05T11:20:09"/>
    <m/>
  </r>
  <r>
    <s v="21481335"/>
    <x v="2"/>
    <s v="Government"/>
    <s v="BAIL_CR"/>
    <s v="CSI 7533G"/>
    <x v="0"/>
    <s v="GOLDMAN SACHS INTERNATIONAL"/>
    <d v="2018-03-05T00:00:00"/>
    <s v="912810RZ3"/>
    <n v="5740000"/>
    <n v="92.5859375"/>
    <d v="2018-03-06T00:00:00"/>
    <s v="Sell"/>
    <s v="Confirmed"/>
    <d v="2018-03-05T11:20:23"/>
    <n v="3.1353828385"/>
    <n v="5362834.3318370199"/>
    <s v="USD"/>
    <s v="T 2.75 11/15/2047"/>
    <x v="1"/>
    <s v="BN21481335"/>
    <s v="M"/>
    <m/>
    <x v="0"/>
    <s v="BAIL_CR_MFL_FI"/>
    <m/>
    <m/>
    <s v="Ribenincasa"/>
    <d v="2018-03-05T11:13:15"/>
    <s v="BN21481335"/>
    <d v="2018-03-05T11:20:23"/>
    <m/>
  </r>
  <r>
    <s v="21481548"/>
    <x v="2"/>
    <s v="Government"/>
    <s v="TT_JS"/>
    <s v="BONY 2785"/>
    <x v="0"/>
    <s v="GOLDMAN SACHS INTERNATIONAL"/>
    <d v="2018-03-05T00:00:00"/>
    <s v="912828U24"/>
    <n v="100000000"/>
    <n v="93.1796875"/>
    <d v="2018-03-06T00:00:00"/>
    <s v="Buy"/>
    <s v="Confirmed"/>
    <d v="2018-03-05T11:34:50"/>
    <n v="2.8927259644999999"/>
    <n v="-93792947.168508291"/>
    <s v="USD"/>
    <s v="T 2 11/15/2026"/>
    <x v="1"/>
    <s v="BN21481548"/>
    <s v="M"/>
    <m/>
    <x v="0"/>
    <s v="TT_JS_MFL_FI"/>
    <m/>
    <m/>
    <s v="TC-KINETIX-BRIDGE"/>
    <d v="2018-03-05T11:41:05"/>
    <s v="BN21481548"/>
    <d v="2018-03-05T11:34:43"/>
    <m/>
  </r>
  <r>
    <s v="21481550"/>
    <x v="2"/>
    <s v="Government"/>
    <s v="TT_JS"/>
    <s v="BONY 2785"/>
    <x v="0"/>
    <s v="GOLDMAN SACHS INTERNATIONAL"/>
    <d v="2018-03-05T00:00:00"/>
    <s v="9128283W8"/>
    <n v="85900000"/>
    <n v="98.875"/>
    <d v="2018-03-06T00:00:00"/>
    <s v="Sell"/>
    <s v="Confirmed"/>
    <d v="2018-03-05T11:34:54"/>
    <n v="2.8807705845"/>
    <n v="85057610.497237563"/>
    <s v="USD"/>
    <s v="T 2.75 02/15/2028"/>
    <x v="1"/>
    <s v="BN21481550"/>
    <s v="M"/>
    <m/>
    <x v="0"/>
    <s v="TT_JS_MFL_FI"/>
    <m/>
    <m/>
    <s v="TC-KINETIX-BRIDGE"/>
    <d v="2018-03-05T11:41:05"/>
    <s v="BN21481550"/>
    <d v="2018-03-05T11:34:47"/>
    <m/>
  </r>
  <r>
    <s v="21481026"/>
    <x v="2"/>
    <s v="Corporate"/>
    <s v="NET_HY"/>
    <s v="CSI 7533G"/>
    <x v="21"/>
    <s v="GOLDMAN SACHS INTERNATIONAL"/>
    <d v="2018-03-05T00:00:00"/>
    <s v="45824TAY1"/>
    <n v="3000000"/>
    <n v="96.5"/>
    <d v="2018-03-07T00:00:00"/>
    <s v="Buy"/>
    <s v="Confirmed"/>
    <d v="2018-03-05T11:40:43"/>
    <n v="10.4383617261"/>
    <n v="-2937250"/>
    <s v="USD"/>
    <s v="INTEL 9.75 07/15/2025 A"/>
    <x v="1"/>
    <s v="BN21481026"/>
    <s v="M"/>
    <m/>
    <x v="0"/>
    <s v="NET_HY_MFL_FI"/>
    <m/>
    <m/>
    <s v="mdratch"/>
    <d v="2018-03-05T10:54:43"/>
    <s v="BN21481026"/>
    <d v="2018-03-05T11:40:43"/>
    <m/>
  </r>
  <r>
    <s v="21483431"/>
    <x v="2"/>
    <s v="Government"/>
    <s v="VEALE"/>
    <s v="BONY 2785"/>
    <x v="0"/>
    <s v="GOLDMAN SACHS INTERNATIONAL"/>
    <d v="2018-03-05T00:00:00"/>
    <s v="9128284A5"/>
    <n v="480000000"/>
    <n v="99.9296875"/>
    <d v="2018-03-06T00:00:00"/>
    <s v="Buy"/>
    <s v="Confirmed"/>
    <d v="2018-03-05T12:20:55"/>
    <n v="2.6400914183999999"/>
    <n v="-479867934.78260869"/>
    <s v="USD"/>
    <s v="T 2.625 02/28/2023"/>
    <x v="1"/>
    <s v="BN21483431"/>
    <s v="M"/>
    <m/>
    <x v="0"/>
    <s v="VEALE_MFL_FI"/>
    <m/>
    <m/>
    <s v="TC-KINETIX-BRIDGE"/>
    <d v="2018-03-05T12:27:23"/>
    <s v="BN21483431"/>
    <d v="2018-03-05T12:20:51"/>
    <m/>
  </r>
  <r>
    <s v="21483432"/>
    <x v="2"/>
    <s v="Government"/>
    <s v="VEALE"/>
    <s v="BONY 2785"/>
    <x v="0"/>
    <s v="GOLDMAN SACHS INTERNATIONAL"/>
    <d v="2018-03-05T00:00:00"/>
    <s v="9128283U2"/>
    <n v="490000000"/>
    <n v="98.789212000000006"/>
    <d v="2018-03-06T00:00:00"/>
    <s v="Sell"/>
    <s v="Confirmed"/>
    <d v="2018-03-05T12:20:56"/>
    <n v="2.6394809173999998"/>
    <n v="485160163.66187847"/>
    <s v="USD"/>
    <s v="T 2.375 01/31/2023"/>
    <x v="1"/>
    <s v="BN21483432"/>
    <s v="M"/>
    <m/>
    <x v="0"/>
    <s v="VEALE_MFL_FI"/>
    <m/>
    <m/>
    <s v="TC-KINETIX-BRIDGE"/>
    <d v="2018-03-05T12:27:23"/>
    <s v="BN21483432"/>
    <d v="2018-03-05T12:20:51"/>
    <m/>
  </r>
  <r>
    <s v="21483645"/>
    <x v="2"/>
    <s v="Government"/>
    <s v="BONELLO"/>
    <s v="BONY 2785"/>
    <x v="0"/>
    <s v="GOLDMAN SACHS INTERNATIONAL"/>
    <d v="2018-03-05T00:00:00"/>
    <s v="9128284A5"/>
    <n v="207600000"/>
    <n v="99.75"/>
    <d v="2018-03-06T00:00:00"/>
    <s v="Sell"/>
    <s v="Confirmed"/>
    <d v="2018-03-05T12:47:56"/>
    <n v="2.6788620698000001"/>
    <n v="207169850.54347828"/>
    <s v="USD"/>
    <s v="T 2.625 02/28/2023"/>
    <x v="1"/>
    <s v="BN21483645"/>
    <s v="M"/>
    <m/>
    <x v="0"/>
    <s v="BONELLO_MFL_FI"/>
    <m/>
    <m/>
    <s v="TC-KINETIX-BRIDGE"/>
    <d v="2018-03-05T12:55:36"/>
    <s v="BN21483645"/>
    <d v="2018-03-05T12:47:51"/>
    <m/>
  </r>
  <r>
    <s v="21483646"/>
    <x v="2"/>
    <s v="Government"/>
    <s v="BONELLO"/>
    <s v="BONY 2785"/>
    <x v="0"/>
    <s v="GOLDMAN SACHS INTERNATIONAL"/>
    <d v="2018-03-05T00:00:00"/>
    <s v="912828X47"/>
    <n v="250000000"/>
    <n v="97.1015625"/>
    <d v="2018-03-06T00:00:00"/>
    <s v="Buy"/>
    <s v="Confirmed"/>
    <d v="2018-03-05T12:47:57"/>
    <n v="2.6159110225000002"/>
    <n v="-244385467.02348065"/>
    <s v="USD"/>
    <s v="T 1.875 04/30/2022"/>
    <x v="1"/>
    <s v="BN21483646"/>
    <s v="M"/>
    <m/>
    <x v="0"/>
    <s v="BONELLO_MFL_FI"/>
    <m/>
    <m/>
    <s v="TC-KINETIX-BRIDGE"/>
    <d v="2018-03-05T12:55:36"/>
    <s v="BN21483646"/>
    <d v="2018-03-05T12:47:51"/>
    <m/>
  </r>
  <r>
    <s v="21484157"/>
    <x v="2"/>
    <s v="Corporate"/>
    <s v="BAIL_CR"/>
    <s v="CSI 7533G"/>
    <x v="1"/>
    <s v="GOLDMAN SACHS INTERNATIONAL"/>
    <d v="2018-03-05T00:00:00"/>
    <s v="125509BW8"/>
    <n v="4000000"/>
    <n v="88.481999999999999"/>
    <d v="2018-03-07T00:00:00"/>
    <s v="Buy"/>
    <s v="Confirmed"/>
    <d v="2018-03-05T13:42:37"/>
    <n v="4.5899902355000002"/>
    <n v="-3613766.1111111101"/>
    <s v="USD"/>
    <s v="CI 3.875 10/15/2047"/>
    <x v="1"/>
    <s v="BN21484157"/>
    <s v="M"/>
    <m/>
    <x v="0"/>
    <s v="BAIL_CR_MFL_FI"/>
    <m/>
    <m/>
    <s v="Ribenincasa"/>
    <d v="2018-03-05T13:52:05"/>
    <s v="BN21484157"/>
    <d v="2018-03-05T13:42:37"/>
    <m/>
  </r>
  <r>
    <s v="21484156"/>
    <x v="2"/>
    <s v="Government"/>
    <s v="BAIL_CR"/>
    <s v="CSI 7533G"/>
    <x v="0"/>
    <s v="GOLDMAN SACHS INTERNATIONAL"/>
    <d v="2018-03-05T00:00:00"/>
    <s v="912810RZ3"/>
    <n v="3260000"/>
    <n v="91.94921875"/>
    <d v="2018-03-06T00:00:00"/>
    <s v="Sell"/>
    <s v="Confirmed"/>
    <d v="2018-03-05T13:42:45"/>
    <n v="3.1703414808999999"/>
    <n v="3025033.8958908799"/>
    <s v="USD"/>
    <s v="T 2.75 11/15/2047"/>
    <x v="1"/>
    <s v="BN21484156"/>
    <s v="M"/>
    <m/>
    <x v="0"/>
    <s v="BAIL_CR_MFL_FI"/>
    <m/>
    <m/>
    <s v="Ribenincasa"/>
    <d v="2018-03-05T13:42:45"/>
    <s v="BN21484156"/>
    <d v="2018-03-05T13:42:45"/>
    <m/>
  </r>
  <r>
    <s v="21484393"/>
    <x v="2"/>
    <s v="Government"/>
    <s v="NET_MACR"/>
    <s v="BONY 2785"/>
    <x v="0"/>
    <s v="GOLDMAN SACHS INTERNATIONAL"/>
    <d v="2018-03-05T00:00:00"/>
    <s v="9128283W8"/>
    <n v="6000000"/>
    <n v="98.81640625"/>
    <d v="2018-03-06T00:00:00"/>
    <s v="Sell"/>
    <s v="Confirmed"/>
    <d v="2018-03-05T14:47:21"/>
    <n v="2.8876333270000001"/>
    <n v="5937644.59599448"/>
    <s v="USD"/>
    <s v="T 2.75 02/15/2028"/>
    <x v="1"/>
    <s v="BN21484393"/>
    <s v="M"/>
    <m/>
    <x v="0"/>
    <s v="NET_MACR_MFL_FI"/>
    <m/>
    <m/>
    <s v="TC-KINETIX-BRIDGE"/>
    <d v="2018-03-05T14:58:06"/>
    <s v="BN21484393"/>
    <d v="2018-03-05T14:47:13"/>
    <m/>
  </r>
  <r>
    <s v="21484502"/>
    <x v="2"/>
    <s v="Government"/>
    <s v="TIER"/>
    <s v="BONY 2785"/>
    <x v="0"/>
    <s v="GOLDMAN SACHS INTERNATIONAL"/>
    <d v="2018-03-05T00:00:00"/>
    <s v="912810RD2"/>
    <n v="50000000"/>
    <n v="110.69051"/>
    <d v="2018-03-06T00:00:00"/>
    <s v="Buy"/>
    <s v="Confirmed"/>
    <d v="2018-03-05T15:17:01"/>
    <n v="3.1404360138"/>
    <n v="-55920185.939226516"/>
    <s v="USD"/>
    <s v="T 3.75 11/15/2043"/>
    <x v="1"/>
    <s v="BN21484502"/>
    <s v="M"/>
    <m/>
    <x v="0"/>
    <s v="TIER_MFL_FI"/>
    <m/>
    <m/>
    <s v="TC-KINETIX-BRIDGE"/>
    <d v="2018-03-05T15:26:17"/>
    <s v="BN21484502"/>
    <d v="2018-03-05T15:16:55"/>
    <m/>
  </r>
  <r>
    <s v="21484237"/>
    <x v="2"/>
    <s v="Corporate"/>
    <s v="NET_HY"/>
    <s v="CSI 7533G"/>
    <x v="21"/>
    <s v="GOLDMAN SACHS INTERNATIONAL"/>
    <d v="2018-03-05T00:00:00"/>
    <s v="02154VAA9"/>
    <n v="3000000"/>
    <n v="92.75"/>
    <d v="2018-03-07T00:00:00"/>
    <s v="Buy"/>
    <s v="Confirmed"/>
    <d v="2018-03-05T15:21:19"/>
    <n v="9.9008517931999993"/>
    <n v="-2796708.3333333298"/>
    <s v="USD"/>
    <s v="ATCNA 7.75 05/15/2022 A"/>
    <x v="1"/>
    <s v="BN21484237"/>
    <s v="M"/>
    <m/>
    <x v="0"/>
    <s v="NET_HY_MFL_FI"/>
    <m/>
    <m/>
    <s v="mdratch"/>
    <d v="2018-03-05T13:52:37"/>
    <s v="BN21484237"/>
    <d v="2018-03-05T15:21:19"/>
    <m/>
  </r>
  <r>
    <s v="21484735"/>
    <x v="2"/>
    <s v="Corporate"/>
    <s v="BAIL_AD"/>
    <s v="CSI 7533G"/>
    <x v="1"/>
    <s v="GOLDMAN SACHS INTERNATIONAL"/>
    <d v="2018-03-05T00:00:00"/>
    <s v="35906AAM0"/>
    <n v="2000000"/>
    <n v="65.375"/>
    <d v="2018-03-07T00:00:00"/>
    <s v="Sell"/>
    <s v="Confirmed"/>
    <d v="2018-03-05T16:22:29"/>
    <n v="18.141715797500002"/>
    <n v="1328083.33333333"/>
    <s v="USD"/>
    <s v="FTR 7.125 01/15/2023"/>
    <x v="1"/>
    <s v="BN21484735"/>
    <s v="M"/>
    <m/>
    <x v="0"/>
    <s v="BAIL_AD_MFL_FI"/>
    <m/>
    <m/>
    <s v="TC-KINETIX-BRIDGE"/>
    <d v="2018-03-05T16:32:33"/>
    <s v="BN21484735"/>
    <d v="2018-03-05T16:22:24"/>
    <m/>
  </r>
  <r>
    <s v="21474412"/>
    <x v="2"/>
    <s v="Government"/>
    <s v="WEST_AS"/>
    <s v="BCSL 500955"/>
    <x v="16"/>
    <s v="HSBC BANK PLC"/>
    <d v="2018-03-05T00:00:00"/>
    <s v="ZAG000107012"/>
    <n v="150000000"/>
    <n v="94.197519999999997"/>
    <d v="2018-03-08T00:00:00"/>
    <s v="Sell"/>
    <s v="Confirmed"/>
    <d v="2018-03-05T07:04:30"/>
    <n v="9.1499994749999995"/>
    <n v="142553820"/>
    <s v="ZAR"/>
    <s v="SAGB 8.5 01/31/2037 2037"/>
    <x v="1"/>
    <s v="BN21474412"/>
    <s v="M"/>
    <m/>
    <x v="0"/>
    <s v="WEST_AS_MFL_FI"/>
    <m/>
    <m/>
    <s v="TC-KINETIX-BRIDGE"/>
    <d v="2018-03-05T07:12:02"/>
    <s v="BN21474412"/>
    <d v="2018-03-05T07:04:23"/>
    <m/>
  </r>
  <r>
    <s v="21476064"/>
    <x v="2"/>
    <s v="Government"/>
    <s v="BONELLO"/>
    <s v="BONY 2785"/>
    <x v="0"/>
    <s v="HSBC BANK PLC"/>
    <d v="2018-03-05T00:00:00"/>
    <s v="9128283Y4"/>
    <n v="83000000"/>
    <n v="100"/>
    <d v="2018-03-06T00:00:00"/>
    <s v="Sell"/>
    <s v="Confirmed"/>
    <d v="2018-03-05T08:49:49"/>
    <n v="2.2498973025"/>
    <n v="83030448.369565219"/>
    <s v="USD"/>
    <s v="T 2.25 02/29/2020"/>
    <x v="1"/>
    <s v="BN21476064"/>
    <s v="M"/>
    <m/>
    <x v="0"/>
    <s v="BONELLO_MFL_FI"/>
    <m/>
    <m/>
    <s v="TC-KINETIX-BRIDGE"/>
    <d v="2018-03-05T08:53:45"/>
    <s v="BN21476064"/>
    <d v="2018-03-05T08:49:45"/>
    <m/>
  </r>
  <r>
    <s v="21476065"/>
    <x v="2"/>
    <s v="Government"/>
    <s v="BONELLO"/>
    <s v="BONY 2785"/>
    <x v="0"/>
    <s v="HSBC BANK PLC"/>
    <d v="2018-03-05T00:00:00"/>
    <s v="912828F62"/>
    <n v="100000000"/>
    <n v="98.83984375"/>
    <d v="2018-03-06T00:00:00"/>
    <s v="Buy"/>
    <s v="Confirmed"/>
    <d v="2018-03-05T08:49:50"/>
    <n v="2.2185950198"/>
    <n v="-99361943.197513804"/>
    <s v="USD"/>
    <s v="T 1.5 10/31/2019"/>
    <x v="1"/>
    <s v="BN21476065"/>
    <s v="M"/>
    <m/>
    <x v="0"/>
    <s v="BONELLO_MFL_FI"/>
    <m/>
    <m/>
    <s v="TC-KINETIX-BRIDGE"/>
    <d v="2018-03-05T08:53:45"/>
    <s v="BN21476065"/>
    <d v="2018-03-05T08:49:46"/>
    <m/>
  </r>
  <r>
    <s v="21476730"/>
    <x v="2"/>
    <s v="Government"/>
    <s v="GOYAL"/>
    <s v="BCSL 500955"/>
    <x v="18"/>
    <s v="HSBC BANK PLC"/>
    <d v="2018-03-05T00:00:00"/>
    <s v="GR0128015725"/>
    <n v="2000000"/>
    <n v="89.8"/>
    <d v="2018-03-07T00:00:00"/>
    <s v="Sell"/>
    <s v="Confirmed"/>
    <d v="2018-03-05T09:48:27"/>
    <n v="4.8782533953999998"/>
    <n v="1803693.1506849399"/>
    <s v="EUR"/>
    <s v="GGB 3.9 01/30/2033"/>
    <x v="1"/>
    <s v="BN21476730"/>
    <s v="M"/>
    <m/>
    <x v="0"/>
    <s v="GOYAL_CR_MFL_FI"/>
    <m/>
    <m/>
    <s v="cferraro"/>
    <d v="2018-03-05T09:58:35"/>
    <s v="BN21476730"/>
    <d v="2018-03-05T09:48:27"/>
    <m/>
  </r>
  <r>
    <s v="21476247"/>
    <x v="2"/>
    <s v="Corporate"/>
    <s v="LOMBARDO"/>
    <s v="CSI 7533G"/>
    <x v="7"/>
    <s v="HSBC BANK PLC"/>
    <d v="2018-03-05T00:00:00"/>
    <s v="65504LAQ0"/>
    <n v="3250000"/>
    <n v="99.25"/>
    <d v="2018-03-07T00:00:00"/>
    <s v="Sell"/>
    <s v="Confirmed"/>
    <d v="2018-03-05T10:48:24"/>
    <n v="8.0026650730999993"/>
    <n v="3251929.6875000005"/>
    <s v="USD"/>
    <s v="NE 7.875 02/01/2026 A"/>
    <x v="1"/>
    <s v="BN21476247"/>
    <s v="M"/>
    <m/>
    <x v="0"/>
    <s v="LOMBARDO_MFL_FI"/>
    <m/>
    <m/>
    <s v="klombardo"/>
    <d v="2018-03-05T09:12:18"/>
    <s v="BN21476247"/>
    <d v="2018-03-05T10:48:24"/>
    <m/>
  </r>
  <r>
    <s v="21484215"/>
    <x v="2"/>
    <s v="Government"/>
    <s v="SYM_FGLN"/>
    <s v="BCSL 500955"/>
    <x v="4"/>
    <s v="HSBC BANK PLC"/>
    <d v="2018-03-05T00:00:00"/>
    <s v="DE0001102374"/>
    <n v="89400000"/>
    <n v="101.65"/>
    <d v="2018-03-07T00:00:00"/>
    <s v="Buy"/>
    <s v="Confirmed"/>
    <d v="2018-03-05T13:46:05"/>
    <n v="0.2599613543"/>
    <n v="-90899593.150684923"/>
    <s v="EUR"/>
    <s v="DBR 0.5 02/15/2025"/>
    <x v="1"/>
    <s v="BN21484215"/>
    <s v="M"/>
    <m/>
    <x v="0"/>
    <s v="SYM_FGLN_MFL_FI"/>
    <m/>
    <m/>
    <s v="TC-KINETIX-BRIDGE"/>
    <d v="2018-03-05T13:52:05"/>
    <s v="BN21484215"/>
    <d v="2018-03-05T13:46:01"/>
    <m/>
  </r>
  <r>
    <s v="21484216"/>
    <x v="2"/>
    <s v="Government"/>
    <s v="SYM_FGLN"/>
    <s v="BCSL 500955"/>
    <x v="4"/>
    <s v="HSBC BANK PLC"/>
    <d v="2018-03-05T00:00:00"/>
    <s v="DE0001102416"/>
    <n v="72000000"/>
    <n v="97.762590000000003"/>
    <d v="2018-03-07T00:00:00"/>
    <s v="Sell"/>
    <s v="Confirmed"/>
    <d v="2018-03-05T13:46:09"/>
    <n v="0.50646152870000005"/>
    <n v="70398927.813698635"/>
    <s v="EUR"/>
    <s v="DBR 0.25 02/15/2027"/>
    <x v="1"/>
    <s v="BN21484216"/>
    <s v="M"/>
    <m/>
    <x v="0"/>
    <s v="SYM_FGLN_MFL_FI"/>
    <m/>
    <m/>
    <s v="TC-KINETIX-BRIDGE"/>
    <d v="2018-03-05T13:52:05"/>
    <s v="BN21484216"/>
    <d v="2018-03-05T13:46:02"/>
    <m/>
  </r>
  <r>
    <s v="21484356"/>
    <x v="2"/>
    <s v="Government"/>
    <s v="SYM_SA"/>
    <s v="CGMI XPBMFI6"/>
    <x v="19"/>
    <s v="HSBC BANK PLC"/>
    <d v="2018-03-05T00:00:00"/>
    <s v="GB00B16NNR78"/>
    <n v="6300000"/>
    <n v="125.11539999999999"/>
    <d v="2018-03-06T00:00:00"/>
    <s v="Buy"/>
    <s v="Confirmed"/>
    <d v="2018-03-05T14:34:39"/>
    <n v="1.4760233615"/>
    <n v="-7947736.5461538499"/>
    <s v="GBP"/>
    <s v="UKT 4.25 12/07/2027"/>
    <x v="1"/>
    <s v="BN21484356"/>
    <s v="M"/>
    <m/>
    <x v="0"/>
    <s v="SYM_SA_MFL_FI"/>
    <m/>
    <m/>
    <s v="TC-KINETIX-BRIDGE"/>
    <d v="2018-03-05T14:39:27"/>
    <s v="BN21484356"/>
    <d v="2018-03-05T14:34:31"/>
    <m/>
  </r>
  <r>
    <s v="21484358"/>
    <x v="2"/>
    <s v="Government"/>
    <s v="SYM_SA"/>
    <s v="CGMI XPBMFI6"/>
    <x v="19"/>
    <s v="HSBC BANK PLC"/>
    <d v="2018-03-05T00:00:00"/>
    <s v="GB00BYZW3G56"/>
    <n v="8200000"/>
    <n v="100.95"/>
    <d v="2018-03-06T00:00:00"/>
    <s v="Sell"/>
    <s v="Confirmed"/>
    <d v="2018-03-05T14:34:41"/>
    <n v="1.3795231228"/>
    <n v="8292510.4972375697"/>
    <s v="GBP"/>
    <s v="UKT 1.5 07/22/2026"/>
    <x v="1"/>
    <s v="BN21484358"/>
    <s v="M"/>
    <m/>
    <x v="0"/>
    <s v="SYM_SA_MFL_FI"/>
    <m/>
    <m/>
    <s v="TC-KINETIX-BRIDGE"/>
    <d v="2018-03-05T14:39:27"/>
    <s v="BN21484358"/>
    <d v="2018-03-05T14:34:31"/>
    <m/>
  </r>
  <r>
    <s v="21483476"/>
    <x v="2"/>
    <s v="Government"/>
    <s v="ASIR_TR"/>
    <s v="CSI 7533G"/>
    <x v="0"/>
    <s v="HSBC BANK USA N.A."/>
    <d v="2018-03-05T00:00:00"/>
    <s v="912810SA7"/>
    <n v="9100000"/>
    <n v="97.03125"/>
    <d v="2018-03-06T00:00:00"/>
    <s v="Sell"/>
    <s v="Booked"/>
    <d v="2018-03-05T14:25:05"/>
    <n v="3.1538769017999999"/>
    <n v="8844172.4792817701"/>
    <s v="USD"/>
    <s v="T 3 02/15/2048"/>
    <x v="0"/>
    <m/>
    <m/>
    <m/>
    <x v="0"/>
    <s v="ASIR_TR_MFL_FI"/>
    <m/>
    <s v="BROKER BOOKING ISSUE (AESIR) - Confirmed over email with joseph.j.tuosto"/>
    <s v="VEN_SKULKARNI"/>
    <d v="2018-03-05T12:36:56"/>
    <m/>
    <d v="2018-03-05T14:25:05"/>
    <m/>
  </r>
  <r>
    <s v="21484107"/>
    <x v="2"/>
    <s v="Corporate"/>
    <s v="ASIR_M"/>
    <s v="CSI 7533G"/>
    <x v="1"/>
    <s v="HSBC BANK USA N.A."/>
    <d v="2018-03-05T00:00:00"/>
    <s v="90131HAQ8"/>
    <n v="614000"/>
    <n v="104.22499999999999"/>
    <d v="2018-03-07T00:00:00"/>
    <s v="Buy"/>
    <s v="Booked"/>
    <d v="2018-03-05T14:52:00"/>
    <n v="2.9870166341000002"/>
    <n v="-641630"/>
    <s v="USD"/>
    <s v="FOXA 4.5 02/15/2021"/>
    <x v="0"/>
    <m/>
    <m/>
    <m/>
    <x v="0"/>
    <s v="ASIR_M_MFL_FI"/>
    <m/>
    <s v="BROKER BOOKING ISSUE (AESIR) - Confirmed over email with joseph.j.tuosto"/>
    <s v="VEN_SKULKARNI"/>
    <d v="2018-03-05T13:33:10"/>
    <m/>
    <d v="2018-03-05T14:52:00"/>
    <m/>
  </r>
  <r>
    <s v="21484113"/>
    <x v="2"/>
    <s v="Government"/>
    <s v="ASIR_M"/>
    <s v="CSI 7533G"/>
    <x v="0"/>
    <s v="HSBC BANK USA N.A."/>
    <d v="2018-03-05T00:00:00"/>
    <s v="9128283X6"/>
    <n v="628000"/>
    <n v="99.5546875"/>
    <d v="2018-03-06T00:00:00"/>
    <s v="Sell"/>
    <s v="Booked"/>
    <d v="2018-03-05T14:52:00"/>
    <n v="2.4071877039"/>
    <n v="625945.06733424996"/>
    <s v="USD"/>
    <s v="T 2.25 02/15/2021"/>
    <x v="0"/>
    <m/>
    <m/>
    <m/>
    <x v="0"/>
    <s v="ASIR_M_MFL_FI"/>
    <m/>
    <s v="BROKER BOOKING ISSUE (AESIR) - Confirmed over email with joseph.j.tuosto"/>
    <s v="VEN_SKULKARNI"/>
    <d v="2018-03-05T13:33:10"/>
    <m/>
    <d v="2018-03-05T14:52:00"/>
    <m/>
  </r>
  <r>
    <s v="21476148"/>
    <x v="0"/>
    <s v="Government"/>
    <s v="VEALE"/>
    <s v="BONY 2785"/>
    <x v="0"/>
    <s v="ICAP PLC"/>
    <d v="2018-03-05T00:00:00"/>
    <s v="9128283W8"/>
    <n v="8200000"/>
    <n v="98.875"/>
    <d v="2018-03-06T00:00:00"/>
    <s v="Buy"/>
    <s v="Booked"/>
    <d v="2018-03-05T18:09:13"/>
    <n v="2.8807705845"/>
    <n v="-8119585.6353591206"/>
    <s v="USD"/>
    <s v="T 2.75 02/15/2028"/>
    <x v="0"/>
    <m/>
    <m/>
    <m/>
    <x v="0"/>
    <s v="VEALE_MFL_FI"/>
    <m/>
    <s v="NO PLATFORM - Match vs Confirmed _x000a_"/>
    <s v="VEN_SKULKARNI"/>
    <m/>
    <m/>
    <d v="2018-03-05T18:09:13"/>
    <m/>
  </r>
  <r>
    <s v="21476147"/>
    <x v="0"/>
    <s v="Government"/>
    <s v="VEALE"/>
    <s v="BONY 2785"/>
    <x v="0"/>
    <s v="ICAP PLC"/>
    <d v="2018-03-05T00:00:00"/>
    <s v="9128282A7"/>
    <n v="10000000"/>
    <n v="89.671875"/>
    <d v="2018-03-06T00:00:00"/>
    <s v="Sell"/>
    <s v="Booked"/>
    <d v="2018-03-05T18:09:14"/>
    <n v="2.8864217342999998"/>
    <n v="8975060.4281767998"/>
    <s v="USD"/>
    <s v="T 1.5 08/15/2026"/>
    <x v="0"/>
    <m/>
    <m/>
    <m/>
    <x v="0"/>
    <s v="VEALE_MFL_FI"/>
    <m/>
    <s v="NO PLATFORM - Match vs Confirmed _x000a_"/>
    <s v="VEN_SKULKARNI"/>
    <m/>
    <m/>
    <d v="2018-03-05T18:09:14"/>
    <m/>
  </r>
  <r>
    <s v="21478549"/>
    <x v="0"/>
    <s v="Government"/>
    <s v="VEALE"/>
    <s v="BONY 2785"/>
    <x v="0"/>
    <s v="ICAP PLC"/>
    <d v="2018-03-05T00:00:00"/>
    <s v="9128283W8"/>
    <n v="41250000"/>
    <n v="98.875"/>
    <d v="2018-03-06T00:00:00"/>
    <s v="Buy"/>
    <s v="Booked"/>
    <d v="2018-03-05T18:09:15"/>
    <n v="2.8807705845"/>
    <n v="-40845476.519337021"/>
    <s v="USD"/>
    <s v="T 2.75 02/15/2028"/>
    <x v="0"/>
    <m/>
    <m/>
    <m/>
    <x v="0"/>
    <s v="VEALE_MFL_FI"/>
    <m/>
    <s v="NO PLATFORM - Match vs Confirmed _x000a_"/>
    <s v="VEN_SKULKARNI"/>
    <m/>
    <m/>
    <d v="2018-03-05T18:09:15"/>
    <m/>
  </r>
  <r>
    <s v="21478550"/>
    <x v="0"/>
    <s v="Government"/>
    <s v="VEALE"/>
    <s v="BONY 2785"/>
    <x v="0"/>
    <s v="ICAP PLC"/>
    <d v="2018-03-05T00:00:00"/>
    <s v="912828U24"/>
    <n v="48000000"/>
    <n v="93.1796875"/>
    <d v="2018-03-06T00:00:00"/>
    <s v="Sell"/>
    <s v="Booked"/>
    <d v="2018-03-05T18:09:16"/>
    <n v="2.8927259644999999"/>
    <n v="45020614.640883982"/>
    <s v="USD"/>
    <s v="T 2 11/15/2026"/>
    <x v="0"/>
    <m/>
    <m/>
    <m/>
    <x v="0"/>
    <s v="VEALE_MFL_FI"/>
    <m/>
    <s v="NO PLATFORM - Match vs Confirmed _x000a_"/>
    <s v="VEN_SKULKARNI"/>
    <m/>
    <m/>
    <d v="2018-03-05T18:09:16"/>
    <m/>
  </r>
  <r>
    <s v="21481019"/>
    <x v="0"/>
    <s v="Government"/>
    <s v="VEALE"/>
    <s v="BONY 2785"/>
    <x v="0"/>
    <s v="ICAP PLC"/>
    <d v="2018-03-05T00:00:00"/>
    <s v="9128283W8"/>
    <n v="38700000"/>
    <n v="98.875"/>
    <d v="2018-03-06T00:00:00"/>
    <s v="Buy"/>
    <s v="Booked"/>
    <d v="2018-03-05T18:09:16"/>
    <n v="2.8807705845"/>
    <n v="-38320483.425414354"/>
    <s v="USD"/>
    <s v="T 2.75 02/15/2028"/>
    <x v="0"/>
    <m/>
    <m/>
    <m/>
    <x v="0"/>
    <s v="VEALE_MFL_FI"/>
    <m/>
    <s v="NO PLATFORM - Match vs Confirmed _x000a_"/>
    <s v="VEN_SKULKARNI"/>
    <m/>
    <m/>
    <d v="2018-03-05T18:09:16"/>
    <m/>
  </r>
  <r>
    <s v="21481020"/>
    <x v="0"/>
    <s v="Government"/>
    <s v="VEALE"/>
    <s v="BONY 2785"/>
    <x v="0"/>
    <s v="ICAP PLC"/>
    <d v="2018-03-05T00:00:00"/>
    <s v="912828U24"/>
    <n v="45000000"/>
    <n v="93.1796875"/>
    <d v="2018-03-06T00:00:00"/>
    <s v="Sell"/>
    <s v="Booked"/>
    <d v="2018-03-05T18:09:17"/>
    <n v="2.8927259644999999"/>
    <n v="42206826.22582873"/>
    <s v="USD"/>
    <s v="T 2 11/15/2026"/>
    <x v="0"/>
    <m/>
    <m/>
    <m/>
    <x v="0"/>
    <s v="VEALE_MFL_FI"/>
    <m/>
    <s v="NO PLATFORM - Match vs Confirmed _x000a_"/>
    <s v="VEN_SKULKARNI"/>
    <m/>
    <m/>
    <d v="2018-03-05T18:09:17"/>
    <m/>
  </r>
  <r>
    <s v="21481237"/>
    <x v="0"/>
    <s v="Government"/>
    <s v="VEALE"/>
    <s v="BONY 2785"/>
    <x v="0"/>
    <s v="ICAP PLC"/>
    <d v="2018-03-05T00:00:00"/>
    <s v="9128283W8"/>
    <n v="27500000"/>
    <n v="98.875"/>
    <d v="2018-03-06T00:00:00"/>
    <s v="Buy"/>
    <s v="Booked"/>
    <d v="2018-03-05T18:09:17"/>
    <n v="2.8807705845"/>
    <n v="-27230317.679558009"/>
    <s v="USD"/>
    <s v="T 2.75 02/15/2028"/>
    <x v="0"/>
    <m/>
    <m/>
    <m/>
    <x v="0"/>
    <s v="VEALE_MFL_FI"/>
    <m/>
    <s v="NO PLATFORM - Match vs Confirmed _x000a_"/>
    <s v="VEN_SKULKARNI"/>
    <m/>
    <m/>
    <d v="2018-03-05T18:09:17"/>
    <m/>
  </r>
  <r>
    <s v="21481236"/>
    <x v="0"/>
    <s v="Government"/>
    <s v="VEALE"/>
    <s v="BONY 2785"/>
    <x v="0"/>
    <s v="ICAP PLC"/>
    <d v="2018-03-05T00:00:00"/>
    <s v="912828U24"/>
    <n v="32000000"/>
    <n v="93.1796875"/>
    <d v="2018-03-06T00:00:00"/>
    <s v="Sell"/>
    <s v="Booked"/>
    <d v="2018-03-05T18:09:18"/>
    <n v="2.8927259644999999"/>
    <n v="30013743.093922652"/>
    <s v="USD"/>
    <s v="T 2 11/15/2026"/>
    <x v="0"/>
    <m/>
    <m/>
    <m/>
    <x v="0"/>
    <s v="VEALE_MFL_FI"/>
    <m/>
    <s v="NO PLATFORM - Match vs Confirmed _x000a_"/>
    <s v="VEN_SKULKARNI"/>
    <m/>
    <m/>
    <d v="2018-03-05T18:09:18"/>
    <m/>
  </r>
  <r>
    <s v="21481281"/>
    <x v="0"/>
    <s v="Government"/>
    <s v="VEALE"/>
    <s v="BONY 2785"/>
    <x v="0"/>
    <s v="ICAP PLC"/>
    <d v="2018-03-05T00:00:00"/>
    <s v="9128283W8"/>
    <n v="12050000"/>
    <n v="98.875"/>
    <d v="2018-03-06T00:00:00"/>
    <s v="Buy"/>
    <s v="Booked"/>
    <d v="2018-03-05T18:09:19"/>
    <n v="2.8807705845"/>
    <n v="-11931830.110497238"/>
    <s v="USD"/>
    <s v="T 2.75 02/15/2028"/>
    <x v="0"/>
    <m/>
    <m/>
    <m/>
    <x v="0"/>
    <s v="VEALE_MFL_FI"/>
    <m/>
    <s v="NO PLATFORM - Match vs Confirmed _x000a_"/>
    <s v="VEN_SKULKARNI"/>
    <m/>
    <m/>
    <d v="2018-03-05T18:09:19"/>
    <m/>
  </r>
  <r>
    <s v="21481282"/>
    <x v="0"/>
    <s v="Government"/>
    <s v="VEALE"/>
    <s v="BONY 2785"/>
    <x v="0"/>
    <s v="ICAP PLC"/>
    <d v="2018-03-05T00:00:00"/>
    <s v="912828U24"/>
    <n v="14000000"/>
    <n v="93.1796875"/>
    <d v="2018-03-06T00:00:00"/>
    <s v="Sell"/>
    <s v="Booked"/>
    <d v="2018-03-05T18:09:20"/>
    <n v="2.8927259644999999"/>
    <n v="13131012.603591159"/>
    <s v="USD"/>
    <s v="T 2 11/15/2026"/>
    <x v="0"/>
    <m/>
    <m/>
    <m/>
    <x v="0"/>
    <s v="VEALE_MFL_FI"/>
    <m/>
    <s v="NO PLATFORM - Match vs Confirmed _x000a_"/>
    <s v="VEN_SKULKARNI"/>
    <m/>
    <m/>
    <d v="2018-03-05T18:09:20"/>
    <m/>
  </r>
  <r>
    <s v="21481526"/>
    <x v="0"/>
    <s v="Government"/>
    <s v="VEALE"/>
    <s v="BONY 2785"/>
    <x v="0"/>
    <s v="ICAP PLC"/>
    <d v="2018-03-05T00:00:00"/>
    <s v="9128283W8"/>
    <n v="52450000"/>
    <n v="98.875"/>
    <d v="2018-03-06T00:00:00"/>
    <s v="Buy"/>
    <s v="Booked"/>
    <d v="2018-03-05T18:09:21"/>
    <n v="2.8807705845"/>
    <n v="-51935642.265193366"/>
    <s v="USD"/>
    <s v="T 2.75 02/15/2028"/>
    <x v="0"/>
    <m/>
    <m/>
    <m/>
    <x v="0"/>
    <s v="VEALE_MFL_FI"/>
    <m/>
    <s v="NO PLATFORM - Match vs Confirmed _x000a_"/>
    <s v="VEN_SKULKARNI"/>
    <m/>
    <m/>
    <d v="2018-03-05T18:09:21"/>
    <m/>
  </r>
  <r>
    <s v="21481527"/>
    <x v="0"/>
    <s v="Government"/>
    <s v="VEALE"/>
    <s v="BONY 2785"/>
    <x v="0"/>
    <s v="ICAP PLC"/>
    <d v="2018-03-05T00:00:00"/>
    <s v="912828U24"/>
    <n v="61000000"/>
    <n v="93.1796875"/>
    <d v="2018-03-06T00:00:00"/>
    <s v="Sell"/>
    <s v="Booked"/>
    <d v="2018-03-05T18:09:22"/>
    <n v="2.8927259644999999"/>
    <n v="57213697.772790059"/>
    <s v="USD"/>
    <s v="T 2 11/15/2026"/>
    <x v="0"/>
    <m/>
    <m/>
    <m/>
    <x v="0"/>
    <s v="VEALE_MFL_FI"/>
    <m/>
    <s v="NO PLATFORM - Match vs Confirmed _x000a_"/>
    <s v="VEN_SKULKARNI"/>
    <m/>
    <m/>
    <d v="2018-03-05T18:09:22"/>
    <m/>
  </r>
  <r>
    <s v="21481698"/>
    <x v="0"/>
    <s v="Government"/>
    <s v="VEALE"/>
    <s v="BONY 2785"/>
    <x v="0"/>
    <s v="ICAP PLC"/>
    <d v="2018-03-05T00:00:00"/>
    <s v="9128283W8"/>
    <n v="42700000"/>
    <n v="98.875"/>
    <d v="2018-03-06T00:00:00"/>
    <s v="Buy"/>
    <s v="Booked"/>
    <d v="2018-03-05T18:09:23"/>
    <n v="2.8807705845"/>
    <n v="-42281256.906077348"/>
    <s v="USD"/>
    <s v="T 2.75 02/15/2028"/>
    <x v="0"/>
    <m/>
    <m/>
    <m/>
    <x v="0"/>
    <s v="VEALE_MFL_FI"/>
    <m/>
    <s v="NO PLATFORM - Match vs Confirmed _x000a_"/>
    <s v="VEN_SKULKARNI"/>
    <m/>
    <m/>
    <d v="2018-03-05T18:09:23"/>
    <m/>
  </r>
  <r>
    <s v="21481699"/>
    <x v="0"/>
    <s v="Government"/>
    <s v="VEALE"/>
    <s v="BONY 2785"/>
    <x v="0"/>
    <s v="ICAP PLC"/>
    <d v="2018-03-05T00:00:00"/>
    <s v="912828R36"/>
    <n v="53000000"/>
    <n v="90.9296875"/>
    <d v="2018-03-06T00:00:00"/>
    <s v="Sell"/>
    <s v="Booked"/>
    <d v="2018-03-05T18:09:23"/>
    <n v="2.8752556767000002"/>
    <n v="48456819.319751374"/>
    <s v="USD"/>
    <s v="T 1.625 05/15/2026"/>
    <x v="0"/>
    <m/>
    <m/>
    <m/>
    <x v="0"/>
    <s v="VEALE_MFL_FI"/>
    <m/>
    <s v="NO PLATFORM - Match vs Confirmed _x000a_"/>
    <s v="VEN_SKULKARNI"/>
    <m/>
    <m/>
    <d v="2018-03-05T18:09:23"/>
    <m/>
  </r>
  <r>
    <s v="21483320"/>
    <x v="0"/>
    <s v="Government"/>
    <s v="TIER"/>
    <s v="BONY 2785"/>
    <x v="0"/>
    <s v="ICAP PLC"/>
    <d v="2018-03-05T00:00:00"/>
    <s v="9128283X6"/>
    <n v="10850000"/>
    <n v="99.5"/>
    <d v="2018-03-06T00:00:00"/>
    <s v="Sell"/>
    <s v="Booked"/>
    <d v="2018-03-05T18:09:23"/>
    <n v="2.4265748014000001"/>
    <n v="10808563.190607728"/>
    <s v="USD"/>
    <s v="T 2.25 02/15/2021"/>
    <x v="0"/>
    <m/>
    <m/>
    <m/>
    <x v="0"/>
    <s v="TIER_MFL_FI"/>
    <m/>
    <s v="NO PLATFORM - Match vs Confirmed _x000a_"/>
    <s v="VEN_SKULKARNI"/>
    <m/>
    <m/>
    <d v="2018-03-05T18:09:23"/>
    <m/>
  </r>
  <r>
    <s v="21483321"/>
    <x v="0"/>
    <s v="Government"/>
    <s v="TIER"/>
    <s v="BONY 2785"/>
    <x v="0"/>
    <s v="ICAP PLC"/>
    <d v="2018-03-05T00:00:00"/>
    <s v="912828WN6"/>
    <n v="10000000"/>
    <n v="98.484375"/>
    <d v="2018-03-06T00:00:00"/>
    <s v="Buy"/>
    <s v="Booked"/>
    <d v="2018-03-05T18:09:24"/>
    <n v="2.4898560397999998"/>
    <n v="-9901184.7527472489"/>
    <s v="USD"/>
    <s v="T 2 05/31/2021"/>
    <x v="0"/>
    <m/>
    <m/>
    <m/>
    <x v="0"/>
    <s v="TIER_MFL_FI"/>
    <m/>
    <s v="NO PLATFORM - Match vs Confirmed _x000a_"/>
    <s v="VEN_SKULKARNI"/>
    <m/>
    <m/>
    <d v="2018-03-05T18:09:24"/>
    <m/>
  </r>
  <r>
    <s v="21483399"/>
    <x v="0"/>
    <s v="Government"/>
    <s v="TIER"/>
    <s v="BONY 2785"/>
    <x v="0"/>
    <s v="ICAP PLC"/>
    <d v="2018-03-05T00:00:00"/>
    <s v="9128283Z1"/>
    <n v="12550000"/>
    <n v="99.5"/>
    <d v="2018-03-06T00:00:00"/>
    <s v="Buy"/>
    <s v="Booked"/>
    <d v="2018-03-05T18:09:24"/>
    <n v="2.8293568444999999"/>
    <n v="-12492877.03804348"/>
    <s v="USD"/>
    <s v="T 2.75 02/28/2025"/>
    <x v="0"/>
    <m/>
    <m/>
    <m/>
    <x v="0"/>
    <s v="TIER_MFL_FI"/>
    <m/>
    <s v="NO PLATFORM - Match vs Confirmed _x000a_"/>
    <s v="VEN_SKULKARNI"/>
    <m/>
    <m/>
    <d v="2018-03-05T18:09:24"/>
    <m/>
  </r>
  <r>
    <s v="21483398"/>
    <x v="0"/>
    <s v="Government"/>
    <s v="TIER"/>
    <s v="BONY 2785"/>
    <x v="0"/>
    <s v="ICAP PLC"/>
    <d v="2018-03-05T00:00:00"/>
    <s v="912828V23"/>
    <n v="15000000"/>
    <n v="97.3125"/>
    <d v="2018-03-06T00:00:00"/>
    <s v="Sell"/>
    <s v="Booked"/>
    <d v="2018-03-05T18:09:25"/>
    <n v="2.7525416674000001"/>
    <n v="14657475.828729281"/>
    <s v="USD"/>
    <s v="T 2.25 12/31/2023"/>
    <x v="0"/>
    <m/>
    <m/>
    <m/>
    <x v="0"/>
    <s v="TIER_MFL_FI"/>
    <m/>
    <s v="NO PLATFORM - Match vs Confirmed _x000a_"/>
    <s v="VEN_SKULKARNI"/>
    <m/>
    <m/>
    <d v="2018-03-05T18:09:25"/>
    <m/>
  </r>
  <r>
    <s v="21484170"/>
    <x v="0"/>
    <s v="Government"/>
    <s v="TT_JS"/>
    <s v="BONY 2785"/>
    <x v="0"/>
    <s v="ICAP PLC"/>
    <d v="2018-03-05T00:00:00"/>
    <s v="912828P87"/>
    <n v="10000000"/>
    <n v="96.22265625"/>
    <d v="2018-03-06T00:00:00"/>
    <s v="Sell"/>
    <s v="Booked"/>
    <d v="2018-03-05T18:09:26"/>
    <n v="2.4454257015"/>
    <n v="9624099.8641304281"/>
    <s v="USD"/>
    <s v="T 1.125 02/28/2021"/>
    <x v="0"/>
    <m/>
    <m/>
    <m/>
    <x v="0"/>
    <s v="TT_JS_MFL_FI"/>
    <m/>
    <s v="NO PLATFORM - Match vs Confirmed _x000a_"/>
    <s v="VEN_SKULKARNI"/>
    <m/>
    <m/>
    <d v="2018-03-05T18:09:26"/>
    <m/>
  </r>
  <r>
    <s v="21484169"/>
    <x v="0"/>
    <s v="Government"/>
    <s v="TT_JS"/>
    <s v="BONY 2785"/>
    <x v="0"/>
    <s v="ICAP PLC"/>
    <d v="2018-03-05T00:00:00"/>
    <s v="9128283X6"/>
    <n v="9900000"/>
    <n v="99.5"/>
    <d v="2018-03-06T00:00:00"/>
    <s v="Buy"/>
    <s v="Booked"/>
    <d v="2018-03-05T18:09:26"/>
    <n v="2.4265748014000001"/>
    <n v="-9862191.298342539"/>
    <s v="USD"/>
    <s v="T 2.25 02/15/2021"/>
    <x v="0"/>
    <m/>
    <m/>
    <m/>
    <x v="0"/>
    <s v="TT_JS_MFL_FI"/>
    <m/>
    <s v="NO PLATFORM - Match vs Confirmed _x000a_"/>
    <s v="VEN_SKULKARNI"/>
    <m/>
    <m/>
    <d v="2018-03-05T18:09:26"/>
    <m/>
  </r>
  <r>
    <s v="21484168"/>
    <x v="0"/>
    <s v="Government"/>
    <s v="TT_JS"/>
    <s v="BONY 2785"/>
    <x v="0"/>
    <s v="ICAP PLC"/>
    <d v="2018-03-05T00:00:00"/>
    <s v="9128283Q1"/>
    <n v="10000000"/>
    <n v="98.841796875"/>
    <d v="2018-03-06T00:00:00"/>
    <s v="Buy"/>
    <s v="Booked"/>
    <d v="2018-03-05T18:09:27"/>
    <n v="2.4208878978000001"/>
    <n v="-9911803.9968922697"/>
    <s v="USD"/>
    <s v="T 2 01/15/2021"/>
    <x v="0"/>
    <m/>
    <m/>
    <m/>
    <x v="0"/>
    <s v="TT_JS_MFL_FI"/>
    <m/>
    <s v="NO PLATFORM - Match vs Confirmed _x000a_"/>
    <s v="VEN_SKULKARNI"/>
    <m/>
    <m/>
    <d v="2018-03-05T18:09:27"/>
    <m/>
  </r>
  <r>
    <s v="21484167"/>
    <x v="0"/>
    <s v="Government"/>
    <s v="TT_JS"/>
    <s v="BONY 2785"/>
    <x v="0"/>
    <s v="ICAP PLC"/>
    <d v="2018-03-05T00:00:00"/>
    <s v="9128283X6"/>
    <n v="9700000"/>
    <n v="99.5"/>
    <d v="2018-03-06T00:00:00"/>
    <s v="Sell"/>
    <s v="Booked"/>
    <d v="2018-03-05T18:09:27"/>
    <n v="2.4265748014000001"/>
    <n v="9662955.1104972381"/>
    <s v="USD"/>
    <s v="T 2.25 02/15/2021"/>
    <x v="0"/>
    <m/>
    <m/>
    <m/>
    <x v="0"/>
    <s v="TT_JS_MFL_FI"/>
    <m/>
    <s v="NO PLATFORM - Match vs Confirmed _x000a_"/>
    <s v="VEN_SKULKARNI"/>
    <m/>
    <m/>
    <d v="2018-03-05T18:09:27"/>
    <m/>
  </r>
  <r>
    <s v="21484381"/>
    <x v="0"/>
    <s v="Government"/>
    <s v="TIER"/>
    <s v="BONY 2785"/>
    <x v="0"/>
    <s v="ICAP PLC"/>
    <d v="2018-03-05T00:00:00"/>
    <s v="9128284A5"/>
    <n v="23500000"/>
    <n v="99.75"/>
    <d v="2018-03-06T00:00:00"/>
    <s v="Buy"/>
    <s v="Booked"/>
    <d v="2018-03-05T18:09:27"/>
    <n v="2.6788620698000001"/>
    <n v="-23451307.744565219"/>
    <s v="USD"/>
    <s v="T 2.625 02/28/2023"/>
    <x v="0"/>
    <m/>
    <m/>
    <m/>
    <x v="0"/>
    <s v="TIER_MFL_FI"/>
    <m/>
    <s v="NO PLATFORM - Match vs Confirmed _x000a_"/>
    <s v="VEN_SKULKARNI"/>
    <m/>
    <m/>
    <d v="2018-03-05T18:09:27"/>
    <m/>
  </r>
  <r>
    <s v="21484382"/>
    <x v="0"/>
    <s v="Government"/>
    <s v="TIER"/>
    <s v="BONY 2785"/>
    <x v="0"/>
    <s v="ICAP PLC"/>
    <d v="2018-03-05T00:00:00"/>
    <s v="912828M80"/>
    <n v="25000000"/>
    <n v="97.0625"/>
    <d v="2018-03-06T00:00:00"/>
    <s v="Sell"/>
    <s v="Booked"/>
    <d v="2018-03-05T18:09:28"/>
    <n v="2.6639062905999999"/>
    <n v="24397004.881868128"/>
    <s v="USD"/>
    <s v="T 2 11/30/2022"/>
    <x v="0"/>
    <m/>
    <m/>
    <m/>
    <x v="0"/>
    <s v="TIER_MFL_FI"/>
    <m/>
    <s v="NO PLATFORM - Match vs Confirmed _x000a_"/>
    <s v="VEN_SKULKARNI"/>
    <m/>
    <m/>
    <d v="2018-03-05T18:09:28"/>
    <m/>
  </r>
  <r>
    <s v="21484719"/>
    <x v="0"/>
    <s v="Government"/>
    <s v="TT_JS"/>
    <s v="BONY 2785"/>
    <x v="0"/>
    <s v="ICAP PLC"/>
    <d v="2018-03-05T00:00:00"/>
    <s v="912828G38"/>
    <n v="75000000"/>
    <n v="96.564499999999995"/>
    <d v="2018-03-06T00:00:00"/>
    <s v="Sell"/>
    <s v="Booked"/>
    <d v="2018-03-05T18:09:28"/>
    <n v="2.8164549539000001"/>
    <n v="72940812.845303878"/>
    <s v="USD"/>
    <s v="T 2.25 11/15/2024"/>
    <x v="0"/>
    <m/>
    <m/>
    <m/>
    <x v="0"/>
    <s v="TT_JS_MFL_FI"/>
    <m/>
    <s v="NO PLATFORM - Match vs Confirmed _x000a_"/>
    <s v="VEN_SKULKARNI"/>
    <m/>
    <m/>
    <d v="2018-03-05T18:09:28"/>
    <m/>
  </r>
  <r>
    <s v="21474514"/>
    <x v="0"/>
    <s v="Government"/>
    <s v="VEALE"/>
    <s v="BONY 2785"/>
    <x v="0"/>
    <s v="ICAP PLC ELECTRONIC"/>
    <d v="2018-03-05T00:00:00"/>
    <s v="9128284A5"/>
    <n v="7000000"/>
    <n v="100.08259"/>
    <d v="2018-03-06T00:00:00"/>
    <s v="Sell"/>
    <s v="Booked"/>
    <d v="2018-03-05T18:09:29"/>
    <n v="2.6071627901999999"/>
    <n v="7008777.22391304"/>
    <s v="USD"/>
    <s v="T 2.625 02/28/2023"/>
    <x v="0"/>
    <m/>
    <m/>
    <m/>
    <x v="0"/>
    <s v="VEALE_MFL_FI"/>
    <m/>
    <s v="NO PLATFORM - Match vs Confirmed _x000a_"/>
    <s v="VEN_SKULKARNI"/>
    <m/>
    <m/>
    <d v="2018-03-05T18:09:29"/>
    <m/>
  </r>
  <r>
    <s v="21474513"/>
    <x v="0"/>
    <s v="Government"/>
    <s v="VEALE"/>
    <s v="BONY 2785"/>
    <x v="0"/>
    <s v="ICAP PLC ELECTRONIC"/>
    <d v="2018-03-05T00:00:00"/>
    <s v="9128283X6"/>
    <n v="12000000"/>
    <n v="99.62988"/>
    <d v="2018-03-06T00:00:00"/>
    <s v="Sell"/>
    <s v="Booked"/>
    <d v="2018-03-05T18:09:30"/>
    <n v="2.3805521372"/>
    <n v="11969756.870718231"/>
    <s v="USD"/>
    <s v="T 2.25 02/15/2021"/>
    <x v="0"/>
    <m/>
    <m/>
    <m/>
    <x v="0"/>
    <s v="VEALE_MFL_FI"/>
    <m/>
    <s v="NO PLATFORM - Match vs Confirmed _x000a_"/>
    <s v="VEN_SKULKARNI"/>
    <m/>
    <m/>
    <d v="2018-03-05T18:09:30"/>
    <m/>
  </r>
  <r>
    <s v="21473306"/>
    <x v="0"/>
    <s v="Government"/>
    <s v="SYM_ES"/>
    <s v="BONY 2785"/>
    <x v="0"/>
    <s v="ICAP PLC ELECTRONIC"/>
    <d v="2018-03-05T00:00:00"/>
    <s v="9128283W8"/>
    <n v="2900000"/>
    <n v="99.496089999999995"/>
    <d v="2018-03-06T00:00:00"/>
    <s v="Buy"/>
    <s v="Booked"/>
    <d v="2018-03-05T18:09:31"/>
    <n v="2.8083098937000002"/>
    <n v="-2889572.3834806602"/>
    <s v="USD"/>
    <s v="T 2.75 02/15/2028"/>
    <x v="0"/>
    <m/>
    <m/>
    <m/>
    <x v="0"/>
    <s v="SYM_ES_MFL_FI"/>
    <m/>
    <s v="NO PLATFORM - Match vs Confirmed _x000a_"/>
    <s v="VEN_SKULKARNI"/>
    <m/>
    <m/>
    <d v="2018-03-05T18:09:31"/>
    <m/>
  </r>
  <r>
    <s v="21477033"/>
    <x v="0"/>
    <s v="Government"/>
    <s v="VEALE"/>
    <s v="BONY 2785"/>
    <x v="0"/>
    <s v="ICAP PLC ELECTRONIC"/>
    <d v="2018-03-05T00:00:00"/>
    <s v="9128284A5"/>
    <n v="251000000"/>
    <n v="100.10478999999999"/>
    <d v="2018-03-06T00:00:00"/>
    <s v="Sell"/>
    <s v="Booked"/>
    <d v="2018-03-05T18:09:32"/>
    <n v="2.6023866448000001"/>
    <n v="251370448.17173913"/>
    <s v="USD"/>
    <s v="T 2.625 02/28/2023"/>
    <x v="0"/>
    <m/>
    <m/>
    <m/>
    <x v="0"/>
    <s v="VEALE_MFL_FI"/>
    <m/>
    <s v="NO PLATFORM - Match vs Confirmed _x000a_"/>
    <s v="VEN_SKULKARNI"/>
    <m/>
    <m/>
    <d v="2018-03-05T18:09:32"/>
    <m/>
  </r>
  <r>
    <s v="21477038"/>
    <x v="0"/>
    <s v="Government"/>
    <s v="VEALE"/>
    <s v="BONY 2785"/>
    <x v="0"/>
    <s v="ICAP PLC ELECTRONIC"/>
    <d v="2018-03-05T00:00:00"/>
    <s v="9128283X6"/>
    <n v="434000000"/>
    <n v="99.657120000000006"/>
    <d v="2018-03-06T00:00:00"/>
    <s v="Sell"/>
    <s v="Booked"/>
    <d v="2018-03-05T18:09:33"/>
    <n v="2.3709087718999999"/>
    <n v="433024428.42430937"/>
    <s v="USD"/>
    <s v="T 2.25 02/15/2021"/>
    <x v="0"/>
    <m/>
    <m/>
    <m/>
    <x v="0"/>
    <s v="VEALE_MFL_FI"/>
    <m/>
    <s v="NO PLATFORM - Match vs Confirmed _x000a_"/>
    <s v="VEN_SKULKARNI"/>
    <m/>
    <m/>
    <d v="2018-03-05T18:09:33"/>
    <m/>
  </r>
  <r>
    <s v="21481259"/>
    <x v="0"/>
    <s v="Government"/>
    <s v="VEALE"/>
    <s v="BONY 2785"/>
    <x v="0"/>
    <s v="ICAP PLC ELECTRONIC"/>
    <d v="2018-03-05T00:00:00"/>
    <s v="9128283W8"/>
    <n v="80000000"/>
    <n v="99.160300000000007"/>
    <d v="2018-03-06T00:00:00"/>
    <s v="Sell"/>
    <s v="Booked"/>
    <d v="2018-03-05T18:09:34"/>
    <n v="2.8474212239000001"/>
    <n v="79443709.613259673"/>
    <s v="USD"/>
    <s v="T 2.75 02/15/2028"/>
    <x v="0"/>
    <m/>
    <m/>
    <m/>
    <x v="0"/>
    <s v="VEALE_MFL_FI"/>
    <m/>
    <s v="NO PLATFORM - Match vs Confirmed _x000a_"/>
    <s v="VEN_SKULKARNI"/>
    <m/>
    <m/>
    <d v="2018-03-05T18:09:34"/>
    <m/>
  </r>
  <r>
    <s v="21481661"/>
    <x v="0"/>
    <s v="Government"/>
    <s v="VEALE"/>
    <s v="BONY 2785"/>
    <x v="0"/>
    <s v="ICAP PLC ELECTRONIC"/>
    <d v="2018-03-05T00:00:00"/>
    <s v="9128283W8"/>
    <n v="40000000"/>
    <n v="99.014600000000002"/>
    <d v="2018-03-06T00:00:00"/>
    <s v="Sell"/>
    <s v="Booked"/>
    <d v="2018-03-05T18:09:34"/>
    <n v="2.8644387309999999"/>
    <n v="39663574.806629829"/>
    <s v="USD"/>
    <s v="T 2.75 02/15/2028"/>
    <x v="0"/>
    <m/>
    <m/>
    <m/>
    <x v="0"/>
    <s v="VEALE_MFL_FI"/>
    <m/>
    <s v="NO PLATFORM - Match vs Confirmed _x000a_"/>
    <s v="VEN_SKULKARNI"/>
    <m/>
    <m/>
    <d v="2018-03-05T18:09:34"/>
    <m/>
  </r>
  <r>
    <s v="21481765"/>
    <x v="0"/>
    <s v="Government"/>
    <s v="BON_DD"/>
    <s v="BONY 2785"/>
    <x v="0"/>
    <s v="ICAP PLC ELECTRONIC"/>
    <d v="2018-03-05T00:00:00"/>
    <s v="912810SA7"/>
    <n v="25000000"/>
    <n v="97.34375"/>
    <d v="2018-03-06T00:00:00"/>
    <s v="Sell"/>
    <s v="Booked"/>
    <d v="2018-03-05T18:09:35"/>
    <n v="3.1373850085999999"/>
    <n v="24375302.140883978"/>
    <s v="USD"/>
    <s v="T 3 02/15/2048"/>
    <x v="0"/>
    <m/>
    <m/>
    <m/>
    <x v="0"/>
    <s v="BON_DD_MFL_FI"/>
    <m/>
    <s v="NO PLATFORM - Match vs Confirmed _x000a_"/>
    <s v="VEN_SKULKARNI"/>
    <m/>
    <m/>
    <d v="2018-03-05T18:09:35"/>
    <m/>
  </r>
  <r>
    <s v="21485025"/>
    <x v="0"/>
    <s v="Government"/>
    <s v="VEALE"/>
    <s v="BONY 2785"/>
    <x v="0"/>
    <s v="ICAP PLC ELECTRONIC"/>
    <d v="2018-03-05T00:00:00"/>
    <s v="9128284A5"/>
    <n v="25000000"/>
    <n v="99.982730000000004"/>
    <d v="2018-03-06T00:00:00"/>
    <s v="Sell"/>
    <s v="Booked"/>
    <d v="2018-03-05T18:09:35"/>
    <n v="2.6286618232999999"/>
    <n v="25006382.228260871"/>
    <s v="USD"/>
    <s v="T 2.625 02/28/2023"/>
    <x v="0"/>
    <m/>
    <m/>
    <m/>
    <x v="0"/>
    <s v="VEALE_MFL_FI"/>
    <m/>
    <s v="NO PLATFORM - Match vs Confirmed _x000a_"/>
    <s v="VEN_SKULKARNI"/>
    <m/>
    <m/>
    <d v="2018-03-05T18:09:35"/>
    <m/>
  </r>
  <r>
    <s v="21485026"/>
    <x v="0"/>
    <s v="Government"/>
    <s v="VEALE"/>
    <s v="BONY 2785"/>
    <x v="0"/>
    <s v="ICAP PLC ELECTRONIC"/>
    <d v="2018-03-05T00:00:00"/>
    <s v="9128283X6"/>
    <n v="44000000"/>
    <n v="99.59863"/>
    <d v="2018-03-06T00:00:00"/>
    <s v="Sell"/>
    <s v="Booked"/>
    <d v="2018-03-05T18:09:36"/>
    <n v="2.3916189697000001"/>
    <n v="43875358.525966853"/>
    <s v="USD"/>
    <s v="T 2.25 02/15/2021"/>
    <x v="0"/>
    <m/>
    <m/>
    <m/>
    <x v="0"/>
    <s v="VEALE_MFL_FI"/>
    <m/>
    <s v="NO PLATFORM - Match vs Confirmed _x000a_"/>
    <s v="VEN_SKULKARNI"/>
    <m/>
    <m/>
    <d v="2018-03-05T18:09:36"/>
    <m/>
  </r>
  <r>
    <s v="21485134"/>
    <x v="0"/>
    <s v="Government"/>
    <s v="BON_DD"/>
    <s v="BONY 2785"/>
    <x v="0"/>
    <s v="ICAP PLC ELECTRONIC"/>
    <d v="2018-03-05T00:00:00"/>
    <s v="912796PY9"/>
    <n v="200000000"/>
    <n v="99.076097000000004"/>
    <d v="2018-03-08T00:00:00"/>
    <s v="Buy"/>
    <s v="Booked"/>
    <d v="2018-03-05T18:09:37"/>
    <n v="1.8275004396000001"/>
    <n v="-198152194"/>
    <s v="USD"/>
    <s v="B 0 09/06/2018"/>
    <x v="0"/>
    <m/>
    <m/>
    <m/>
    <x v="0"/>
    <s v="BON_DD_MFL_FI"/>
    <m/>
    <s v="NO PLATFORM - Match vs Confirmed _x000a_"/>
    <s v="VEN_SKULKARNI"/>
    <m/>
    <m/>
    <d v="2018-03-05T18:09:37"/>
    <m/>
  </r>
  <r>
    <s v="21480893"/>
    <x v="0"/>
    <s v="Government"/>
    <s v="GOYAL"/>
    <s v="CGMI XPBMFI6"/>
    <x v="2"/>
    <s v="INVESTOP BROKERS INC."/>
    <d v="2018-03-05T00:00:00"/>
    <s v="QZ9248837"/>
    <n v="50000000"/>
    <n v="129.85"/>
    <d v="2018-03-07T00:00:00"/>
    <s v="Sell"/>
    <s v="Booked"/>
    <d v="2018-03-06T09:59:10"/>
    <n v="-9.6305010905999993"/>
    <n v="3176369.8630137001"/>
    <s v="USD"/>
    <s v="BONCER 2.25 04/28/2020"/>
    <x v="0"/>
    <m/>
    <m/>
    <m/>
    <x v="0"/>
    <s v="GOYAL_CR_MFL_FI"/>
    <m/>
    <s v="NO PLATFORM - Confirmed over email with Operaciones - Balanz Capital Inc"/>
    <s v="VEN_SKULKARNI"/>
    <m/>
    <m/>
    <d v="2018-03-06T09:59:10"/>
    <m/>
  </r>
  <r>
    <s v="21477187"/>
    <x v="2"/>
    <s v="Government"/>
    <s v="NET_FIN"/>
    <s v="CSI 7533G"/>
    <x v="0"/>
    <s v="JEFFERIES &amp; COMPANY INC"/>
    <d v="2018-03-05T00:00:00"/>
    <s v="912810RZ3"/>
    <n v="4000000"/>
    <n v="92.765625"/>
    <d v="2018-03-06T00:00:00"/>
    <s v="Buy"/>
    <s v="Confirmed"/>
    <d v="2018-03-05T10:18:43"/>
    <n v="3.1255736163000001"/>
    <n v="-3744354.2817679602"/>
    <s v="USD"/>
    <s v="T 2.75 11/15/2047"/>
    <x v="1"/>
    <s v="BN21477187"/>
    <s v="M"/>
    <m/>
    <x v="0"/>
    <s v="NET_FIN_MFL_FI"/>
    <m/>
    <m/>
    <s v="TC-KINETIX-BRIDGE"/>
    <d v="2018-03-05T10:26:39"/>
    <s v="BN21477187"/>
    <d v="2018-03-05T10:18:37"/>
    <m/>
  </r>
  <r>
    <s v="21477189"/>
    <x v="2"/>
    <s v="Corporate"/>
    <s v="NET_FIN"/>
    <s v="CSI 7533G"/>
    <x v="1"/>
    <s v="JEFFERIES &amp; COMPANY INC"/>
    <d v="2018-03-05T00:00:00"/>
    <s v="37045VAQ3"/>
    <n v="5000000"/>
    <n v="99.757000000000005"/>
    <d v="2018-03-07T00:00:00"/>
    <s v="Sell"/>
    <s v="Confirmed"/>
    <d v="2018-03-05T10:18:45"/>
    <n v="5.4159836892"/>
    <n v="5145350"/>
    <s v="USD"/>
    <s v="GM 5.4 04/01/2048"/>
    <x v="1"/>
    <s v="BN21477189"/>
    <s v="M"/>
    <m/>
    <x v="0"/>
    <s v="NET_FIN_MFL_FI"/>
    <m/>
    <m/>
    <s v="TC-KINETIX-BRIDGE"/>
    <d v="2018-03-05T10:26:39"/>
    <s v="BN21477189"/>
    <d v="2018-03-05T10:18:39"/>
    <m/>
  </r>
  <r>
    <s v="21484681"/>
    <x v="2"/>
    <s v="Corporate"/>
    <s v="NEG_BM"/>
    <s v="CSI 7533G"/>
    <x v="1"/>
    <s v="JEFFERIES &amp; COMPANY INC"/>
    <d v="2018-03-05T00:00:00"/>
    <s v="87261NAG5"/>
    <n v="6000000"/>
    <n v="95.75"/>
    <d v="2018-03-07T00:00:00"/>
    <s v="Buy"/>
    <s v="Confirmed"/>
    <d v="2018-03-05T16:07:09"/>
    <n v="17.344349161699999"/>
    <n v="-5988666.6666666698"/>
    <s v="USD"/>
    <s v="TMXFIN 8.5 09/15/2018 A"/>
    <x v="1"/>
    <s v="BN21484681"/>
    <s v="M"/>
    <m/>
    <x v="0"/>
    <s v="NEG_BM_MFL_FI"/>
    <m/>
    <m/>
    <s v="bmaggio"/>
    <d v="2018-03-05T16:13:09"/>
    <s v="BN21484681"/>
    <d v="2018-03-05T16:07:09"/>
    <m/>
  </r>
  <r>
    <s v="21473816"/>
    <x v="2"/>
    <s v="Government"/>
    <s v="SYM_BAS"/>
    <s v="BCSL 500955"/>
    <x v="4"/>
    <s v="JPMORGAN CHASE BANK, NEW YORK"/>
    <d v="2018-03-05T00:00:00"/>
    <s v="DE0001102309"/>
    <n v="10800000"/>
    <n v="107.7162"/>
    <d v="2018-03-07T00:00:00"/>
    <s v="Sell"/>
    <s v="Confirmed"/>
    <d v="2018-03-05T04:56:13"/>
    <n v="-5.76616026E-2"/>
    <n v="11642226.312328769"/>
    <s v="EUR"/>
    <s v="DBR 1.5 02/15/2023"/>
    <x v="1"/>
    <s v="BN21473816"/>
    <s v="M"/>
    <m/>
    <x v="0"/>
    <s v="SYM_BAS_MFL_FI"/>
    <m/>
    <m/>
    <s v="TC-KINETIX-BRIDGE"/>
    <d v="2018-03-05T05:04:10"/>
    <s v="BN21473816"/>
    <d v="2018-03-05T04:56:08"/>
    <m/>
  </r>
  <r>
    <s v="21476210"/>
    <x v="2"/>
    <s v="Corporate"/>
    <s v="BAIL_AD"/>
    <s v="CSI 7533G"/>
    <x v="1"/>
    <s v="JPMORGAN CHASE BANK, NEW YORK"/>
    <d v="2018-03-05T00:00:00"/>
    <s v="42829LAC8"/>
    <n v="3000000"/>
    <n v="97"/>
    <d v="2018-03-07T00:00:00"/>
    <s v="Buy"/>
    <s v="Confirmed"/>
    <d v="2018-03-05T09:04:29"/>
    <n v="11.6342897657"/>
    <n v="-3028333.3333333298"/>
    <s v="USD"/>
    <s v="HXN 10 04/15/2020"/>
    <x v="1"/>
    <s v="BN21476210"/>
    <s v="M"/>
    <m/>
    <x v="0"/>
    <s v="BAIL_AD_MFL_FI"/>
    <m/>
    <m/>
    <s v="TC-KINETIX-BRIDGE"/>
    <d v="2018-03-05T09:12:18"/>
    <s v="BN21476210"/>
    <d v="2018-03-05T09:04:25"/>
    <m/>
  </r>
  <r>
    <s v="21476374"/>
    <x v="2"/>
    <s v="Government"/>
    <s v="NEG_BM"/>
    <s v="BCSL 500955"/>
    <x v="4"/>
    <s v="JPMORGAN CHASE BANK, NEW YORK"/>
    <d v="2018-03-05T00:00:00"/>
    <s v="DE0001141760"/>
    <n v="10000000"/>
    <n v="100.55"/>
    <d v="2018-03-07T00:00:00"/>
    <s v="Buy"/>
    <s v="Confirmed"/>
    <d v="2018-03-05T09:19:09"/>
    <n v="-0.1195222747"/>
    <n v="-10055000"/>
    <s v="EUR"/>
    <s v="OBL 0 10/07/2022"/>
    <x v="1"/>
    <s v="BN21476374"/>
    <s v="M"/>
    <m/>
    <x v="0"/>
    <s v="NEG_BM_MFL_FI"/>
    <m/>
    <m/>
    <s v="bmaggio"/>
    <d v="2018-03-05T09:21:40"/>
    <s v="BN21476374"/>
    <d v="2018-03-05T09:19:09"/>
    <m/>
  </r>
  <r>
    <s v="21476332"/>
    <x v="2"/>
    <s v="Corporate"/>
    <s v="NEG_BM"/>
    <s v="BCSL 500955"/>
    <x v="3"/>
    <s v="JPMORGAN CHASE BANK, NEW YORK"/>
    <d v="2018-03-05T00:00:00"/>
    <s v="XS1754213947"/>
    <n v="10000000"/>
    <n v="99.01"/>
    <d v="2018-03-07T00:00:00"/>
    <s v="Sell"/>
    <s v="Confirmed"/>
    <d v="2018-03-05T09:19:14"/>
    <n v="1.2104810253"/>
    <n v="9914150.6849315111"/>
    <s v="EUR"/>
    <s v="UCGIM 1 01/18/2023 EMTN"/>
    <x v="1"/>
    <s v="BN21476332"/>
    <s v="M"/>
    <m/>
    <x v="0"/>
    <s v="NEG_BM_MFL_FI"/>
    <m/>
    <m/>
    <s v="bmaggio"/>
    <d v="2018-03-05T09:21:40"/>
    <s v="BN21476332"/>
    <d v="2018-03-05T09:19:14"/>
    <m/>
  </r>
  <r>
    <s v="21475183"/>
    <x v="2"/>
    <s v="Government"/>
    <s v="SYM_DT"/>
    <s v="CGMI XPBMFI6"/>
    <x v="20"/>
    <s v="JPMORGAN CHASE BANK, NEW YORK"/>
    <d v="2018-03-05T00:00:00"/>
    <s v="IT0005289274"/>
    <n v="7200000"/>
    <n v="100.241"/>
    <d v="2018-03-07T00:00:00"/>
    <s v="Sell"/>
    <s v="Confirmed"/>
    <d v="2018-03-05T09:56:45"/>
    <n v="-0.14583902009999999"/>
    <n v="7217352"/>
    <s v="EUR"/>
    <s v="ICTZ 0 10/30/2019"/>
    <x v="1"/>
    <s v="BN21475183"/>
    <s v="M"/>
    <m/>
    <x v="0"/>
    <s v="SYM_DT_MFL_FI"/>
    <m/>
    <m/>
    <s v="TC-KINETIX-BRIDGE-STRATEGY"/>
    <d v="2018-03-05T07:57:43"/>
    <s v="BN21475183"/>
    <d v="2018-03-05T09:56:45"/>
    <m/>
  </r>
  <r>
    <s v="21477181"/>
    <x v="2"/>
    <s v="Government"/>
    <s v="TIER"/>
    <s v="BONY 2785"/>
    <x v="0"/>
    <s v="JPMORGAN CHASE BANK, NEW YORK"/>
    <d v="2018-03-05T00:00:00"/>
    <s v="9128283X6"/>
    <n v="11000000"/>
    <n v="99.647931259999993"/>
    <d v="2018-03-06T00:00:00"/>
    <s v="Sell"/>
    <s v="Confirmed"/>
    <d v="2018-03-05T10:18:20"/>
    <n v="2.3741613717000001"/>
    <n v="10974262.770091711"/>
    <s v="USD"/>
    <s v="T 2.25 02/15/2021"/>
    <x v="1"/>
    <s v="BN21477181"/>
    <s v="M"/>
    <m/>
    <x v="0"/>
    <s v="TIER_MFL_FI"/>
    <m/>
    <m/>
    <s v="TC-KINETIX-BRIDGE"/>
    <d v="2018-03-05T10:26:39"/>
    <s v="BN21477181"/>
    <d v="2018-03-05T10:18:16"/>
    <m/>
  </r>
  <r>
    <s v="21477183"/>
    <x v="2"/>
    <s v="Government"/>
    <s v="TIER"/>
    <s v="BONY 2785"/>
    <x v="0"/>
    <s v="JPMORGAN CHASE BANK, NEW YORK"/>
    <d v="2018-03-05T00:00:00"/>
    <s v="9128283Z1"/>
    <n v="10000000"/>
    <n v="99.90625"/>
    <d v="2018-03-06T00:00:00"/>
    <s v="Buy"/>
    <s v="Confirmed"/>
    <d v="2018-03-05T10:18:30"/>
    <n v="2.7648070224999999"/>
    <n v="-9995108.6956521701"/>
    <s v="USD"/>
    <s v="T 2.75 02/28/2025"/>
    <x v="1"/>
    <s v="BN21477183"/>
    <s v="M"/>
    <m/>
    <x v="0"/>
    <s v="TIER_MFL_FI"/>
    <m/>
    <m/>
    <s v="TC-KINETIX-BRIDGE"/>
    <d v="2018-03-05T10:26:39"/>
    <s v="BN21477183"/>
    <d v="2018-03-05T10:18:24"/>
    <m/>
  </r>
  <r>
    <s v="21477186"/>
    <x v="2"/>
    <s v="Government"/>
    <s v="TIER"/>
    <s v="BONY 2785"/>
    <x v="0"/>
    <s v="JPMORGAN CHASE BANK, NEW YORK"/>
    <d v="2018-03-05T00:00:00"/>
    <s v="9128283W8"/>
    <n v="4000000"/>
    <n v="99.21875"/>
    <d v="2018-03-06T00:00:00"/>
    <s v="Sell"/>
    <s v="Confirmed"/>
    <d v="2018-03-05T10:18:37"/>
    <n v="2.8406023789999999"/>
    <n v="3974523.4806629801"/>
    <s v="USD"/>
    <s v="T 2.75 02/15/2028"/>
    <x v="1"/>
    <s v="BN21477186"/>
    <s v="M"/>
    <m/>
    <x v="0"/>
    <s v="TIER_MFL_FI"/>
    <m/>
    <m/>
    <s v="TC-KINETIX-BRIDGE"/>
    <d v="2018-03-05T10:26:39"/>
    <s v="BN21477186"/>
    <d v="2018-03-05T10:18:32"/>
    <m/>
  </r>
  <r>
    <s v="21479045"/>
    <x v="2"/>
    <s v="Government"/>
    <s v="TIER"/>
    <s v="BONY 2785"/>
    <x v="0"/>
    <s v="JPMORGAN CHASE BANK, NEW YORK"/>
    <d v="2018-03-05T00:00:00"/>
    <s v="9128283X6"/>
    <n v="11000000"/>
    <n v="99.648327629999997"/>
    <d v="2018-03-06T00:00:00"/>
    <s v="Sell"/>
    <s v="Confirmed"/>
    <d v="2018-03-05T10:33:05"/>
    <n v="2.3740210585999999"/>
    <n v="10974306.370791711"/>
    <s v="USD"/>
    <s v="T 2.25 02/15/2021"/>
    <x v="1"/>
    <s v="BN21479045"/>
    <s v="M"/>
    <m/>
    <x v="0"/>
    <s v="TIER_MFL_FI"/>
    <m/>
    <m/>
    <s v="TC-KINETIX-BRIDGE"/>
    <d v="2018-03-05T10:35:53"/>
    <s v="BN21479045"/>
    <d v="2018-03-05T10:33:01"/>
    <m/>
  </r>
  <r>
    <s v="21479149"/>
    <x v="2"/>
    <s v="Government"/>
    <s v="TIER"/>
    <s v="BONY 2785"/>
    <x v="0"/>
    <s v="JPMORGAN CHASE BANK, NEW YORK"/>
    <d v="2018-03-05T00:00:00"/>
    <s v="9128283Z1"/>
    <n v="10000000"/>
    <n v="99.890625"/>
    <d v="2018-03-06T00:00:00"/>
    <s v="Buy"/>
    <s v="Confirmed"/>
    <d v="2018-03-05T10:33:15"/>
    <n v="2.7672841971"/>
    <n v="-9993546.1956521701"/>
    <s v="USD"/>
    <s v="T 2.75 02/28/2025"/>
    <x v="1"/>
    <s v="BN21479149"/>
    <s v="M"/>
    <m/>
    <x v="0"/>
    <s v="TIER_MFL_FI"/>
    <m/>
    <m/>
    <s v="TC-KINETIX-BRIDGE"/>
    <d v="2018-03-05T10:35:53"/>
    <s v="BN21479149"/>
    <d v="2018-03-05T10:33:09"/>
    <m/>
  </r>
  <r>
    <s v="21479258"/>
    <x v="2"/>
    <s v="Government"/>
    <s v="TIER"/>
    <s v="BONY 2785"/>
    <x v="0"/>
    <s v="JPMORGAN CHASE BANK, NEW YORK"/>
    <d v="2018-03-05T00:00:00"/>
    <s v="9128283W8"/>
    <n v="4000000"/>
    <n v="99.1875"/>
    <d v="2018-03-06T00:00:00"/>
    <s v="Sell"/>
    <s v="Confirmed"/>
    <d v="2018-03-05T10:33:22"/>
    <n v="2.8442474702"/>
    <n v="3973273.4806629801"/>
    <s v="USD"/>
    <s v="T 2.75 02/15/2028"/>
    <x v="1"/>
    <s v="BN21479258"/>
    <s v="M"/>
    <m/>
    <x v="0"/>
    <s v="TIER_MFL_FI"/>
    <m/>
    <m/>
    <s v="TC-KINETIX-BRIDGE"/>
    <d v="2018-03-05T10:35:53"/>
    <s v="BN21479258"/>
    <d v="2018-03-05T10:33:17"/>
    <m/>
  </r>
  <r>
    <s v="21480760"/>
    <x v="2"/>
    <s v="Government"/>
    <s v="NET_FIN"/>
    <s v="CSI 7533G"/>
    <x v="0"/>
    <s v="JPMORGAN CHASE BANK, NEW YORK"/>
    <d v="2018-03-05T00:00:00"/>
    <s v="9128283W8"/>
    <n v="4150000"/>
    <n v="99.1640625"/>
    <d v="2018-03-06T00:00:00"/>
    <s v="Sell"/>
    <s v="Confirmed"/>
    <d v="2018-03-05T11:31:18"/>
    <n v="2.8469821482"/>
    <n v="4121298.5799378497"/>
    <s v="USD"/>
    <s v="T 2.75 02/15/2028"/>
    <x v="1"/>
    <s v="BN21480760"/>
    <s v="M"/>
    <m/>
    <x v="0"/>
    <s v="NET_FIN_MFL_FI"/>
    <m/>
    <m/>
    <s v="cdaniel"/>
    <d v="2018-03-05T10:45:20"/>
    <s v="BN21480760"/>
    <d v="2018-03-05T11:31:18"/>
    <m/>
  </r>
  <r>
    <s v="21481648"/>
    <x v="2"/>
    <s v="Government"/>
    <s v="SYM_ES"/>
    <s v="BCSL 500955"/>
    <x v="4"/>
    <s v="JPMORGAN CHASE BANK, NEW YORK"/>
    <d v="2018-03-05T00:00:00"/>
    <s v="DE0001135432"/>
    <n v="7650000"/>
    <n v="143.62549999999999"/>
    <d v="2018-03-07T00:00:00"/>
    <s v="Buy"/>
    <s v="Confirmed"/>
    <d v="2018-03-05T11:44:15"/>
    <n v="1.1770010453999999"/>
    <n v="-11154917.188356159"/>
    <s v="EUR"/>
    <s v="DBR 3.25 07/04/2042"/>
    <x v="1"/>
    <s v="BN21481648"/>
    <s v="M"/>
    <m/>
    <x v="0"/>
    <s v="SYM_ES_MFL_FI"/>
    <m/>
    <m/>
    <s v="TC-KINETIX-BRIDGE"/>
    <d v="2018-03-05T11:50:27"/>
    <s v="BN21481648"/>
    <d v="2018-03-05T11:44:10"/>
    <m/>
  </r>
  <r>
    <s v="21481649"/>
    <x v="2"/>
    <s v="Government"/>
    <s v="SYM_ES"/>
    <s v="BCSL 500955"/>
    <x v="4"/>
    <s v="JPMORGAN CHASE BANK, NEW YORK"/>
    <d v="2018-03-05T00:00:00"/>
    <s v="DE0001102341"/>
    <n v="7200000"/>
    <n v="129.87180000000001"/>
    <d v="2018-03-07T00:00:00"/>
    <s v="Sell"/>
    <s v="Confirmed"/>
    <d v="2018-03-05T11:44:16"/>
    <n v="1.2460027816000001"/>
    <n v="9451372.339726029"/>
    <s v="EUR"/>
    <s v="DBR 2.5 08/15/2046"/>
    <x v="1"/>
    <s v="BN21481649"/>
    <s v="M"/>
    <m/>
    <x v="0"/>
    <s v="SYM_ES_MFL_FI"/>
    <m/>
    <m/>
    <s v="TC-KINETIX-BRIDGE"/>
    <d v="2018-03-05T11:50:27"/>
    <s v="BN21481649"/>
    <d v="2018-03-05T11:44:10"/>
    <m/>
  </r>
  <r>
    <s v="21483371"/>
    <x v="2"/>
    <s v="Government"/>
    <s v="TIER"/>
    <s v="BONY 2785"/>
    <x v="0"/>
    <s v="JPMORGAN CHASE BANK, NEW YORK"/>
    <d v="2018-03-05T00:00:00"/>
    <s v="9128283X6"/>
    <n v="28000000"/>
    <n v="99.554404829999996"/>
    <d v="2018-03-06T00:00:00"/>
    <s v="Sell"/>
    <s v="Confirmed"/>
    <d v="2018-03-05T12:12:05"/>
    <n v="2.4072878797000001"/>
    <n v="27908299.650742542"/>
    <s v="USD"/>
    <s v="T 2.25 02/15/2021"/>
    <x v="1"/>
    <s v="BN21483371"/>
    <s v="M"/>
    <m/>
    <x v="0"/>
    <s v="TIER_MFL_FI"/>
    <m/>
    <m/>
    <s v="TC-KINETIX-BRIDGE"/>
    <d v="2018-03-05T12:18:08"/>
    <s v="BN21483371"/>
    <d v="2018-03-05T12:12:00"/>
    <m/>
  </r>
  <r>
    <s v="21483375"/>
    <x v="2"/>
    <s v="Government"/>
    <s v="TIER"/>
    <s v="BONY 2785"/>
    <x v="0"/>
    <s v="JPMORGAN CHASE BANK, NEW YORK"/>
    <d v="2018-03-05T00:00:00"/>
    <s v="9128283Z1"/>
    <n v="25000000"/>
    <n v="99.65625"/>
    <d v="2018-03-06T00:00:00"/>
    <s v="Buy"/>
    <s v="Confirmed"/>
    <d v="2018-03-05T12:12:16"/>
    <n v="2.8044946605000001"/>
    <n v="-24925271.73913043"/>
    <s v="USD"/>
    <s v="T 2.75 02/28/2025"/>
    <x v="1"/>
    <s v="BN21483375"/>
    <s v="M"/>
    <m/>
    <x v="0"/>
    <s v="TIER_MFL_FI"/>
    <m/>
    <m/>
    <s v="TC-KINETIX-BRIDGE"/>
    <d v="2018-03-05T12:18:08"/>
    <s v="BN21483375"/>
    <d v="2018-03-05T12:12:09"/>
    <m/>
  </r>
  <r>
    <s v="21483376"/>
    <x v="2"/>
    <s v="Government"/>
    <s v="TIER"/>
    <s v="BONY 2785"/>
    <x v="0"/>
    <s v="JPMORGAN CHASE BANK, NEW YORK"/>
    <d v="2018-03-05T00:00:00"/>
    <s v="9128283W8"/>
    <n v="9000000"/>
    <n v="98.890625"/>
    <d v="2018-03-06T00:00:00"/>
    <s v="Sell"/>
    <s v="Confirmed"/>
    <d v="2018-03-05T12:12:20"/>
    <n v="2.8789413034"/>
    <n v="8913146.5814917106"/>
    <s v="USD"/>
    <s v="T 2.75 02/15/2028"/>
    <x v="1"/>
    <s v="BN21483376"/>
    <s v="M"/>
    <m/>
    <x v="0"/>
    <s v="TIER_MFL_FI"/>
    <m/>
    <m/>
    <s v="TC-KINETIX-BRIDGE"/>
    <d v="2018-03-05T12:18:08"/>
    <s v="BN21483376"/>
    <d v="2018-03-05T12:12:13"/>
    <m/>
  </r>
  <r>
    <s v="21483742"/>
    <x v="2"/>
    <s v="Government"/>
    <s v="TT_JS"/>
    <s v="BONY 2785"/>
    <x v="0"/>
    <s v="JPMORGAN CHASE BANK, NEW YORK"/>
    <d v="2018-03-05T00:00:00"/>
    <s v="912810RD2"/>
    <n v="200000000"/>
    <n v="110.53538"/>
    <d v="2018-03-06T00:00:00"/>
    <s v="Buy"/>
    <s v="Confirmed"/>
    <d v="2018-03-05T13:03:03"/>
    <n v="3.1487193233999999"/>
    <n v="-223370483.75690609"/>
    <s v="USD"/>
    <s v="T 3.75 11/15/2043"/>
    <x v="1"/>
    <s v="BN21483742"/>
    <s v="M"/>
    <m/>
    <x v="0"/>
    <s v="TT_JS_MFL_FI"/>
    <m/>
    <m/>
    <s v="TC-KINETIX-BRIDGE"/>
    <d v="2018-03-05T13:14:20"/>
    <s v="BN21483742"/>
    <d v="2018-03-05T13:02:59"/>
    <m/>
  </r>
  <r>
    <s v="21483943"/>
    <x v="2"/>
    <s v="Corporate"/>
    <s v="BAIL_CR"/>
    <s v="CSI 7533G"/>
    <x v="1"/>
    <s v="JPMORGAN CHASE BANK, NEW YORK"/>
    <d v="2018-03-05T00:00:00"/>
    <s v="55336VAP5"/>
    <n v="1408000"/>
    <n v="96.052000000000007"/>
    <d v="2018-03-07T00:00:00"/>
    <s v="Sell"/>
    <s v="Confirmed"/>
    <d v="2018-03-05T13:18:57"/>
    <n v="5.1320037358999997"/>
    <n v="1357969.8488888901"/>
    <s v="USD"/>
    <s v="MPLX 4.9 04/15/2058"/>
    <x v="1"/>
    <s v="BN21483943"/>
    <s v="M"/>
    <m/>
    <x v="0"/>
    <s v="BAIL_CR_MFL_FI"/>
    <m/>
    <m/>
    <s v="Ribenincasa"/>
    <d v="2018-03-05T13:23:56"/>
    <s v="BN21483943"/>
    <d v="2018-03-05T13:18:57"/>
    <m/>
  </r>
  <r>
    <s v="21483942"/>
    <x v="2"/>
    <s v="Government"/>
    <s v="BAIL_CR"/>
    <s v="CSI 7533G"/>
    <x v="0"/>
    <s v="JPMORGAN CHASE BANK, NEW YORK"/>
    <d v="2018-03-05T00:00:00"/>
    <s v="912810RZ3"/>
    <n v="1250000"/>
    <n v="92.640625"/>
    <d v="2018-03-06T00:00:00"/>
    <s v="Buy"/>
    <s v="Confirmed"/>
    <d v="2018-03-05T13:19:06"/>
    <n v="3.1323948108000002"/>
    <n v="-1168548.21305249"/>
    <s v="USD"/>
    <s v="T 2.75 11/15/2047"/>
    <x v="1"/>
    <s v="BN21483942"/>
    <s v="M"/>
    <m/>
    <x v="0"/>
    <s v="BAIL_CR_MFL_FI"/>
    <m/>
    <m/>
    <s v="Ribenincasa"/>
    <d v="2018-03-05T13:23:56"/>
    <s v="BN21483942"/>
    <d v="2018-03-05T13:19:06"/>
    <m/>
  </r>
  <r>
    <s v="21484111"/>
    <x v="2"/>
    <s v="Government"/>
    <s v="ASIR_M"/>
    <s v="CSI 7533G"/>
    <x v="0"/>
    <s v="JPMORGAN CHASE BANK, NEW YORK"/>
    <d v="2018-03-05T00:00:00"/>
    <s v="912810RZ3"/>
    <n v="2143000"/>
    <n v="92.75"/>
    <d v="2018-03-06T00:00:00"/>
    <s v="Buy"/>
    <s v="Confirmed"/>
    <d v="2018-03-05T13:28:44"/>
    <n v="3.1264256134999999"/>
    <n v="-2005702.9627071801"/>
    <s v="USD"/>
    <s v="T 2.75 11/15/2047"/>
    <x v="1"/>
    <s v="BN21484111"/>
    <s v="M"/>
    <m/>
    <x v="0"/>
    <s v="ASIR_M_MFL_FI"/>
    <m/>
    <m/>
    <s v="TC-KINETIX-BRIDGE"/>
    <d v="2018-03-05T13:33:10"/>
    <s v="BN21484111"/>
    <d v="2018-03-05T13:28:33"/>
    <m/>
  </r>
  <r>
    <s v="21484089"/>
    <x v="2"/>
    <s v="Corporate"/>
    <s v="BAIL_CR"/>
    <s v="CSI 7533G"/>
    <x v="1"/>
    <s v="JPMORGAN CHASE BANK, NEW YORK"/>
    <d v="2018-03-05T00:00:00"/>
    <s v="55336VAM2"/>
    <n v="2459000"/>
    <n v="96.918999999999997"/>
    <d v="2018-03-07T00:00:00"/>
    <s v="Buy"/>
    <s v="Confirmed"/>
    <d v="2018-03-05T13:34:43"/>
    <n v="4.7380275073"/>
    <n v="-2392152.085"/>
    <s v="USD"/>
    <s v="MPLX 4.5 04/15/2038"/>
    <x v="1"/>
    <s v="BN21484089"/>
    <s v="M"/>
    <m/>
    <x v="0"/>
    <s v="BAIL_CR_MFL_FI"/>
    <m/>
    <m/>
    <s v="Ribenincasa"/>
    <d v="2018-03-05T13:33:10"/>
    <s v="BN21484089"/>
    <d v="2018-03-05T13:34:43"/>
    <m/>
  </r>
  <r>
    <s v="21484143"/>
    <x v="2"/>
    <s v="Corporate"/>
    <s v="ASIR_DU"/>
    <s v="BCSL 500955"/>
    <x v="22"/>
    <s v="JPMORGAN CHASE BANK, NEW YORK"/>
    <d v="2018-03-05T00:00:00"/>
    <s v="DE000DL19TQ2"/>
    <n v="4500000"/>
    <n v="100.762"/>
    <d v="2018-03-07T00:00:00"/>
    <s v="Buy"/>
    <s v="Confirmed"/>
    <d v="2018-03-05T13:34:52"/>
    <n v="0.62005251169999998"/>
    <n v="-4535411"/>
    <s v="EUR"/>
    <s v="DB F 05/16/2022 EMTN"/>
    <x v="1"/>
    <s v="BN21484143"/>
    <s v="M"/>
    <m/>
    <x v="0"/>
    <s v="ASIR_DU_MFL_FI"/>
    <m/>
    <m/>
    <s v="TC-KINETIX-BRIDGE"/>
    <d v="2018-03-05T13:42:45"/>
    <s v="BN21484143"/>
    <d v="2018-03-05T13:34:48"/>
    <m/>
  </r>
  <r>
    <s v="21484090"/>
    <x v="2"/>
    <s v="Government"/>
    <s v="BAIL_CR"/>
    <s v="CSI 7533G"/>
    <x v="0"/>
    <s v="JPMORGAN CHASE BANK, NEW YORK"/>
    <d v="2018-03-05T00:00:00"/>
    <s v="912810RZ3"/>
    <n v="1700000"/>
    <n v="92.171875"/>
    <d v="2018-03-06T00:00:00"/>
    <s v="Sell"/>
    <s v="Confirmed"/>
    <d v="2018-03-05T13:34:55"/>
    <n v="3.1580810419000001"/>
    <n v="1581256.81975138"/>
    <s v="USD"/>
    <s v="T 2.75 11/15/2047"/>
    <x v="1"/>
    <s v="BN21484090"/>
    <s v="M"/>
    <m/>
    <x v="0"/>
    <s v="BAIL_CR_MFL_FI"/>
    <m/>
    <m/>
    <s v="Ribenincasa"/>
    <d v="2018-03-05T13:33:10"/>
    <s v="BN21484090"/>
    <d v="2018-03-05T13:34:55"/>
    <m/>
  </r>
  <r>
    <s v="21483510"/>
    <x v="2"/>
    <s v="Government"/>
    <s v="NET_FIN"/>
    <s v="CSI 7533G"/>
    <x v="0"/>
    <s v="JPMORGAN CHASE BANK, NEW YORK"/>
    <d v="2018-03-05T00:00:00"/>
    <s v="9128283W8"/>
    <n v="5000000"/>
    <n v="98.84765625"/>
    <d v="2018-03-06T00:00:00"/>
    <s v="Sell"/>
    <s v="Confirmed"/>
    <d v="2018-03-05T14:42:15"/>
    <n v="2.8839726201999998"/>
    <n v="4949599.6633287305"/>
    <s v="USD"/>
    <s v="T 2.75 02/15/2028"/>
    <x v="1"/>
    <s v="BN21483510"/>
    <s v="M"/>
    <m/>
    <x v="0"/>
    <s v="NET_FIN_MFL_FI"/>
    <m/>
    <m/>
    <s v="cdaniel"/>
    <d v="2018-03-05T12:46:16"/>
    <s v="BN21483510"/>
    <d v="2018-03-05T14:42:15"/>
    <m/>
  </r>
  <r>
    <s v="21484383"/>
    <x v="2"/>
    <s v="Government"/>
    <s v="TIER"/>
    <s v="BONY 2785"/>
    <x v="0"/>
    <s v="JPMORGAN CHASE BANK, NEW YORK"/>
    <d v="2018-03-05T00:00:00"/>
    <s v="9128283C2"/>
    <n v="67000000"/>
    <n v="97.1171875"/>
    <d v="2018-03-06T00:00:00"/>
    <s v="Buy"/>
    <s v="Confirmed"/>
    <d v="2018-03-05T14:46:29"/>
    <n v="2.6626627342"/>
    <n v="-65534924.464779012"/>
    <s v="USD"/>
    <s v="T 2 10/31/2022"/>
    <x v="1"/>
    <s v="BN21484383"/>
    <s v="M"/>
    <m/>
    <x v="0"/>
    <s v="TIER_MFL_FI"/>
    <m/>
    <m/>
    <s v="TC-KINETIX-BRIDGE"/>
    <d v="2018-03-05T14:58:06"/>
    <s v="BN21484383"/>
    <d v="2018-03-05T14:46:23"/>
    <m/>
  </r>
  <r>
    <s v="21484387"/>
    <x v="2"/>
    <s v="Government"/>
    <s v="TIER"/>
    <s v="BONY 2785"/>
    <x v="0"/>
    <s v="JPMORGAN CHASE BANK, NEW YORK"/>
    <d v="2018-03-05T00:00:00"/>
    <s v="9128284A5"/>
    <n v="61900000"/>
    <n v="99.75"/>
    <d v="2018-03-06T00:00:00"/>
    <s v="Sell"/>
    <s v="Confirmed"/>
    <d v="2018-03-05T14:46:48"/>
    <n v="2.6788620698000001"/>
    <n v="61771742.527173914"/>
    <s v="USD"/>
    <s v="T 2.625 02/28/2023"/>
    <x v="1"/>
    <s v="BN21484387"/>
    <s v="M"/>
    <m/>
    <x v="0"/>
    <s v="TIER_MFL_FI"/>
    <m/>
    <m/>
    <s v="TC-KINETIX-BRIDGE"/>
    <d v="2018-03-05T14:58:06"/>
    <s v="BN21484387"/>
    <d v="2018-03-05T14:46:41"/>
    <m/>
  </r>
  <r>
    <s v="21484504"/>
    <x v="2"/>
    <s v="Government"/>
    <s v="ASIR_RT"/>
    <s v="CSI 7533G"/>
    <x v="0"/>
    <s v="JPMORGAN CHASE BANK, NEW YORK"/>
    <d v="2018-03-05T00:00:00"/>
    <s v="9128283Z1"/>
    <n v="2621000"/>
    <n v="99.59375"/>
    <d v="2018-03-06T00:00:00"/>
    <s v="Sell"/>
    <s v="Confirmed"/>
    <d v="2018-03-05T15:17:36"/>
    <n v="2.8144342227000001"/>
    <n v="2611527.3641304299"/>
    <s v="USD"/>
    <s v="T 2.75 02/28/2025"/>
    <x v="1"/>
    <s v="BN21484504"/>
    <s v="M"/>
    <m/>
    <x v="0"/>
    <s v="ASIR_RT_MFL_FI"/>
    <m/>
    <m/>
    <s v="TC-KINETIX-BRIDGE"/>
    <d v="2018-03-05T15:26:17"/>
    <s v="BN21484504"/>
    <d v="2018-03-05T15:17:26"/>
    <m/>
  </r>
  <r>
    <s v="21484647"/>
    <x v="2"/>
    <s v="Corporate"/>
    <s v="BAIL_CR"/>
    <s v="CSI 7533G"/>
    <x v="21"/>
    <s v="JPMORGAN CHASE BANK, NEW YORK"/>
    <d v="2018-03-05T00:00:00"/>
    <s v="00507UAU5"/>
    <n v="2000000"/>
    <n v="97.793999999999997"/>
    <d v="2018-03-07T00:00:00"/>
    <s v="Buy"/>
    <s v="Confirmed"/>
    <d v="2018-03-05T15:57:53"/>
    <n v="4.8980266849999996"/>
    <n v="-2001268.8888888902"/>
    <s v="USD"/>
    <s v="AGN 4.75 03/15/2045"/>
    <x v="1"/>
    <s v="BN21484647"/>
    <s v="M"/>
    <m/>
    <x v="0"/>
    <s v="BAIL_CR_MFL_FI"/>
    <m/>
    <m/>
    <s v="Ribenincasa"/>
    <d v="2018-03-05T16:03:19"/>
    <s v="BN21484647"/>
    <d v="2018-03-05T15:57:53"/>
    <m/>
  </r>
  <r>
    <s v="21484648"/>
    <x v="2"/>
    <s v="Government"/>
    <s v="BAIL_CR"/>
    <s v="CSI 7533G"/>
    <x v="0"/>
    <s v="JPMORGAN CHASE BANK, NEW YORK"/>
    <d v="2018-03-05T00:00:00"/>
    <s v="912810RZ3"/>
    <n v="1600000"/>
    <n v="91.984375"/>
    <d v="2018-03-06T00:00:00"/>
    <s v="Sell"/>
    <s v="Confirmed"/>
    <d v="2018-03-05T15:58:05"/>
    <n v="3.1684030603000002"/>
    <n v="1485241.7127071801"/>
    <s v="USD"/>
    <s v="T 2.75 11/15/2047"/>
    <x v="1"/>
    <s v="BN21484648"/>
    <s v="M"/>
    <m/>
    <x v="0"/>
    <s v="BAIL_CR_MFL_FI"/>
    <m/>
    <m/>
    <s v="Ribenincasa"/>
    <d v="2018-03-05T16:03:19"/>
    <s v="BN21484648"/>
    <d v="2018-03-05T15:58:05"/>
    <m/>
  </r>
  <r>
    <s v="21484654"/>
    <x v="2"/>
    <s v="Corporate"/>
    <s v="BAIL_CR"/>
    <s v="CSI 7533G"/>
    <x v="1"/>
    <s v="JPMORGAN CHASE BANK, NEW YORK"/>
    <d v="2018-03-05T00:00:00"/>
    <s v="151020AZ7"/>
    <n v="2500000"/>
    <n v="97.146000000000001"/>
    <d v="2018-03-07T00:00:00"/>
    <s v="Sell"/>
    <s v="Confirmed"/>
    <d v="2018-03-05T16:01:28"/>
    <n v="4.7290003012000001"/>
    <n v="2434021.5277777803"/>
    <s v="USD"/>
    <s v="CELG 4.55 02/20/2048"/>
    <x v="1"/>
    <s v="BN21484654"/>
    <s v="M"/>
    <m/>
    <x v="0"/>
    <s v="BAIL_CR_MFL_FI"/>
    <m/>
    <m/>
    <s v="Ribenincasa"/>
    <d v="2018-03-05T16:13:09"/>
    <s v="BN21484654"/>
    <d v="2018-03-05T16:01:28"/>
    <m/>
  </r>
  <r>
    <s v="21484655"/>
    <x v="2"/>
    <s v="Government"/>
    <s v="BAIL_CR"/>
    <s v="CSI 7533G"/>
    <x v="0"/>
    <s v="JPMORGAN CHASE BANK, NEW YORK"/>
    <d v="2018-03-05T00:00:00"/>
    <s v="912810RZ3"/>
    <n v="2150000"/>
    <n v="91.96875"/>
    <d v="2018-03-06T00:00:00"/>
    <s v="Buy"/>
    <s v="Confirmed"/>
    <d v="2018-03-05T16:01:47"/>
    <n v="3.1692644617000001"/>
    <n v="-1995457.61395028"/>
    <s v="USD"/>
    <s v="T 2.75 11/15/2047"/>
    <x v="1"/>
    <s v="BN21484655"/>
    <s v="M"/>
    <m/>
    <x v="0"/>
    <s v="BAIL_CR_MFL_FI"/>
    <m/>
    <m/>
    <s v="Ribenincasa"/>
    <d v="2018-03-05T16:13:09"/>
    <s v="BN21484655"/>
    <d v="2018-03-05T16:01:47"/>
    <m/>
  </r>
  <r>
    <s v="21484722"/>
    <x v="2"/>
    <s v="Government"/>
    <s v="TIER"/>
    <s v="BONY 2785"/>
    <x v="0"/>
    <s v="JPMORGAN CHASE BANK, NEW YORK"/>
    <d v="2018-03-05T00:00:00"/>
    <s v="9128283X6"/>
    <n v="3000000"/>
    <n v="99.558274069999996"/>
    <d v="2018-03-06T00:00:00"/>
    <s v="Sell"/>
    <s v="Confirmed"/>
    <d v="2018-03-05T16:11:42"/>
    <n v="2.4059166831000001"/>
    <n v="2990291.0397795597"/>
    <s v="USD"/>
    <s v="T 2.25 02/15/2021"/>
    <x v="1"/>
    <s v="BN21484722"/>
    <s v="M"/>
    <m/>
    <x v="0"/>
    <s v="TIER_MFL_FI"/>
    <m/>
    <m/>
    <s v="TC-KINETIX-BRIDGE"/>
    <d v="2018-03-05T16:22:52"/>
    <s v="BN21484722"/>
    <d v="2018-03-05T16:11:37"/>
    <m/>
  </r>
  <r>
    <s v="21484723"/>
    <x v="2"/>
    <s v="Government"/>
    <s v="TIER"/>
    <s v="BONY 2785"/>
    <x v="0"/>
    <s v="JPMORGAN CHASE BANK, NEW YORK"/>
    <d v="2018-03-05T00:00:00"/>
    <s v="9128283W8"/>
    <n v="1000000"/>
    <n v="98.828125"/>
    <d v="2018-03-06T00:00:00"/>
    <s v="Sell"/>
    <s v="Confirmed"/>
    <d v="2018-03-05T16:11:49"/>
    <n v="2.8862604072"/>
    <n v="989724.62016575004"/>
    <s v="USD"/>
    <s v="T 2.75 02/15/2028"/>
    <x v="1"/>
    <s v="BN21484723"/>
    <s v="M"/>
    <m/>
    <x v="0"/>
    <s v="TIER_MFL_FI"/>
    <m/>
    <m/>
    <s v="TC-KINETIX-BRIDGE"/>
    <d v="2018-03-05T16:22:52"/>
    <s v="BN21484723"/>
    <d v="2018-03-05T16:11:43"/>
    <m/>
  </r>
  <r>
    <s v="21484724"/>
    <x v="2"/>
    <s v="Government"/>
    <s v="TIER"/>
    <s v="BONY 2785"/>
    <x v="0"/>
    <s v="JPMORGAN CHASE BANK, NEW YORK"/>
    <d v="2018-03-05T00:00:00"/>
    <s v="9128283Z1"/>
    <n v="3000000"/>
    <n v="99.609375"/>
    <d v="2018-03-06T00:00:00"/>
    <s v="Buy"/>
    <s v="Confirmed"/>
    <d v="2018-03-05T16:11:58"/>
    <n v="2.8119486686999999"/>
    <n v="-2989626.35869565"/>
    <s v="USD"/>
    <s v="T 2.75 02/28/2025"/>
    <x v="1"/>
    <s v="BN21484724"/>
    <s v="M"/>
    <m/>
    <x v="0"/>
    <s v="TIER_MFL_FI"/>
    <m/>
    <m/>
    <s v="TC-KINETIX-BRIDGE"/>
    <d v="2018-03-05T16:22:52"/>
    <s v="BN21484724"/>
    <d v="2018-03-05T16:11:53"/>
    <m/>
  </r>
  <r>
    <s v="21484664"/>
    <x v="2"/>
    <s v="Corporate"/>
    <s v="BAIL_CR"/>
    <s v="CSI 7533G"/>
    <x v="1"/>
    <s v="JPMORGAN CHASE BANK, NEW YORK"/>
    <d v="2018-03-05T00:00:00"/>
    <s v="031162BZ2"/>
    <n v="5000000"/>
    <n v="99.602000000000004"/>
    <d v="2018-03-07T00:00:00"/>
    <s v="Sell"/>
    <s v="Confirmed"/>
    <d v="2018-03-05T16:34:44"/>
    <n v="4.4250087008000003"/>
    <n v="5057100"/>
    <s v="USD"/>
    <s v="AMGN 4.4 05/01/2045"/>
    <x v="1"/>
    <s v="BN21484664"/>
    <s v="M"/>
    <m/>
    <x v="0"/>
    <s v="BAIL_CR_MFL_FI"/>
    <m/>
    <m/>
    <s v="Ribenincasa"/>
    <d v="2018-03-05T16:13:09"/>
    <s v="BN21484664"/>
    <d v="2018-03-05T16:34:44"/>
    <m/>
  </r>
  <r>
    <s v="21484665"/>
    <x v="2"/>
    <s v="Government"/>
    <s v="BAIL_CR"/>
    <s v="CSI 7533G"/>
    <x v="0"/>
    <s v="JPMORGAN CHASE BANK, NEW YORK"/>
    <d v="2018-03-05T00:00:00"/>
    <s v="912810RZ3"/>
    <n v="4300000"/>
    <n v="92.140625"/>
    <d v="2018-03-06T00:00:00"/>
    <s v="Buy"/>
    <s v="Confirmed"/>
    <d v="2018-03-05T16:34:56"/>
    <n v="3.1597994839000001"/>
    <n v="-3998305.8529005502"/>
    <s v="USD"/>
    <s v="T 2.75 11/15/2047"/>
    <x v="1"/>
    <s v="BN21484665"/>
    <s v="M"/>
    <m/>
    <x v="0"/>
    <s v="BAIL_CR_MFL_FI"/>
    <m/>
    <m/>
    <s v="Ribenincasa"/>
    <d v="2018-03-05T16:13:09"/>
    <s v="BN21484665"/>
    <d v="2018-03-05T16:34:56"/>
    <m/>
  </r>
  <r>
    <s v="21484755"/>
    <x v="2"/>
    <s v="Corporate"/>
    <s v="NEG_MG"/>
    <s v="CSI 7533G"/>
    <x v="1"/>
    <s v="JPMORGAN CHASE BANK, NEW YORK"/>
    <d v="2018-03-05T00:00:00"/>
    <s v="92343VCX0"/>
    <n v="437000"/>
    <n v="93.296000000000006"/>
    <d v="2018-03-07T00:00:00"/>
    <s v="Sell"/>
    <s v="Confirmed"/>
    <d v="2018-03-05T16:36:47"/>
    <n v="4.9500170360000002"/>
    <n v="417144.95355555997"/>
    <s v="USD"/>
    <s v="VZ 4.522 09/15/2048"/>
    <x v="1"/>
    <s v="BN21484755"/>
    <s v="M"/>
    <m/>
    <x v="0"/>
    <s v="NEG_MG_MFL_FI"/>
    <m/>
    <m/>
    <s v="TC-KINETIX-BRIDGE"/>
    <d v="2018-03-05T16:41:55"/>
    <s v="BN21484755"/>
    <d v="2018-03-05T16:36:41"/>
    <m/>
  </r>
  <r>
    <s v="21484756"/>
    <x v="2"/>
    <s v="Government"/>
    <s v="NEG_MG"/>
    <s v="CSI 7533G"/>
    <x v="0"/>
    <s v="JPMORGAN CHASE BANK, NEW YORK"/>
    <d v="2018-03-05T00:00:00"/>
    <s v="912810RZ3"/>
    <n v="360000"/>
    <n v="92.140625"/>
    <d v="2018-03-06T00:00:00"/>
    <s v="Buy"/>
    <s v="Confirmed"/>
    <d v="2018-03-05T16:36:48"/>
    <n v="3.1597994839000001"/>
    <n v="-334741.88535911997"/>
    <s v="USD"/>
    <s v="T 2.75 11/15/2047"/>
    <x v="1"/>
    <s v="BN21484756"/>
    <s v="M"/>
    <m/>
    <x v="0"/>
    <s v="NEG_MG_MFL_FI"/>
    <m/>
    <m/>
    <s v="TC-KINETIX-BRIDGE"/>
    <d v="2018-03-05T16:41:55"/>
    <s v="BN21484756"/>
    <d v="2018-03-05T16:36:41"/>
    <m/>
  </r>
  <r>
    <s v="21484777"/>
    <x v="2"/>
    <s v="Government"/>
    <s v="TIER"/>
    <s v="BONY 2785"/>
    <x v="0"/>
    <s v="JPMORGAN CHASE BANK, NEW YORK"/>
    <d v="2018-03-05T00:00:00"/>
    <s v="9128284A5"/>
    <n v="2000000"/>
    <n v="99.8828125"/>
    <d v="2018-03-06T00:00:00"/>
    <s v="Buy"/>
    <s v="Confirmed"/>
    <d v="2018-03-05T16:50:23"/>
    <n v="2.6501978142999998"/>
    <n v="-1998512.2282608699"/>
    <s v="USD"/>
    <s v="T 2.625 02/28/2023"/>
    <x v="1"/>
    <s v="BN21484777"/>
    <s v="M"/>
    <m/>
    <x v="0"/>
    <s v="TIER_MFL_FI"/>
    <m/>
    <m/>
    <s v="TC-KINETIX-BRIDGE"/>
    <d v="2018-03-05T17:01:21"/>
    <s v="BN21484777"/>
    <d v="2018-03-05T16:50:19"/>
    <m/>
  </r>
  <r>
    <s v="21484776"/>
    <x v="2"/>
    <s v="Government"/>
    <s v="TIER"/>
    <s v="BONY 2785"/>
    <x v="0"/>
    <s v="JPMORGAN CHASE BANK, NEW YORK"/>
    <d v="2018-03-05T00:00:00"/>
    <s v="9128283X6"/>
    <n v="3000000"/>
    <n v="99.556410159999999"/>
    <d v="2018-03-06T00:00:00"/>
    <s v="Sell"/>
    <s v="Confirmed"/>
    <d v="2018-03-05T16:50:28"/>
    <n v="2.406577215"/>
    <n v="2990235.1224795603"/>
    <s v="USD"/>
    <s v="T 2.25 02/15/2021"/>
    <x v="1"/>
    <s v="BN21484776"/>
    <s v="M"/>
    <m/>
    <x v="0"/>
    <s v="TIER_MFL_FI"/>
    <m/>
    <m/>
    <s v="TC-KINETIX-BRIDGE"/>
    <d v="2018-03-05T17:01:21"/>
    <s v="BN21484776"/>
    <d v="2018-03-05T16:50:12"/>
    <m/>
  </r>
  <r>
    <s v="21489057"/>
    <x v="2"/>
    <s v="Corporate"/>
    <s v="ASIR_M"/>
    <s v="CSI 7533G"/>
    <x v="7"/>
    <s v="JPMORGAN CHASE BANK, NEW YORK"/>
    <d v="2018-03-05T00:00:00"/>
    <s v="01609WAW2"/>
    <n v="2275000"/>
    <n v="95.02"/>
    <d v="2018-03-07T00:00:00"/>
    <s v="Sell"/>
    <s v="Confirmed"/>
    <d v="2018-03-06T08:27:36"/>
    <n v="4.6766493296"/>
    <n v="2187008.0555555602"/>
    <s v="USD"/>
    <s v="BABA 4.4 12/06/2057"/>
    <x v="1"/>
    <s v="BN21489057"/>
    <s v="M"/>
    <m/>
    <x v="0"/>
    <s v="ASIR_M_MFL_FI"/>
    <m/>
    <m/>
    <s v="JMAGNESS"/>
    <d v="2018-03-06T08:29:54"/>
    <s v="BN21489057"/>
    <d v="2018-03-06T08:27:18"/>
    <m/>
  </r>
  <r>
    <s v="21476524"/>
    <x v="2"/>
    <s v="Government"/>
    <s v="DEPALM"/>
    <s v="JPSE 76555"/>
    <x v="23"/>
    <s v="JPMORGAN CHASE BANK, NEW YORK"/>
    <d v="2018-03-05T00:00:00"/>
    <s v="BRSTNCLTN7F8"/>
    <n v="2287"/>
    <n v="838.44409800000005"/>
    <d v="2018-03-05T00:00:00"/>
    <s v="Buy"/>
    <s v="Booked"/>
    <d v="2018-03-05T10:03:37"/>
    <n v="7.9000000371999999"/>
    <n v="-1917521.652126"/>
    <s v="BRL"/>
    <s v="BLTN 0 07/01/2020 LTN"/>
    <x v="0"/>
    <m/>
    <m/>
    <m/>
    <x v="0"/>
    <s v="DEPALM_MPI_FI"/>
    <m/>
    <s v="NO PLATFORM – COLTES, Match vs Confirmed _x000a_"/>
    <s v="VEN_VGAYAKWAD"/>
    <d v="2018-03-05T09:40:02"/>
    <m/>
    <d v="2018-03-05T10:03:37"/>
    <m/>
  </r>
  <r>
    <s v="21481238"/>
    <x v="2"/>
    <s v="Government"/>
    <s v="GOYAL"/>
    <s v="CGMI XPBMFI6"/>
    <x v="2"/>
    <s v="JPMORGAN CHASE BANK, NEW YORK"/>
    <d v="2018-03-05T00:00:00"/>
    <s v="LW9361681"/>
    <n v="50000000"/>
    <n v="136.25"/>
    <d v="2018-03-07T00:00:00"/>
    <s v="Sell"/>
    <s v="Booked"/>
    <d v="2018-03-05T14:48:58"/>
    <n v="-6.7921743608999998"/>
    <n v="3332925.63600783"/>
    <s v="USD"/>
    <s v="BONCER 2.5 07/22/2021"/>
    <x v="0"/>
    <m/>
    <m/>
    <m/>
    <x v="0"/>
    <s v="GOYAL_CR_MFL_FI"/>
    <m/>
    <s v="confirmed manually with Jon at JP"/>
    <s v="JMAGNESS"/>
    <d v="2018-03-05T11:13:15"/>
    <m/>
    <d v="2018-03-05T14:48:58"/>
    <m/>
  </r>
  <r>
    <s v="21484545"/>
    <x v="2"/>
    <s v="Corporate"/>
    <s v="ASIR_RT"/>
    <s v="CSI 7533G"/>
    <x v="1"/>
    <s v="JPMORGAN CHASE BANK, NEW YORK"/>
    <d v="2018-03-05T00:00:00"/>
    <s v="709599AZ7"/>
    <n v="2730000"/>
    <n v="99.611999999999995"/>
    <d v="2018-03-08T00:00:00"/>
    <s v="Buy"/>
    <s v="Booked"/>
    <d v="2018-03-05T15:23:00"/>
    <n v="4.0140509060999996"/>
    <n v="-2719407.6"/>
    <s v="USD"/>
    <s v="PENSKE 3.95 03/10/2025 A"/>
    <x v="2"/>
    <m/>
    <m/>
    <m/>
    <x v="0"/>
    <s v="ASIR_RT_MFL_FI"/>
    <m/>
    <m/>
    <s v="TC-KINETIX-BRIDGE"/>
    <d v="2018-03-05T15:26:17"/>
    <m/>
    <d v="2018-03-05T15:22:56"/>
    <m/>
  </r>
  <r>
    <s v="21481465"/>
    <x v="2"/>
    <s v="US ABS"/>
    <s v="GALISHFF"/>
    <s v="CGMI XPBMFI7"/>
    <x v="9"/>
    <s v="JPMORGAN CHASE BANK, NEW YORK"/>
    <d v="2018-03-05T00:00:00"/>
    <s v="01F040636"/>
    <n v="25000000"/>
    <n v="102.33984375"/>
    <d v="2018-03-13T00:00:00"/>
    <s v="Buy"/>
    <s v="Booked"/>
    <d v="2018-03-05T11:35:30"/>
    <n v="3.8531308284999999"/>
    <n v="-25584960.9375"/>
    <s v="USD"/>
    <s v="FNCL 4 3/18"/>
    <x v="2"/>
    <m/>
    <m/>
    <m/>
    <x v="0"/>
    <s v="GALISHFF_MFL_FI"/>
    <m/>
    <m/>
    <m/>
    <d v="2018-03-05T11:35:06"/>
    <m/>
    <d v="2018-03-05T11:26:02"/>
    <m/>
  </r>
  <r>
    <s v="21484526"/>
    <x v="0"/>
    <s v="Corporate"/>
    <s v="NEG_MG"/>
    <s v="CSI 7533G"/>
    <x v="1"/>
    <s v="MARKETAXESS HOLDINGS INC."/>
    <d v="2018-03-05T00:00:00"/>
    <s v="92343VCX0"/>
    <n v="958000"/>
    <n v="93.534999999999997"/>
    <d v="2018-03-07T00:00:00"/>
    <s v="Sell"/>
    <s v="Booked"/>
    <d v="2018-03-05T16:18:47"/>
    <n v="4.9339910464000001"/>
    <n v="916762.9964444401"/>
    <s v="USD"/>
    <s v="VZ 4.522 09/15/2048"/>
    <x v="0"/>
    <m/>
    <m/>
    <m/>
    <x v="0"/>
    <s v="NEG_MG_MFL_FI"/>
    <m/>
    <s v="NO PLATFORM - Confirmed over email with Sujit Chakravarty"/>
    <s v="VEN_SKULKARNI"/>
    <m/>
    <m/>
    <d v="2018-03-05T16:18:47"/>
    <m/>
  </r>
  <r>
    <s v="21484148"/>
    <x v="0"/>
    <s v="Corporate"/>
    <s v="BAIL_AD"/>
    <s v="CSI 7533G"/>
    <x v="1"/>
    <s v="MINT PARTNERS"/>
    <d v="2018-03-05T00:00:00"/>
    <s v="13057QAG2"/>
    <n v="500000"/>
    <n v="79"/>
    <d v="2018-03-07T00:00:00"/>
    <s v="Sell"/>
    <s v="Booked"/>
    <d v="2018-03-05T13:35:35"/>
    <n v="14.196972647999999"/>
    <n v="404111.11111111002"/>
    <s v="USD"/>
    <s v="CRC 8 12/15/2022 A"/>
    <x v="2"/>
    <m/>
    <m/>
    <m/>
    <x v="0"/>
    <s v="BAIL_AD_MFL_FI"/>
    <m/>
    <m/>
    <s v="JMAGNESS"/>
    <m/>
    <m/>
    <d v="2018-03-05T13:35:29"/>
    <m/>
  </r>
  <r>
    <s v="21484342"/>
    <x v="2"/>
    <s v="Corporate"/>
    <s v="NEG_MG"/>
    <s v="CSI 7533G"/>
    <x v="1"/>
    <s v="MIZUHO SECURITIES CO. LTD."/>
    <d v="2018-03-05T00:00:00"/>
    <s v="25470DAR0"/>
    <n v="6745000"/>
    <n v="95.611999999999995"/>
    <d v="2018-03-07T00:00:00"/>
    <s v="Buy"/>
    <s v="Confirmed"/>
    <d v="2018-03-05T14:29:52"/>
    <n v="4.4924158318999998"/>
    <n v="-6571882.0805555601"/>
    <s v="USD"/>
    <s v="DISCA 3.95 03/20/2028"/>
    <x v="1"/>
    <s v="BN21484342"/>
    <s v="M"/>
    <m/>
    <x v="0"/>
    <s v="NEG_MG_MFL_FI"/>
    <m/>
    <m/>
    <s v="TC-KINETIX-BRIDGE"/>
    <d v="2018-03-05T14:39:27"/>
    <s v="BN21484342"/>
    <d v="2018-03-05T14:29:48"/>
    <m/>
  </r>
  <r>
    <s v="21484343"/>
    <x v="2"/>
    <s v="Government"/>
    <s v="NEG_MG"/>
    <s v="CSI 7533G"/>
    <x v="0"/>
    <s v="MIZUHO SECURITIES CO. LTD."/>
    <d v="2018-03-05T00:00:00"/>
    <s v="9128283W8"/>
    <n v="6200000"/>
    <n v="98.8125"/>
    <d v="2018-03-06T00:00:00"/>
    <s v="Sell"/>
    <s v="Confirmed"/>
    <d v="2018-03-05T14:29:53"/>
    <n v="2.8880910082"/>
    <n v="6135323.8950276198"/>
    <s v="USD"/>
    <s v="T 2.75 02/15/2028"/>
    <x v="1"/>
    <s v="BN21484343"/>
    <s v="M"/>
    <m/>
    <x v="0"/>
    <s v="NEG_MG_MFL_FI"/>
    <m/>
    <m/>
    <s v="TC-KINETIX-BRIDGE"/>
    <d v="2018-03-05T14:39:27"/>
    <s v="BN21484343"/>
    <d v="2018-03-05T14:29:46"/>
    <m/>
  </r>
  <r>
    <s v="21483523"/>
    <x v="2"/>
    <s v="Government"/>
    <s v="ASIR_M"/>
    <s v="CSI 7533G"/>
    <x v="0"/>
    <s v="MORGAN STANLEY &amp; CO INTL PLC"/>
    <d v="2018-03-05T00:00:00"/>
    <s v="912810RZ3"/>
    <n v="2202000"/>
    <n v="92.1875"/>
    <d v="2018-03-06T00:00:00"/>
    <s v="Buy"/>
    <s v="Confirmed"/>
    <d v="2018-03-05T12:37:13"/>
    <n v="3.1572221045000002"/>
    <n v="-2048536.7196132601"/>
    <s v="USD"/>
    <s v="T 2.75 11/15/2047"/>
    <x v="1"/>
    <s v="BN21483523"/>
    <s v="M"/>
    <m/>
    <x v="0"/>
    <s v="ASIR_M_MFL_FI"/>
    <m/>
    <m/>
    <s v="TC-KINETIX-BRIDGE"/>
    <d v="2018-03-05T12:46:16"/>
    <s v="BN21483523"/>
    <d v="2018-03-05T12:37:09"/>
    <m/>
  </r>
  <r>
    <s v="21483524"/>
    <x v="2"/>
    <s v="Corporate"/>
    <s v="ASIR_M"/>
    <s v="CSI 7533G"/>
    <x v="1"/>
    <s v="MORGAN STANLEY &amp; CO INTL PLC"/>
    <d v="2018-03-05T00:00:00"/>
    <s v="693304AW7"/>
    <n v="2275000"/>
    <n v="98.483999999999995"/>
    <d v="2018-03-07T00:00:00"/>
    <s v="Sell"/>
    <s v="Confirmed"/>
    <d v="2018-03-05T12:37:14"/>
    <n v="3.9869827004"/>
    <n v="2243961.4166666702"/>
    <s v="USD"/>
    <s v="EXC 3.9 03/01/2048"/>
    <x v="1"/>
    <s v="BN21483524"/>
    <s v="M"/>
    <m/>
    <x v="0"/>
    <s v="ASIR_M_MFL_FI"/>
    <m/>
    <m/>
    <s v="TC-KINETIX-BRIDGE"/>
    <d v="2018-03-05T12:46:16"/>
    <s v="BN21483524"/>
    <d v="2018-03-05T12:37:09"/>
    <m/>
  </r>
  <r>
    <s v="21474691"/>
    <x v="2"/>
    <s v="Government"/>
    <s v="ANKER_AA"/>
    <s v="BCSL 500955"/>
    <x v="24"/>
    <s v="MORGAN STANLEY CAPITAL SERVICES INC"/>
    <d v="2018-03-05T00:00:00"/>
    <s v="AR2648533"/>
    <n v="750000"/>
    <n v="101.25"/>
    <d v="2018-03-07T00:00:00"/>
    <s v="Sell"/>
    <s v="Confirmed"/>
    <d v="2018-03-05T07:37:53"/>
    <n v="8.1376809607999991"/>
    <n v="760921.875"/>
    <s v="USD"/>
    <s v="KENINT 8.25 02/28/2048 S"/>
    <x v="1"/>
    <s v="BN21474691"/>
    <s v="M"/>
    <m/>
    <x v="0"/>
    <s v="ANKAA_C_MFL_FI"/>
    <m/>
    <m/>
    <s v="aagrest"/>
    <d v="2018-03-05T07:30:12"/>
    <s v="BN21474691"/>
    <d v="2018-03-05T07:37:53"/>
    <m/>
  </r>
  <r>
    <s v="21480757"/>
    <x v="2"/>
    <s v="Government"/>
    <s v="BONELLO"/>
    <s v="BONY 2785"/>
    <x v="0"/>
    <s v="MORGAN STANLEY CAPITAL SERVICES INC"/>
    <d v="2018-03-05T00:00:00"/>
    <s v="9128282Y5"/>
    <n v="171000000"/>
    <n v="95.8828125"/>
    <d v="2018-03-06T00:00:00"/>
    <s v="Buy"/>
    <s v="Confirmed"/>
    <d v="2018-03-05T10:37:16"/>
    <n v="2.8157835809999998"/>
    <n v="-165526913.63324177"/>
    <s v="USD"/>
    <s v="T 2.125 09/30/2024"/>
    <x v="1"/>
    <s v="BN21480757"/>
    <s v="M"/>
    <m/>
    <x v="0"/>
    <s v="BONELLO_MFL_FI"/>
    <m/>
    <m/>
    <s v="TC-KINETIX-BRIDGE"/>
    <d v="2018-03-05T10:45:20"/>
    <s v="BN21480757"/>
    <d v="2018-03-05T10:37:09"/>
    <m/>
  </r>
  <r>
    <s v="21480758"/>
    <x v="2"/>
    <s v="Government"/>
    <s v="BONELLO"/>
    <s v="BONY 2785"/>
    <x v="0"/>
    <s v="MORGAN STANLEY CAPITAL SERVICES INC"/>
    <d v="2018-03-05T00:00:00"/>
    <s v="9128283Z1"/>
    <n v="158400000"/>
    <n v="99.5"/>
    <d v="2018-03-06T00:00:00"/>
    <s v="Sell"/>
    <s v="Confirmed"/>
    <d v="2018-03-05T10:37:17"/>
    <n v="2.8293568444999999"/>
    <n v="157679021.73913041"/>
    <s v="USD"/>
    <s v="T 2.75 02/28/2025"/>
    <x v="1"/>
    <s v="BN21480758"/>
    <s v="M"/>
    <m/>
    <x v="0"/>
    <s v="BONELLO_MFL_FI"/>
    <m/>
    <m/>
    <s v="TC-KINETIX-BRIDGE"/>
    <d v="2018-03-05T10:45:20"/>
    <s v="BN21480758"/>
    <d v="2018-03-05T10:37:09"/>
    <m/>
  </r>
  <r>
    <s v="21480847"/>
    <x v="2"/>
    <s v="Government"/>
    <s v="BONELLO"/>
    <s v="BONY 2785"/>
    <x v="0"/>
    <s v="MORGAN STANLEY CAPITAL SERVICES INC"/>
    <d v="2018-03-05T00:00:00"/>
    <s v="912828V72"/>
    <n v="100000000"/>
    <n v="97.359375"/>
    <d v="2018-03-06T00:00:00"/>
    <s v="Buy"/>
    <s v="Confirmed"/>
    <d v="2018-03-05T10:42:45"/>
    <n v="2.5899165304"/>
    <n v="-97535479.972375691"/>
    <s v="USD"/>
    <s v="T 1.875 01/31/2022"/>
    <x v="1"/>
    <s v="BN21480847"/>
    <s v="M"/>
    <m/>
    <x v="0"/>
    <s v="BONELLO_MFL_FI"/>
    <m/>
    <m/>
    <s v="TC-KINETIX-BRIDGE"/>
    <d v="2018-03-05T10:45:20"/>
    <s v="BN21480847"/>
    <d v="2018-03-05T10:42:40"/>
    <m/>
  </r>
  <r>
    <s v="21480851"/>
    <x v="2"/>
    <s v="Government"/>
    <s v="BONELLO"/>
    <s v="BONY 2785"/>
    <x v="0"/>
    <s v="MORGAN STANLEY CAPITAL SERVICES INC"/>
    <d v="2018-03-05T00:00:00"/>
    <s v="9128284A5"/>
    <n v="78500000"/>
    <n v="99.75"/>
    <d v="2018-03-06T00:00:00"/>
    <s v="Sell"/>
    <s v="Confirmed"/>
    <d v="2018-03-05T10:42:49"/>
    <n v="2.6788620698000001"/>
    <n v="78337347.146739125"/>
    <s v="USD"/>
    <s v="T 2.625 02/28/2023"/>
    <x v="1"/>
    <s v="BN21480851"/>
    <s v="M"/>
    <m/>
    <x v="0"/>
    <s v="BONELLO_MFL_FI"/>
    <m/>
    <m/>
    <s v="TC-KINETIX-BRIDGE"/>
    <d v="2018-03-05T10:45:20"/>
    <s v="BN21480851"/>
    <d v="2018-03-05T10:42:40"/>
    <m/>
  </r>
  <r>
    <s v="21484235"/>
    <x v="2"/>
    <s v="Corporate"/>
    <s v="BAIL_CR"/>
    <s v="CSI 7533G"/>
    <x v="1"/>
    <s v="MORGAN STANLEY CAPITAL SERVICES INC"/>
    <d v="2018-03-05T00:00:00"/>
    <s v="031162CF5"/>
    <n v="5000000"/>
    <n v="100.51300000000001"/>
    <d v="2018-03-07T00:00:00"/>
    <s v="Buy"/>
    <s v="Confirmed"/>
    <d v="2018-03-05T15:03:18"/>
    <n v="4.6322236006999997"/>
    <n v="-5078756.3888888899"/>
    <s v="USD"/>
    <s v="AMGN 4.663 06/15/2051"/>
    <x v="1"/>
    <s v="BN21484235"/>
    <s v="M"/>
    <m/>
    <x v="0"/>
    <s v="BAIL_CR_MFL_FI"/>
    <m/>
    <m/>
    <s v="Ribenincasa"/>
    <d v="2018-03-05T14:02:01"/>
    <s v="BN21484235"/>
    <d v="2018-03-05T15:03:18"/>
    <m/>
  </r>
  <r>
    <s v="21484236"/>
    <x v="2"/>
    <s v="Government"/>
    <s v="BAIL_CR"/>
    <s v="CSI 7533G"/>
    <x v="0"/>
    <s v="MORGAN STANLEY CAPITAL SERVICES INC"/>
    <d v="2018-03-05T00:00:00"/>
    <s v="912810RZ3"/>
    <n v="4600000"/>
    <n v="91.921875"/>
    <d v="2018-03-06T00:00:00"/>
    <s v="Sell"/>
    <s v="Confirmed"/>
    <d v="2018-03-05T15:03:29"/>
    <n v="3.1718498070000001"/>
    <n v="4267194.9240331501"/>
    <s v="USD"/>
    <s v="T 2.75 11/15/2047"/>
    <x v="1"/>
    <s v="BN21484236"/>
    <s v="M"/>
    <m/>
    <x v="0"/>
    <s v="BAIL_CR_MFL_FI"/>
    <m/>
    <m/>
    <s v="Ribenincasa"/>
    <d v="2018-03-05T14:02:01"/>
    <s v="BN21484236"/>
    <d v="2018-03-05T15:03:29"/>
    <m/>
  </r>
  <r>
    <s v="21484557"/>
    <x v="2"/>
    <s v="Corporate"/>
    <s v="NEG_RN2"/>
    <s v="CSI 7533G"/>
    <x v="1"/>
    <s v="MORGAN STANLEY CAPITAL SERVICES INC"/>
    <d v="2018-03-05T00:00:00"/>
    <s v="037411BA2"/>
    <n v="5000000"/>
    <n v="97.686999999999998"/>
    <d v="2018-03-07T00:00:00"/>
    <s v="Buy"/>
    <s v="Confirmed"/>
    <d v="2018-03-05T15:30:49"/>
    <n v="4.9109719878"/>
    <n v="-4978030.5555555606"/>
    <s v="USD"/>
    <s v="APA 4.75 04/15/2043"/>
    <x v="1"/>
    <s v="BN21484557"/>
    <s v="M"/>
    <m/>
    <x v="0"/>
    <s v="NEG_RN2_MFL_FI"/>
    <m/>
    <m/>
    <s v="nrana"/>
    <d v="2018-03-05T15:35:33"/>
    <s v="BN21484557"/>
    <d v="2018-03-05T15:30:49"/>
    <m/>
  </r>
  <r>
    <s v="21484558"/>
    <x v="2"/>
    <s v="Government"/>
    <s v="NEG_RN2"/>
    <s v="CSI 7533G"/>
    <x v="0"/>
    <s v="MORGAN STANLEY CAPITAL SERVICES INC"/>
    <d v="2018-03-05T00:00:00"/>
    <s v="912810RZ3"/>
    <n v="3900000"/>
    <n v="92.125"/>
    <d v="2018-03-06T00:00:00"/>
    <s v="Sell"/>
    <s v="Confirmed"/>
    <d v="2018-03-05T15:31:25"/>
    <n v="3.1606589886999998"/>
    <n v="3625761.0497237602"/>
    <s v="USD"/>
    <s v="T 2.75 11/15/2047"/>
    <x v="1"/>
    <s v="BN21484558"/>
    <s v="M"/>
    <m/>
    <x v="0"/>
    <s v="NEG_RN2_MFL_FI"/>
    <m/>
    <m/>
    <s v="nrana"/>
    <d v="2018-03-05T15:35:33"/>
    <s v="BN21484558"/>
    <d v="2018-03-05T15:31:25"/>
    <m/>
  </r>
  <r>
    <s v="21481256"/>
    <x v="2"/>
    <s v="US ABS"/>
    <s v="AG_TRS"/>
    <s v="CGMI XPBMFI7"/>
    <x v="9"/>
    <s v="MORGAN STANLEY CAPITAL SERVICES INC"/>
    <d v="2018-03-05T00:00:00"/>
    <s v="01F032633"/>
    <n v="34000000"/>
    <n v="99.78125"/>
    <d v="2018-03-13T00:00:00"/>
    <s v="Sell"/>
    <s v="Confirmed"/>
    <d v="2018-03-05T15:06:53"/>
    <n v="3.4990495520999998"/>
    <n v="33925625"/>
    <s v="USD"/>
    <s v="FNCL 3.5 3/18"/>
    <x v="1"/>
    <s v="BN21481256"/>
    <s v="M"/>
    <m/>
    <x v="0"/>
    <s v="AG_TRS_MFL_FI"/>
    <m/>
    <m/>
    <m/>
    <d v="2018-03-05T11:07:18"/>
    <s v="BN21481256"/>
    <d v="2018-03-05T11:06:33"/>
    <m/>
  </r>
  <r>
    <s v="21481255"/>
    <x v="2"/>
    <s v="US ABS"/>
    <s v="AG_TRS"/>
    <s v="CGMI XPBMFI7"/>
    <x v="9"/>
    <s v="MORGAN STANLEY CAPITAL SERVICES INC"/>
    <d v="2018-03-05T00:00:00"/>
    <s v="01F032641"/>
    <n v="34000000"/>
    <n v="99.64453125"/>
    <d v="2018-04-12T00:00:00"/>
    <s v="Buy"/>
    <s v="Confirmed"/>
    <d v="2018-03-05T15:06:53"/>
    <n v="3.5066074230000002"/>
    <n v="-33879140.625"/>
    <s v="USD"/>
    <s v="FNCL 3.5 4/18"/>
    <x v="1"/>
    <s v="BN21481255"/>
    <s v="M"/>
    <m/>
    <x v="0"/>
    <s v="AG_TRS_MFL_FI"/>
    <m/>
    <m/>
    <m/>
    <d v="2018-03-05T11:07:18"/>
    <s v="BN21481255"/>
    <d v="2018-03-05T11:06:33"/>
    <m/>
  </r>
  <r>
    <s v="21481280"/>
    <x v="2"/>
    <s v="US ABS"/>
    <s v="AG_TRS"/>
    <s v="CGMI XPBMFI7"/>
    <x v="9"/>
    <s v="MORGAN STANLEY CAPITAL SERVICES INC"/>
    <d v="2018-03-05T00:00:00"/>
    <s v="01F040644"/>
    <n v="32000000"/>
    <n v="102.21484375"/>
    <d v="2018-04-12T00:00:00"/>
    <s v="Buy"/>
    <s v="Confirmed"/>
    <d v="2018-03-05T15:06:53"/>
    <n v="3.8602583652"/>
    <n v="-32708750"/>
    <s v="USD"/>
    <s v="FNCL 4 4/18"/>
    <x v="1"/>
    <s v="BN21481280"/>
    <s v="M"/>
    <m/>
    <x v="0"/>
    <s v="AG_TRS_MFL_FI"/>
    <m/>
    <m/>
    <m/>
    <d v="2018-03-05T11:16:43"/>
    <s v="BN21481280"/>
    <d v="2018-03-05T11:07:45"/>
    <m/>
  </r>
  <r>
    <s v="21481279"/>
    <x v="2"/>
    <s v="US ABS"/>
    <s v="AG_TRS"/>
    <s v="CGMI XPBMFI7"/>
    <x v="9"/>
    <s v="MORGAN STANLEY CAPITAL SERVICES INC"/>
    <d v="2018-03-05T00:00:00"/>
    <s v="01F040636"/>
    <n v="32000000"/>
    <n v="102.375"/>
    <d v="2018-03-13T00:00:00"/>
    <s v="Sell"/>
    <s v="Confirmed"/>
    <d v="2018-03-05T15:06:53"/>
    <n v="3.8511872904"/>
    <n v="32760000"/>
    <s v="USD"/>
    <s v="FNCL 4 3/18"/>
    <x v="1"/>
    <s v="BN21481279"/>
    <s v="M"/>
    <m/>
    <x v="0"/>
    <s v="AG_TRS_MFL_FI"/>
    <m/>
    <m/>
    <m/>
    <d v="2018-03-05T11:16:43"/>
    <s v="BN21481279"/>
    <d v="2018-03-05T11:07:45"/>
    <m/>
  </r>
  <r>
    <s v="21484465"/>
    <x v="2"/>
    <s v="US ABS"/>
    <s v="AG_JL"/>
    <s v="CGMI XPBMFI7"/>
    <x v="9"/>
    <s v="MORGAN STANLEY CAPITAL SERVICES INC"/>
    <d v="2018-03-05T00:00:00"/>
    <s v="01F032633"/>
    <n v="80000000"/>
    <n v="99.625"/>
    <d v="2018-03-13T00:00:00"/>
    <s v="Sell"/>
    <s v="Confirmed"/>
    <d v="2018-03-05T16:01:57"/>
    <n v="3.5074769336"/>
    <n v="79700000"/>
    <s v="USD"/>
    <s v="FNCL 3.5 3/18"/>
    <x v="1"/>
    <s v="BN21484465"/>
    <s v="M"/>
    <m/>
    <x v="0"/>
    <s v="AG_JL_MFL_FI"/>
    <m/>
    <m/>
    <m/>
    <d v="2018-03-05T15:10:50"/>
    <s v="BN21484465"/>
    <d v="2018-03-05T15:06:21"/>
    <m/>
  </r>
  <r>
    <s v="21484499"/>
    <x v="2"/>
    <s v="US ABS"/>
    <s v="AG_JL"/>
    <s v="CGMI XPBMFI7"/>
    <x v="9"/>
    <s v="MORGAN STANLEY CAPITAL SERVICES INC"/>
    <d v="2018-03-05T00:00:00"/>
    <s v="3138WGSP0"/>
    <n v="99992622"/>
    <n v="99.875"/>
    <d v="2018-03-13T00:00:00"/>
    <s v="Buy"/>
    <s v="Booked"/>
    <d v="2018-03-05T15:20:30"/>
    <n v="3.5070268274999998"/>
    <n v="-80657753.096301302"/>
    <s v="USD"/>
    <s v="FN AS6825"/>
    <x v="2"/>
    <m/>
    <m/>
    <m/>
    <x v="0"/>
    <s v="AG_JL_MFL_FI"/>
    <m/>
    <m/>
    <m/>
    <d v="2018-03-05T15:20:13"/>
    <m/>
    <d v="2018-03-05T15:14:18"/>
    <m/>
  </r>
  <r>
    <s v="21484746"/>
    <x v="2"/>
    <s v="Government"/>
    <s v="BONELLO"/>
    <s v="BONY 2785"/>
    <x v="0"/>
    <s v="NOMURA GLOBAL FINANCIAL PRODUCTS IN"/>
    <d v="2018-03-05T00:00:00"/>
    <s v="9128284A5"/>
    <n v="113900000"/>
    <n v="99.75"/>
    <d v="2018-03-06T00:00:00"/>
    <s v="Sell"/>
    <s v="Confirmed"/>
    <d v="2018-03-05T16:30:23"/>
    <n v="2.6788620698000001"/>
    <n v="113663997.96195653"/>
    <s v="USD"/>
    <s v="T 2.625 02/28/2023"/>
    <x v="1"/>
    <s v="BN21484746"/>
    <s v="M"/>
    <m/>
    <x v="0"/>
    <s v="BONELLO_MFL_FI"/>
    <m/>
    <m/>
    <s v="TC-KINETIX-BRIDGE"/>
    <d v="2018-03-05T16:41:55"/>
    <s v="BN21484746"/>
    <d v="2018-03-05T16:30:10"/>
    <m/>
  </r>
  <r>
    <s v="21484747"/>
    <x v="2"/>
    <s v="Government"/>
    <s v="BONELLO"/>
    <s v="BONY 2785"/>
    <x v="0"/>
    <s v="NOMURA GLOBAL FINANCIAL PRODUCTS IN"/>
    <d v="2018-03-05T00:00:00"/>
    <s v="912828V72"/>
    <n v="145000000"/>
    <n v="97.359375"/>
    <d v="2018-03-06T00:00:00"/>
    <s v="Buy"/>
    <s v="Confirmed"/>
    <d v="2018-03-05T16:30:24"/>
    <n v="2.5899165304"/>
    <n v="-141426445.95994475"/>
    <s v="USD"/>
    <s v="T 1.875 01/31/2022"/>
    <x v="1"/>
    <s v="BN21484747"/>
    <s v="M"/>
    <m/>
    <x v="0"/>
    <s v="BONELLO_MFL_FI"/>
    <m/>
    <m/>
    <s v="TC-KINETIX-BRIDGE"/>
    <d v="2018-03-05T16:41:55"/>
    <s v="BN21484747"/>
    <d v="2018-03-05T16:30:10"/>
    <m/>
  </r>
  <r>
    <s v="21484763"/>
    <x v="2"/>
    <s v="Government"/>
    <s v="BONELLO"/>
    <s v="BONY 2785"/>
    <x v="0"/>
    <s v="NOMURA GLOBAL FINANCIAL PRODUCTS IN"/>
    <d v="2018-03-05T00:00:00"/>
    <s v="912828V72"/>
    <n v="55000000"/>
    <n v="97.375"/>
    <d v="2018-03-06T00:00:00"/>
    <s v="Buy"/>
    <s v="Confirmed"/>
    <d v="2018-03-05T16:38:35"/>
    <n v="2.5856197504999998"/>
    <n v="-53653107.734806627"/>
    <s v="USD"/>
    <s v="T 1.875 01/31/2022"/>
    <x v="1"/>
    <s v="BN21484763"/>
    <s v="M"/>
    <m/>
    <x v="0"/>
    <s v="BONELLO_MFL_FI"/>
    <m/>
    <m/>
    <s v="TC-KINETIX-BRIDGE"/>
    <d v="2018-03-05T16:41:55"/>
    <s v="BN21484763"/>
    <d v="2018-03-05T16:38:31"/>
    <m/>
  </r>
  <r>
    <s v="21484764"/>
    <x v="2"/>
    <s v="Government"/>
    <s v="BONELLO"/>
    <s v="BONY 2785"/>
    <x v="0"/>
    <s v="NOMURA GLOBAL FINANCIAL PRODUCTS IN"/>
    <d v="2018-03-05T00:00:00"/>
    <s v="9128284A5"/>
    <n v="43200000"/>
    <n v="99.75"/>
    <d v="2018-03-06T00:00:00"/>
    <s v="Sell"/>
    <s v="Confirmed"/>
    <d v="2018-03-05T16:38:39"/>
    <n v="2.6788620698000001"/>
    <n v="43110489.130434781"/>
    <s v="USD"/>
    <s v="T 2.625 02/28/2023"/>
    <x v="1"/>
    <s v="BN21484764"/>
    <s v="M"/>
    <m/>
    <x v="0"/>
    <s v="BONELLO_MFL_FI"/>
    <m/>
    <m/>
    <s v="TC-KINETIX-BRIDGE"/>
    <d v="2018-03-05T16:41:55"/>
    <s v="BN21484764"/>
    <d v="2018-03-05T16:38:32"/>
    <m/>
  </r>
  <r>
    <s v="21476720"/>
    <x v="2"/>
    <s v="Government"/>
    <s v="ZARKHIN"/>
    <s v="BONY 2785"/>
    <x v="0"/>
    <s v="NOMURA INTL PLC"/>
    <d v="2018-03-05T00:00:00"/>
    <s v="9128283V0"/>
    <n v="87100000"/>
    <n v="97.96484375"/>
    <d v="2018-03-06T00:00:00"/>
    <s v="Sell"/>
    <s v="Confirmed"/>
    <d v="2018-03-05T09:46:53"/>
    <n v="2.8262412460999999"/>
    <n v="85531895.480835631"/>
    <s v="USD"/>
    <s v="T 2.5 01/31/2025"/>
    <x v="1"/>
    <s v="BN21476720"/>
    <s v="M"/>
    <m/>
    <x v="0"/>
    <s v="ZARKHIN_MFL_FI"/>
    <m/>
    <m/>
    <s v="acohn"/>
    <d v="2018-03-05T09:49:21"/>
    <s v="BN21476720"/>
    <d v="2018-03-05T09:46:53"/>
    <m/>
  </r>
  <r>
    <s v="21476719"/>
    <x v="2"/>
    <s v="Government"/>
    <s v="ZARKHIN"/>
    <s v="BONY 2785"/>
    <x v="0"/>
    <s v="NOMURA INTL PLC"/>
    <d v="2018-03-05T00:00:00"/>
    <s v="912828W48"/>
    <n v="100000000"/>
    <n v="96.453125"/>
    <d v="2018-03-06T00:00:00"/>
    <s v="Buy"/>
    <s v="Confirmed"/>
    <d v="2018-03-05T09:46:53"/>
    <n v="2.7723283211999998"/>
    <n v="-96487771.739130452"/>
    <s v="USD"/>
    <s v="T 2.125 02/29/2024"/>
    <x v="1"/>
    <s v="BN21476719"/>
    <s v="M"/>
    <m/>
    <x v="0"/>
    <s v="ZARKHIN_MFL_FI"/>
    <m/>
    <m/>
    <s v="acohn"/>
    <d v="2018-03-05T09:49:21"/>
    <s v="BN21476719"/>
    <d v="2018-03-05T09:46:53"/>
    <m/>
  </r>
  <r>
    <s v="21476788"/>
    <x v="2"/>
    <s v="Government"/>
    <s v="NEG_BM"/>
    <s v="CSI 7533G"/>
    <x v="0"/>
    <s v="NOMURA INTL PLC"/>
    <d v="2018-03-05T00:00:00"/>
    <s v="9128283W8"/>
    <n v="1300000"/>
    <n v="99.1953125"/>
    <d v="2018-03-06T00:00:00"/>
    <s v="Sell"/>
    <s v="Confirmed"/>
    <d v="2018-03-05T09:54:14"/>
    <n v="2.8433360745999998"/>
    <n v="1291415.4437154701"/>
    <s v="USD"/>
    <s v="T 2.75 02/15/2028"/>
    <x v="1"/>
    <s v="BN21476788"/>
    <s v="M"/>
    <m/>
    <x v="0"/>
    <s v="NEG_BM_MFL_FI"/>
    <m/>
    <m/>
    <s v="bmaggio"/>
    <d v="2018-03-05T09:58:35"/>
    <s v="BN21476788"/>
    <d v="2018-03-05T09:54:14"/>
    <m/>
  </r>
  <r>
    <s v="21477236"/>
    <x v="2"/>
    <s v="Corporate"/>
    <s v="NET_HY"/>
    <s v="BCSL 500955"/>
    <x v="8"/>
    <s v="NOMURA INTL PLC"/>
    <d v="2018-03-05T00:00:00"/>
    <s v="XS1439749364"/>
    <n v="2000000"/>
    <n v="78.375"/>
    <d v="2018-03-07T00:00:00"/>
    <s v="Buy"/>
    <s v="Confirmed"/>
    <d v="2018-03-05T10:21:53"/>
    <n v="4.1909284553999999"/>
    <n v="-1580232.8767123299"/>
    <s v="EUR"/>
    <s v="TEVA 1.625 10/15/2028"/>
    <x v="1"/>
    <s v="BN21477236"/>
    <s v="M"/>
    <m/>
    <x v="0"/>
    <s v="NET_HY_MFL_FI"/>
    <m/>
    <m/>
    <s v="TC-KINETIX-BRIDGE"/>
    <d v="2018-03-05T10:26:39"/>
    <s v="BN21477236"/>
    <d v="2018-03-05T10:21:48"/>
    <m/>
  </r>
  <r>
    <s v="21481466"/>
    <x v="2"/>
    <s v="Government"/>
    <s v="NET_MACR"/>
    <s v="BONY 2785"/>
    <x v="0"/>
    <s v="NOMURA INTL PLC"/>
    <d v="2018-03-05T00:00:00"/>
    <s v="9128283W8"/>
    <n v="12000000"/>
    <n v="98.96875"/>
    <d v="2018-03-06T00:00:00"/>
    <s v="Sell"/>
    <s v="Confirmed"/>
    <d v="2018-03-05T11:26:01"/>
    <n v="2.8697998404999998"/>
    <n v="11893570.441988951"/>
    <s v="USD"/>
    <s v="T 2.75 02/15/2028"/>
    <x v="1"/>
    <s v="BN21481466"/>
    <s v="M"/>
    <m/>
    <x v="0"/>
    <s v="NET_MACR_MFL_FI"/>
    <m/>
    <m/>
    <s v="TC-KINETIX-BRIDGE"/>
    <d v="2018-03-05T11:31:51"/>
    <s v="BN21481466"/>
    <d v="2018-03-05T11:25:57"/>
    <m/>
  </r>
  <r>
    <s v="21484257"/>
    <x v="2"/>
    <s v="Government"/>
    <s v="NET_MACR"/>
    <s v="BONY 2785"/>
    <x v="0"/>
    <s v="NOMURA INTL PLC"/>
    <d v="2018-03-05T00:00:00"/>
    <s v="9128283W8"/>
    <n v="2000000"/>
    <n v="98.78125"/>
    <d v="2018-03-06T00:00:00"/>
    <s v="Sell"/>
    <s v="Confirmed"/>
    <d v="2018-03-05T13:57:13"/>
    <n v="2.8917532010999998"/>
    <n v="1978511.7403314901"/>
    <s v="USD"/>
    <s v="T 2.75 02/15/2028"/>
    <x v="1"/>
    <s v="BN21484257"/>
    <s v="M"/>
    <m/>
    <x v="0"/>
    <s v="NET_MACR_MFL_FI"/>
    <m/>
    <m/>
    <s v="TC-KINETIX-BRIDGE"/>
    <d v="2018-03-05T14:02:01"/>
    <s v="BN21484257"/>
    <d v="2018-03-05T13:57:09"/>
    <m/>
  </r>
  <r>
    <s v="21484146"/>
    <x v="1"/>
    <s v="Government"/>
    <s v="BAIL_AD"/>
    <s v="CSI 7533G"/>
    <x v="0"/>
    <s v="PIERPONT SECURITIES LLC"/>
    <d v="2018-03-05T00:00:00"/>
    <s v="9128284A5"/>
    <n v="10000000"/>
    <n v="99.890625"/>
    <d v="2018-03-06T00:00:00"/>
    <s v="Buy"/>
    <s v="Booked"/>
    <d v="2018-03-05T14:10:25"/>
    <n v="2.6485130385"/>
    <n v="-9993342.3913043495"/>
    <s v="USD"/>
    <s v="T 2.625 02/28/2023"/>
    <x v="0"/>
    <m/>
    <m/>
    <m/>
    <x v="0"/>
    <s v="BAIL_AD_MFL_FI"/>
    <m/>
    <s v="MLP SYSTEM ISSUE – Confirmed over email with Ted Hughes"/>
    <s v="VEN_SKULKARNI"/>
    <d v="2018-03-05T13:35:46"/>
    <m/>
    <d v="2018-03-05T14:10:25"/>
    <m/>
  </r>
  <r>
    <s v="21473982"/>
    <x v="2"/>
    <s v="Government"/>
    <s v="CAM_CRD"/>
    <s v="CGMI XPBMFI6"/>
    <x v="19"/>
    <s v="ROYAL BANK OF SCOTLAND PLC"/>
    <d v="2018-03-05T00:00:00"/>
    <s v="GB00BBJNQY21"/>
    <n v="500000"/>
    <n v="162.82499999999999"/>
    <d v="2018-03-06T00:00:00"/>
    <s v="Buy"/>
    <s v="Confirmed"/>
    <d v="2018-03-05T05:58:23"/>
    <n v="1.6562868956000001"/>
    <n v="-816203.72928176995"/>
    <s v="GBP"/>
    <s v="UKT 3.5 07/22/2068"/>
    <x v="1"/>
    <s v="BN21473982"/>
    <s v="M"/>
    <m/>
    <x v="0"/>
    <s v="CAM_CRD_MFL_FI"/>
    <m/>
    <m/>
    <s v="TC-KINETIX-BRIDGE"/>
    <d v="2018-03-05T06:08:07"/>
    <s v="BN21473982"/>
    <d v="2018-03-05T05:58:16"/>
    <m/>
  </r>
  <r>
    <s v="21481128"/>
    <x v="2"/>
    <s v="Corporate"/>
    <s v="BAIL_JG"/>
    <s v="BCSL 500955"/>
    <x v="25"/>
    <s v="ROYAL BANK OF SCOTLAND PLC"/>
    <d v="2018-03-05T00:00:00"/>
    <s v="XS1598243142"/>
    <n v="1000000"/>
    <n v="103.125"/>
    <d v="2018-03-07T00:00:00"/>
    <s v="Buy"/>
    <s v="Confirmed"/>
    <d v="2018-03-05T10:59:02"/>
    <n v="2.6945652246999998"/>
    <n v="-1042715.27777778"/>
    <s v="EUR"/>
    <s v="ANTOLN 3.25 04/30/2024 S"/>
    <x v="1"/>
    <s v="BN21481128"/>
    <s v="M"/>
    <m/>
    <x v="0"/>
    <s v="BAIL_JG_MFL_FI"/>
    <m/>
    <m/>
    <s v="TC-KINETIX-BRIDGE"/>
    <d v="2018-03-05T11:04:03"/>
    <s v="BN21481128"/>
    <d v="2018-03-05T10:58:56"/>
    <m/>
  </r>
  <r>
    <s v="21476974"/>
    <x v="2"/>
    <s v="Corporate"/>
    <s v="FALSETTA"/>
    <s v="CSI 7533G"/>
    <x v="14"/>
    <s v="ROYAL BK CDA"/>
    <d v="2018-03-05T00:00:00"/>
    <s v="947075AN7"/>
    <n v="2000000"/>
    <n v="96.75"/>
    <d v="2018-03-07T00:00:00"/>
    <s v="Buy"/>
    <s v="Confirmed"/>
    <d v="2018-03-05T10:08:04"/>
    <n v="10.6237115378"/>
    <n v="-1947069.4444444401"/>
    <s v="USD"/>
    <s v="WFT 9.875 02/15/2024"/>
    <x v="1"/>
    <s v="BN21476974"/>
    <s v="M"/>
    <m/>
    <x v="0"/>
    <s v="FALSETTA_MFL_CB"/>
    <m/>
    <m/>
    <s v="JMAGNESS"/>
    <d v="2018-03-05T10:17:23"/>
    <s v="BN21476974"/>
    <d v="2018-03-05T10:07:59"/>
    <m/>
  </r>
  <r>
    <s v="21484293"/>
    <x v="1"/>
    <s v="US ABS"/>
    <s v="AG_CP"/>
    <s v="CGMI XPBMFI7"/>
    <x v="9"/>
    <s v="ROYAL BK CDA"/>
    <d v="2018-03-05T00:00:00"/>
    <s v="01F030637"/>
    <n v="13000000"/>
    <n v="96.62890625"/>
    <d v="2018-03-13T00:00:00"/>
    <s v="Sell"/>
    <s v="Booked"/>
    <d v="2018-03-05T16:19:22"/>
    <n v="3.1636679019999998"/>
    <n v="12561757.8125"/>
    <s v="USD"/>
    <s v="FNCL 3 3/18"/>
    <x v="0"/>
    <m/>
    <m/>
    <m/>
    <x v="0"/>
    <s v="AG_CP_MFL_FI"/>
    <m/>
    <s v="MLP SYSTEM ISSUE – Confirmed over email with Alfred, Nigel "/>
    <s v="VEN_SKULKARNI"/>
    <d v="2018-03-05T14:07:20"/>
    <m/>
    <d v="2018-03-05T14:06:15"/>
    <m/>
  </r>
  <r>
    <s v="21486939"/>
    <x v="2"/>
    <s v="Government"/>
    <s v="SYM_SA"/>
    <s v="BCSL 500955"/>
    <x v="4"/>
    <s v="SOCIETE GENERALE"/>
    <d v="2018-03-05T00:00:00"/>
    <s v="DE0001104701"/>
    <n v="18000000"/>
    <n v="101.13209999999999"/>
    <d v="2018-03-07T00:00:00"/>
    <s v="Sell"/>
    <s v="Confirmed"/>
    <d v="2018-03-06T04:50:22"/>
    <n v="-0.63404177859999999"/>
    <n v="18203778"/>
    <s v="EUR"/>
    <s v="BKO 0 12/13/2019"/>
    <x v="1"/>
    <s v="BN21486939"/>
    <s v="M"/>
    <m/>
    <x v="0"/>
    <s v="SYM_SA_MFL_FI"/>
    <m/>
    <m/>
    <s v="TC-KINETIX-BRIDGE"/>
    <d v="2018-03-06T04:52:01"/>
    <s v="BN21486939"/>
    <d v="2018-03-06T04:50:18"/>
    <m/>
  </r>
  <r>
    <s v="21481662"/>
    <x v="2"/>
    <s v="Government"/>
    <s v="AITSAID"/>
    <s v="BCSL 500955"/>
    <x v="4"/>
    <s v="SOCIETE GENERALE"/>
    <d v="2018-03-05T00:00:00"/>
    <s v="DE0001135499"/>
    <n v="50000000"/>
    <n v="107.425"/>
    <d v="2018-03-07T00:00:00"/>
    <s v="Sell"/>
    <s v="Pending"/>
    <d v="2018-03-05T12:41:28"/>
    <n v="-0.1448786014"/>
    <n v="54090582.19178082"/>
    <s v="EUR"/>
    <s v="DBR 1.5 09/04/2022"/>
    <x v="0"/>
    <s v="BN21481662"/>
    <s v="CAND"/>
    <m/>
    <x v="0"/>
    <s v="AITSAID_MFL_FI"/>
    <m/>
    <s v="INTERNAL AMEND – Trade is already confirmed with CP but MLP cancel corrects for some reason; no economic change, confirmed with  Hall, Harrison "/>
    <s v="VEN_SKULKARNI"/>
    <d v="2018-03-05T11:50:27"/>
    <s v="BN21481662"/>
    <d v="2018-03-05T12:41:28"/>
    <m/>
  </r>
  <r>
    <s v="21481650"/>
    <x v="2"/>
    <s v="Government"/>
    <s v="AITSAID"/>
    <s v="BCSL 500955"/>
    <x v="4"/>
    <s v="SOCIETE GENERALE"/>
    <d v="2018-03-05T00:00:00"/>
    <s v="DE0001135499"/>
    <n v="50000000"/>
    <n v="107.425"/>
    <d v="2018-03-07T00:00:00"/>
    <s v="Sell"/>
    <s v="Pending"/>
    <d v="2018-03-05T12:41:59"/>
    <n v="-0.1448786014"/>
    <n v="54090582.19178082"/>
    <s v="EUR"/>
    <s v="DBR 1.5 09/04/2022"/>
    <x v="0"/>
    <s v="BN21481650"/>
    <s v="CAND"/>
    <m/>
    <x v="0"/>
    <s v="AITSAID_MFL_FI"/>
    <m/>
    <s v="INTERNAL AMEND – Trade is already confirmed with CP but MLP cancel corrects for some reason; no economic change, confirmed with Hall, Harrison "/>
    <s v="VEN_SKULKARNI"/>
    <d v="2018-03-05T11:50:27"/>
    <s v="BN21481650"/>
    <d v="2018-03-05T12:41:59"/>
    <m/>
  </r>
  <r>
    <s v="21481655"/>
    <x v="2"/>
    <s v="Government"/>
    <s v="AITSAID"/>
    <s v="BCSL 500955"/>
    <x v="4"/>
    <s v="SOCIETE GENERALE"/>
    <d v="2018-03-05T00:00:00"/>
    <s v="DE0001135499"/>
    <n v="50000000"/>
    <n v="107.425"/>
    <d v="2018-03-07T00:00:00"/>
    <s v="Sell"/>
    <s v="Pending"/>
    <d v="2018-03-05T12:42:00"/>
    <n v="-0.1448786014"/>
    <n v="54090582.19178082"/>
    <s v="EUR"/>
    <s v="DBR 1.5 09/04/2022"/>
    <x v="0"/>
    <s v="BN21481655"/>
    <s v="CAND"/>
    <m/>
    <x v="0"/>
    <s v="AITSAID_MFL_FI"/>
    <m/>
    <s v="INTERNAL AMEND – Trade is already confirmed with CP but MLP cancel corrects for some reason; no economic change, confirmed with Hall, Harrison "/>
    <s v="VEN_SKULKARNI"/>
    <d v="2018-03-05T11:50:27"/>
    <s v="BN21481655"/>
    <d v="2018-03-05T12:42:00"/>
    <m/>
  </r>
  <r>
    <s v="21484420"/>
    <x v="2"/>
    <s v="Government"/>
    <s v="ASIR_TR"/>
    <s v="CSI 7533G"/>
    <x v="0"/>
    <s v="SOCIETE GENERALE"/>
    <d v="2018-03-05T00:00:00"/>
    <s v="912810SA7"/>
    <n v="4550000"/>
    <n v="97.1015625"/>
    <d v="2018-03-06T00:00:00"/>
    <s v="Buy"/>
    <s v="Booked"/>
    <d v="2018-03-05T17:48:28"/>
    <n v="3.1501601561000001"/>
    <n v="-4425285.4583908804"/>
    <s v="USD"/>
    <s v="T 3 02/15/2048"/>
    <x v="0"/>
    <m/>
    <m/>
    <m/>
    <x v="0"/>
    <s v="ASIR_TR_MFL_FI"/>
    <m/>
    <s v="BROKER BOOKING ISSUE (AESIR) - Confirmed over email with Frank Vizzielli"/>
    <s v="VEN_SKULKARNI"/>
    <d v="2018-03-05T15:07:20"/>
    <m/>
    <d v="2018-03-05T17:48:28"/>
    <m/>
  </r>
  <r>
    <s v="21476322"/>
    <x v="0"/>
    <s v="Government"/>
    <s v="NET_HY"/>
    <s v="CSI 7533G"/>
    <x v="0"/>
    <s v="STATE STREET BANK &amp; TRST"/>
    <d v="2018-03-05T00:00:00"/>
    <s v="9128283W8"/>
    <n v="7400000"/>
    <n v="99.320312000000001"/>
    <d v="2018-03-06T00:00:00"/>
    <s v="Buy"/>
    <s v="Booked"/>
    <d v="2018-03-05T11:10:19"/>
    <n v="2.8287649275"/>
    <n v="-7360384.0272265198"/>
    <s v="USD"/>
    <s v="T 2.75 02/15/2028"/>
    <x v="0"/>
    <m/>
    <m/>
    <m/>
    <x v="0"/>
    <s v="NET_HY_MFL_FI"/>
    <m/>
    <s v="NO PLATFORM - Confirmed over email with Chris McArdle"/>
    <s v="VEN_SKULKARNI"/>
    <m/>
    <m/>
    <d v="2018-03-05T11:10:19"/>
    <m/>
  </r>
  <r>
    <s v="21476320"/>
    <x v="0"/>
    <s v="Corporate"/>
    <s v="NET_HY"/>
    <s v="CSI 7533G"/>
    <x v="1"/>
    <s v="STATE STREET BANK &amp; TRST"/>
    <d v="2018-03-05T00:00:00"/>
    <s v="25468PDV5"/>
    <n v="8217000"/>
    <n v="96.103999999999999"/>
    <d v="2018-03-07T00:00:00"/>
    <s v="Sell"/>
    <s v="Booked"/>
    <d v="2018-03-05T11:10:20"/>
    <n v="3.4440147944000001"/>
    <n v="7952079.3550000004"/>
    <s v="USD"/>
    <s v="DIS 2.95 06/15/2027 MTN"/>
    <x v="0"/>
    <m/>
    <m/>
    <m/>
    <x v="0"/>
    <s v="NET_HY_MFL_FI"/>
    <m/>
    <s v="NO PLATFORM - Confirmed over email with Chris McArdle"/>
    <s v="VEN_SKULKARNI"/>
    <m/>
    <m/>
    <d v="2018-03-05T11:10:20"/>
    <m/>
  </r>
  <r>
    <s v="21480979"/>
    <x v="0"/>
    <s v="Corporate"/>
    <s v="LOMBARDO"/>
    <s v="CSI 7533G"/>
    <x v="1"/>
    <s v="STATE STREET BANK &amp; TRST"/>
    <d v="2018-03-05T00:00:00"/>
    <s v="12543DAY6"/>
    <n v="2000000"/>
    <n v="89.5625"/>
    <d v="2018-03-07T00:00:00"/>
    <s v="Sell"/>
    <s v="Booked"/>
    <d v="2018-03-05T11:10:21"/>
    <n v="8.8441469086000009"/>
    <n v="1845763.8888888902"/>
    <s v="USD"/>
    <s v="CYH 6.25 03/31/2023"/>
    <x v="0"/>
    <m/>
    <m/>
    <m/>
    <x v="0"/>
    <s v="LOMBARDO_MFL_FI"/>
    <m/>
    <s v="NO PLATFORM - Confirmed over email with Chris McArdle"/>
    <s v="VEN_SKULKARNI"/>
    <m/>
    <m/>
    <d v="2018-03-05T11:10:21"/>
    <m/>
  </r>
  <r>
    <s v="21484337"/>
    <x v="0"/>
    <s v="Corporate"/>
    <s v="NEG_MG"/>
    <s v="CSI 7533G"/>
    <x v="1"/>
    <s v="STATE STREET BANK &amp; TRST"/>
    <d v="2018-03-05T00:00:00"/>
    <s v="92343VCX0"/>
    <n v="3605000"/>
    <n v="93.46"/>
    <d v="2018-03-07T00:00:00"/>
    <s v="Sell"/>
    <s v="Booked"/>
    <d v="2018-03-05T15:55:23"/>
    <n v="4.9390136515999998"/>
    <n v="3447119.4255555598"/>
    <s v="USD"/>
    <s v="VZ 4.522 09/15/2048"/>
    <x v="0"/>
    <m/>
    <m/>
    <m/>
    <x v="0"/>
    <s v="NEG_MG_MFL_FI"/>
    <m/>
    <s v="NO PLATFORM - Confirmed over email with Chris McArdle"/>
    <s v="VEN_SKULKARNI"/>
    <m/>
    <m/>
    <d v="2018-03-05T15:55:23"/>
    <m/>
  </r>
  <r>
    <s v="21484404"/>
    <x v="0"/>
    <s v="Government"/>
    <s v="NEG_MG"/>
    <s v="CSI 7533G"/>
    <x v="0"/>
    <s v="STATE STREET BANK &amp; TRST"/>
    <d v="2018-03-05T00:00:00"/>
    <s v="912810RZ3"/>
    <n v="3100000"/>
    <n v="91.96875"/>
    <d v="2018-03-06T00:00:00"/>
    <s v="Buy"/>
    <s v="Booked"/>
    <d v="2018-03-05T15:55:24"/>
    <n v="3.1692644617000001"/>
    <n v="-2877171.44337017"/>
    <s v="USD"/>
    <s v="T 2.75 11/15/2047"/>
    <x v="0"/>
    <m/>
    <m/>
    <m/>
    <x v="0"/>
    <s v="NEG_MG_MFL_FI"/>
    <m/>
    <s v="NO PLATFORM - Confirmed over email with Chris McArdle"/>
    <s v="VEN_SKULKARNI"/>
    <m/>
    <m/>
    <d v="2018-03-05T15:55:24"/>
    <m/>
  </r>
  <r>
    <s v="21476029"/>
    <x v="0"/>
    <s v="Government"/>
    <s v="BONELLO"/>
    <s v="BONY 2785"/>
    <x v="0"/>
    <s v="STATE STREET BANK &amp; TRST"/>
    <d v="2018-03-05T00:00:00"/>
    <s v="9128283Y4"/>
    <n v="1000000"/>
    <n v="100.0625"/>
    <d v="2018-03-06T00:00:00"/>
    <s v="Buy"/>
    <s v="Booked"/>
    <d v="2018-03-05T17:14:28"/>
    <n v="2.2175195864999999"/>
    <n v="-1000991.8478260899"/>
    <s v="USD"/>
    <s v="T 2.25 02/29/2020"/>
    <x v="0"/>
    <m/>
    <m/>
    <m/>
    <x v="0"/>
    <s v="BONELLO_MFL_FI"/>
    <m/>
    <s v="NO PLATFORM - Match vs Confirmed _x000a_"/>
    <s v="VEN_SKULKARNI"/>
    <m/>
    <m/>
    <d v="2018-03-05T17:14:28"/>
    <m/>
  </r>
  <r>
    <s v="21476028"/>
    <x v="0"/>
    <s v="Government"/>
    <s v="BONELLO"/>
    <s v="BONY 2785"/>
    <x v="0"/>
    <s v="STATE STREET BANK &amp; TRST"/>
    <d v="2018-03-05T00:00:00"/>
    <s v="9128283Y4"/>
    <n v="2000000"/>
    <n v="100.0625"/>
    <d v="2018-03-06T00:00:00"/>
    <s v="Buy"/>
    <s v="Booked"/>
    <d v="2018-03-05T17:14:28"/>
    <n v="2.2175195864999999"/>
    <n v="-2001983.6956521699"/>
    <s v="USD"/>
    <s v="T 2.25 02/29/2020"/>
    <x v="0"/>
    <m/>
    <m/>
    <m/>
    <x v="0"/>
    <s v="BONELLO_MFL_FI"/>
    <m/>
    <s v="NO PLATFORM - Match vs Confirmed _x000a_"/>
    <s v="VEN_SKULKARNI"/>
    <m/>
    <m/>
    <d v="2018-03-05T17:14:28"/>
    <m/>
  </r>
  <r>
    <s v="21476027"/>
    <x v="0"/>
    <s v="Government"/>
    <s v="BONELLO"/>
    <s v="BONY 2785"/>
    <x v="0"/>
    <s v="STATE STREET BANK &amp; TRST"/>
    <d v="2018-03-05T00:00:00"/>
    <s v="9128283Y4"/>
    <n v="1000000"/>
    <n v="100.0625"/>
    <d v="2018-03-06T00:00:00"/>
    <s v="Buy"/>
    <s v="Booked"/>
    <d v="2018-03-05T17:14:28"/>
    <n v="2.2175195864999999"/>
    <n v="-1000991.8478260899"/>
    <s v="USD"/>
    <s v="T 2.25 02/29/2020"/>
    <x v="0"/>
    <m/>
    <m/>
    <m/>
    <x v="0"/>
    <s v="BONELLO_MFL_FI"/>
    <m/>
    <s v="NO PLATFORM - Match vs Confirmed _x000a_"/>
    <s v="VEN_SKULKARNI"/>
    <m/>
    <m/>
    <d v="2018-03-05T17:14:28"/>
    <m/>
  </r>
  <r>
    <s v="21476026"/>
    <x v="0"/>
    <s v="Government"/>
    <s v="BONELLO"/>
    <s v="BONY 2785"/>
    <x v="0"/>
    <s v="STATE STREET BANK &amp; TRST"/>
    <d v="2018-03-05T00:00:00"/>
    <s v="9128283Y4"/>
    <n v="2000000"/>
    <n v="100.0625"/>
    <d v="2018-03-06T00:00:00"/>
    <s v="Buy"/>
    <s v="Booked"/>
    <d v="2018-03-05T17:14:28"/>
    <n v="2.2175195864999999"/>
    <n v="-2001983.6956521699"/>
    <s v="USD"/>
    <s v="T 2.25 02/29/2020"/>
    <x v="0"/>
    <m/>
    <m/>
    <m/>
    <x v="0"/>
    <s v="BONELLO_MFL_FI"/>
    <m/>
    <s v="NO PLATFORM - Match vs Confirmed _x000a_"/>
    <s v="VEN_SKULKARNI"/>
    <m/>
    <m/>
    <d v="2018-03-05T17:14:28"/>
    <m/>
  </r>
  <r>
    <s v="21476025"/>
    <x v="0"/>
    <s v="Government"/>
    <s v="BONELLO"/>
    <s v="BONY 2785"/>
    <x v="0"/>
    <s v="STATE STREET BANK &amp; TRST"/>
    <d v="2018-03-05T00:00:00"/>
    <s v="9128283Y4"/>
    <n v="1000000"/>
    <n v="100.0625"/>
    <d v="2018-03-06T00:00:00"/>
    <s v="Buy"/>
    <s v="Booked"/>
    <d v="2018-03-05T17:14:28"/>
    <n v="2.2175195864999999"/>
    <n v="-1000991.8478260899"/>
    <s v="USD"/>
    <s v="T 2.25 02/29/2020"/>
    <x v="0"/>
    <m/>
    <m/>
    <m/>
    <x v="0"/>
    <s v="BONELLO_MFL_FI"/>
    <m/>
    <s v="NO PLATFORM - Match vs Confirmed _x000a_"/>
    <s v="VEN_SKULKARNI"/>
    <m/>
    <m/>
    <d v="2018-03-05T17:14:28"/>
    <m/>
  </r>
  <r>
    <s v="21476024"/>
    <x v="0"/>
    <s v="Government"/>
    <s v="BONELLO"/>
    <s v="BONY 2785"/>
    <x v="0"/>
    <s v="STATE STREET BANK &amp; TRST"/>
    <d v="2018-03-05T00:00:00"/>
    <s v="9128283Y4"/>
    <n v="1000000"/>
    <n v="100.0625"/>
    <d v="2018-03-06T00:00:00"/>
    <s v="Buy"/>
    <s v="Booked"/>
    <d v="2018-03-05T17:14:28"/>
    <n v="2.2175195864999999"/>
    <n v="-1000991.8478260899"/>
    <s v="USD"/>
    <s v="T 2.25 02/29/2020"/>
    <x v="0"/>
    <m/>
    <m/>
    <m/>
    <x v="0"/>
    <s v="BONELLO_MFL_FI"/>
    <m/>
    <s v="NO PLATFORM - Match vs Confirmed _x000a_"/>
    <s v="VEN_SKULKARNI"/>
    <m/>
    <m/>
    <d v="2018-03-05T17:14:28"/>
    <m/>
  </r>
  <r>
    <s v="21476023"/>
    <x v="0"/>
    <s v="Government"/>
    <s v="BONELLO"/>
    <s v="BONY 2785"/>
    <x v="0"/>
    <s v="STATE STREET BANK &amp; TRST"/>
    <d v="2018-03-05T00:00:00"/>
    <s v="9128283Y4"/>
    <n v="1000000"/>
    <n v="100.0625"/>
    <d v="2018-03-06T00:00:00"/>
    <s v="Buy"/>
    <s v="Booked"/>
    <d v="2018-03-05T17:14:29"/>
    <n v="2.2175195864999999"/>
    <n v="-1000991.8478260899"/>
    <s v="USD"/>
    <s v="T 2.25 02/29/2020"/>
    <x v="0"/>
    <m/>
    <m/>
    <m/>
    <x v="0"/>
    <s v="BONELLO_MFL_FI"/>
    <m/>
    <s v="NO PLATFORM - Match vs Confirmed _x000a_"/>
    <s v="VEN_SKULKARNI"/>
    <m/>
    <m/>
    <d v="2018-03-05T17:14:29"/>
    <m/>
  </r>
  <r>
    <s v="21476022"/>
    <x v="0"/>
    <s v="Government"/>
    <s v="BONELLO"/>
    <s v="BONY 2785"/>
    <x v="0"/>
    <s v="STATE STREET BANK &amp; TRST"/>
    <d v="2018-03-05T00:00:00"/>
    <s v="9128283Y4"/>
    <n v="1000000"/>
    <n v="100.0625"/>
    <d v="2018-03-06T00:00:00"/>
    <s v="Buy"/>
    <s v="Booked"/>
    <d v="2018-03-05T17:14:29"/>
    <n v="2.2175195864999999"/>
    <n v="-1000991.8478260899"/>
    <s v="USD"/>
    <s v="T 2.25 02/29/2020"/>
    <x v="0"/>
    <m/>
    <m/>
    <m/>
    <x v="0"/>
    <s v="BONELLO_MFL_FI"/>
    <m/>
    <s v="NO PLATFORM - Match vs Confirmed _x000a_"/>
    <s v="VEN_SKULKARNI"/>
    <m/>
    <m/>
    <d v="2018-03-05T17:14:29"/>
    <m/>
  </r>
  <r>
    <s v="21476021"/>
    <x v="0"/>
    <s v="Government"/>
    <s v="BONELLO"/>
    <s v="BONY 2785"/>
    <x v="0"/>
    <s v="STATE STREET BANK &amp; TRST"/>
    <d v="2018-03-05T00:00:00"/>
    <s v="9128283Y4"/>
    <n v="1000000"/>
    <n v="100.0625"/>
    <d v="2018-03-06T00:00:00"/>
    <s v="Buy"/>
    <s v="Booked"/>
    <d v="2018-03-05T17:14:30"/>
    <n v="2.2175195864999999"/>
    <n v="-1000991.8478260899"/>
    <s v="USD"/>
    <s v="T 2.25 02/29/2020"/>
    <x v="0"/>
    <m/>
    <m/>
    <m/>
    <x v="0"/>
    <s v="BONELLO_MFL_FI"/>
    <m/>
    <s v="NO PLATFORM - Match vs Confirmed _x000a_"/>
    <s v="VEN_SKULKARNI"/>
    <m/>
    <m/>
    <d v="2018-03-05T17:14:30"/>
    <m/>
  </r>
  <r>
    <s v="21476020"/>
    <x v="0"/>
    <s v="Government"/>
    <s v="BONELLO"/>
    <s v="BONY 2785"/>
    <x v="0"/>
    <s v="STATE STREET BANK &amp; TRST"/>
    <d v="2018-03-05T00:00:00"/>
    <s v="9128283Y4"/>
    <n v="1000000"/>
    <n v="100.0625"/>
    <d v="2018-03-06T00:00:00"/>
    <s v="Buy"/>
    <s v="Booked"/>
    <d v="2018-03-05T17:14:30"/>
    <n v="2.2175195864999999"/>
    <n v="-1000991.8478260899"/>
    <s v="USD"/>
    <s v="T 2.25 02/29/2020"/>
    <x v="0"/>
    <m/>
    <m/>
    <m/>
    <x v="0"/>
    <s v="BONELLO_MFL_FI"/>
    <m/>
    <s v="NO PLATFORM - Match vs Confirmed _x000a_"/>
    <s v="VEN_SKULKARNI"/>
    <m/>
    <m/>
    <d v="2018-03-05T17:14:30"/>
    <m/>
  </r>
  <r>
    <s v="21476018"/>
    <x v="0"/>
    <s v="Government"/>
    <s v="BONELLO"/>
    <s v="BONY 2785"/>
    <x v="0"/>
    <s v="STATE STREET BANK &amp; TRST"/>
    <d v="2018-03-05T00:00:00"/>
    <s v="9128283Y4"/>
    <n v="1000000"/>
    <n v="100.0625"/>
    <d v="2018-03-06T00:00:00"/>
    <s v="Buy"/>
    <s v="Booked"/>
    <d v="2018-03-05T17:14:31"/>
    <n v="2.2175195864999999"/>
    <n v="-1000991.8478260899"/>
    <s v="USD"/>
    <s v="T 2.25 02/29/2020"/>
    <x v="0"/>
    <m/>
    <m/>
    <m/>
    <x v="0"/>
    <s v="BONELLO_MFL_FI"/>
    <m/>
    <s v="NO PLATFORM - Match vs Confirmed _x000a_"/>
    <s v="VEN_SKULKARNI"/>
    <m/>
    <m/>
    <d v="2018-03-05T17:14:31"/>
    <m/>
  </r>
  <r>
    <s v="21476017"/>
    <x v="0"/>
    <s v="Government"/>
    <s v="BONELLO"/>
    <s v="BONY 2785"/>
    <x v="0"/>
    <s v="STATE STREET BANK &amp; TRST"/>
    <d v="2018-03-05T00:00:00"/>
    <s v="9128283Y4"/>
    <n v="1000000"/>
    <n v="100.0625"/>
    <d v="2018-03-06T00:00:00"/>
    <s v="Buy"/>
    <s v="Booked"/>
    <d v="2018-03-05T17:14:32"/>
    <n v="2.2175195864999999"/>
    <n v="-1000991.8478260899"/>
    <s v="USD"/>
    <s v="T 2.25 02/29/2020"/>
    <x v="0"/>
    <m/>
    <m/>
    <m/>
    <x v="0"/>
    <s v="BONELLO_MFL_FI"/>
    <m/>
    <s v="NO PLATFORM - Match vs Confirmed _x000a_"/>
    <s v="VEN_SKULKARNI"/>
    <m/>
    <m/>
    <d v="2018-03-05T17:14:32"/>
    <m/>
  </r>
  <r>
    <s v="21476015"/>
    <x v="0"/>
    <s v="Government"/>
    <s v="BONELLO"/>
    <s v="BONY 2785"/>
    <x v="0"/>
    <s v="STATE STREET BANK &amp; TRST"/>
    <d v="2018-03-05T00:00:00"/>
    <s v="9128283Y4"/>
    <n v="1000000"/>
    <n v="100.0625"/>
    <d v="2018-03-06T00:00:00"/>
    <s v="Buy"/>
    <s v="Booked"/>
    <d v="2018-03-05T17:14:33"/>
    <n v="2.2175195864999999"/>
    <n v="-1000991.8478260899"/>
    <s v="USD"/>
    <s v="T 2.25 02/29/2020"/>
    <x v="0"/>
    <m/>
    <m/>
    <m/>
    <x v="0"/>
    <s v="BONELLO_MFL_FI"/>
    <m/>
    <s v="NO PLATFORM - Match vs Confirmed _x000a_"/>
    <s v="VEN_SKULKARNI"/>
    <m/>
    <m/>
    <d v="2018-03-05T17:14:33"/>
    <m/>
  </r>
  <r>
    <s v="21476014"/>
    <x v="0"/>
    <s v="Government"/>
    <s v="BONELLO"/>
    <s v="BONY 2785"/>
    <x v="0"/>
    <s v="STATE STREET BANK &amp; TRST"/>
    <d v="2018-03-05T00:00:00"/>
    <s v="9128283Y4"/>
    <n v="1000000"/>
    <n v="100.0625"/>
    <d v="2018-03-06T00:00:00"/>
    <s v="Buy"/>
    <s v="Booked"/>
    <d v="2018-03-05T17:14:33"/>
    <n v="2.2175195864999999"/>
    <n v="-1000991.8478260899"/>
    <s v="USD"/>
    <s v="T 2.25 02/29/2020"/>
    <x v="0"/>
    <m/>
    <m/>
    <m/>
    <x v="0"/>
    <s v="BONELLO_MFL_FI"/>
    <m/>
    <s v="NO PLATFORM - Match vs Confirmed _x000a_"/>
    <s v="VEN_SKULKARNI"/>
    <m/>
    <m/>
    <d v="2018-03-05T17:14:33"/>
    <m/>
  </r>
  <r>
    <s v="21476019"/>
    <x v="0"/>
    <s v="Government"/>
    <s v="BONELLO"/>
    <s v="BONY 2785"/>
    <x v="0"/>
    <s v="STATE STREET BANK &amp; TRST"/>
    <d v="2018-03-05T00:00:00"/>
    <s v="9128283Y4"/>
    <n v="3000000"/>
    <n v="100.0625"/>
    <d v="2018-03-06T00:00:00"/>
    <s v="Buy"/>
    <s v="Booked"/>
    <d v="2018-03-05T17:14:34"/>
    <n v="2.2175195864999999"/>
    <n v="-3002975.5434782603"/>
    <s v="USD"/>
    <s v="T 2.25 02/29/2020"/>
    <x v="0"/>
    <m/>
    <m/>
    <m/>
    <x v="0"/>
    <s v="BONELLO_MFL_FI"/>
    <m/>
    <s v="NO PLATFORM - Match vs Confirmed _x000a_"/>
    <s v="VEN_SKULKARNI"/>
    <m/>
    <m/>
    <d v="2018-03-05T17:14:34"/>
    <m/>
  </r>
  <r>
    <s v="21476016"/>
    <x v="0"/>
    <s v="Government"/>
    <s v="BONELLO"/>
    <s v="BONY 2785"/>
    <x v="0"/>
    <s v="STATE STREET BANK &amp; TRST"/>
    <d v="2018-03-05T00:00:00"/>
    <s v="9128283Y4"/>
    <n v="2000000"/>
    <n v="100.0625"/>
    <d v="2018-03-06T00:00:00"/>
    <s v="Buy"/>
    <s v="Booked"/>
    <d v="2018-03-05T17:14:35"/>
    <n v="2.2175195864999999"/>
    <n v="-2001983.6956521699"/>
    <s v="USD"/>
    <s v="T 2.25 02/29/2020"/>
    <x v="0"/>
    <m/>
    <m/>
    <m/>
    <x v="0"/>
    <s v="BONELLO_MFL_FI"/>
    <m/>
    <s v="NO PLATFORM - Match vs Confirmed _x000a_"/>
    <s v="VEN_SKULKARNI"/>
    <m/>
    <m/>
    <d v="2018-03-05T17:14:35"/>
    <m/>
  </r>
  <r>
    <s v="21476013"/>
    <x v="0"/>
    <s v="Government"/>
    <s v="BONELLO"/>
    <s v="BONY 2785"/>
    <x v="0"/>
    <s v="STATE STREET BANK &amp; TRST"/>
    <d v="2018-03-05T00:00:00"/>
    <s v="9128283Y4"/>
    <n v="5000000"/>
    <n v="100.0625"/>
    <d v="2018-03-06T00:00:00"/>
    <s v="Buy"/>
    <s v="Booked"/>
    <d v="2018-03-05T17:14:36"/>
    <n v="2.2175195864999999"/>
    <n v="-5004959.2391304309"/>
    <s v="USD"/>
    <s v="T 2.25 02/29/2020"/>
    <x v="0"/>
    <m/>
    <m/>
    <m/>
    <x v="0"/>
    <s v="BONELLO_MFL_FI"/>
    <m/>
    <s v="NO PLATFORM - Match vs Confirmed _x000a_"/>
    <s v="VEN_SKULKARNI"/>
    <m/>
    <m/>
    <d v="2018-03-05T17:14:36"/>
    <m/>
  </r>
  <r>
    <s v="21476011"/>
    <x v="0"/>
    <s v="Government"/>
    <s v="BONELLO"/>
    <s v="BONY 2785"/>
    <x v="0"/>
    <s v="STATE STREET BANK &amp; TRST"/>
    <d v="2018-03-05T00:00:00"/>
    <s v="9128283Y4"/>
    <n v="1000000"/>
    <n v="100.0625"/>
    <d v="2018-03-06T00:00:00"/>
    <s v="Buy"/>
    <s v="Booked"/>
    <d v="2018-03-05T17:14:37"/>
    <n v="2.2175195864999999"/>
    <n v="-1000991.8478260899"/>
    <s v="USD"/>
    <s v="T 2.25 02/29/2020"/>
    <x v="0"/>
    <m/>
    <m/>
    <m/>
    <x v="0"/>
    <s v="BONELLO_MFL_FI"/>
    <m/>
    <s v="NO PLATFORM - Match vs Confirmed _x000a_"/>
    <s v="VEN_SKULKARNI"/>
    <m/>
    <m/>
    <d v="2018-03-05T17:14:37"/>
    <m/>
  </r>
  <r>
    <s v="21476012"/>
    <x v="0"/>
    <s v="Government"/>
    <s v="BONELLO"/>
    <s v="BONY 2785"/>
    <x v="0"/>
    <s v="STATE STREET BANK &amp; TRST"/>
    <d v="2018-03-05T00:00:00"/>
    <s v="9128283Y4"/>
    <n v="1000000"/>
    <n v="100.0625"/>
    <d v="2018-03-06T00:00:00"/>
    <s v="Buy"/>
    <s v="Booked"/>
    <d v="2018-03-05T17:14:38"/>
    <n v="2.2175195864999999"/>
    <n v="-1000991.8478260899"/>
    <s v="USD"/>
    <s v="T 2.25 02/29/2020"/>
    <x v="0"/>
    <m/>
    <m/>
    <m/>
    <x v="0"/>
    <s v="BONELLO_MFL_FI"/>
    <m/>
    <s v="NO PLATFORM - Match vs Confirmed _x000a_"/>
    <s v="VEN_SKULKARNI"/>
    <m/>
    <m/>
    <d v="2018-03-05T17:14:38"/>
    <m/>
  </r>
  <r>
    <s v="21476010"/>
    <x v="0"/>
    <s v="Government"/>
    <s v="BONELLO"/>
    <s v="BONY 2785"/>
    <x v="0"/>
    <s v="STATE STREET BANK &amp; TRST"/>
    <d v="2018-03-05T00:00:00"/>
    <s v="9128283Y4"/>
    <n v="1000000"/>
    <n v="100.0625"/>
    <d v="2018-03-06T00:00:00"/>
    <s v="Buy"/>
    <s v="Booked"/>
    <d v="2018-03-05T17:14:39"/>
    <n v="2.2175195864999999"/>
    <n v="-1000991.8478260899"/>
    <s v="USD"/>
    <s v="T 2.25 02/29/2020"/>
    <x v="0"/>
    <m/>
    <m/>
    <m/>
    <x v="0"/>
    <s v="BONELLO_MFL_FI"/>
    <m/>
    <s v="NO PLATFORM - Match vs Confirmed _x000a_"/>
    <s v="VEN_SKULKARNI"/>
    <m/>
    <m/>
    <d v="2018-03-05T17:14:39"/>
    <m/>
  </r>
  <r>
    <s v="21476009"/>
    <x v="0"/>
    <s v="Government"/>
    <s v="BONELLO"/>
    <s v="BONY 2785"/>
    <x v="0"/>
    <s v="STATE STREET BANK &amp; TRST"/>
    <d v="2018-03-05T00:00:00"/>
    <s v="9128283Y4"/>
    <n v="1000000"/>
    <n v="100.0625"/>
    <d v="2018-03-06T00:00:00"/>
    <s v="Buy"/>
    <s v="Booked"/>
    <d v="2018-03-05T17:14:39"/>
    <n v="2.2175195864999999"/>
    <n v="-1000991.8478260899"/>
    <s v="USD"/>
    <s v="T 2.25 02/29/2020"/>
    <x v="0"/>
    <m/>
    <m/>
    <m/>
    <x v="0"/>
    <s v="BONELLO_MFL_FI"/>
    <m/>
    <s v="NO PLATFORM - Match vs Confirmed _x000a_"/>
    <s v="VEN_SKULKARNI"/>
    <m/>
    <m/>
    <d v="2018-03-05T17:14:39"/>
    <m/>
  </r>
  <r>
    <s v="21475999"/>
    <x v="0"/>
    <s v="Government"/>
    <s v="BONELLO"/>
    <s v="BONY 2785"/>
    <x v="0"/>
    <s v="STATE STREET BANK &amp; TRST"/>
    <d v="2018-03-05T00:00:00"/>
    <s v="9128283Y4"/>
    <n v="1000000"/>
    <n v="100.06640625"/>
    <d v="2018-03-06T00:00:00"/>
    <s v="Buy"/>
    <s v="Booked"/>
    <d v="2018-03-05T17:14:40"/>
    <n v="2.2154968293000001"/>
    <n v="-1001030.9103260899"/>
    <s v="USD"/>
    <s v="T 2.25 02/29/2020"/>
    <x v="0"/>
    <m/>
    <m/>
    <m/>
    <x v="0"/>
    <s v="BONELLO_MFL_FI"/>
    <m/>
    <s v="NO PLATFORM - Match vs Confirmed _x000a_"/>
    <s v="VEN_SKULKARNI"/>
    <m/>
    <m/>
    <d v="2018-03-05T17:14:40"/>
    <m/>
  </r>
  <r>
    <s v="21475998"/>
    <x v="0"/>
    <s v="Government"/>
    <s v="BONELLO"/>
    <s v="BONY 2785"/>
    <x v="0"/>
    <s v="STATE STREET BANK &amp; TRST"/>
    <d v="2018-03-05T00:00:00"/>
    <s v="9128283Y4"/>
    <n v="1000000"/>
    <n v="100.06640625"/>
    <d v="2018-03-06T00:00:00"/>
    <s v="Buy"/>
    <s v="Booked"/>
    <d v="2018-03-05T17:14:41"/>
    <n v="2.2154968293000001"/>
    <n v="-1001030.9103260899"/>
    <s v="USD"/>
    <s v="T 2.25 02/29/2020"/>
    <x v="0"/>
    <m/>
    <m/>
    <m/>
    <x v="0"/>
    <s v="BONELLO_MFL_FI"/>
    <m/>
    <s v="NO PLATFORM - Match vs Confirmed _x000a_"/>
    <s v="VEN_SKULKARNI"/>
    <m/>
    <m/>
    <d v="2018-03-05T17:14:41"/>
    <m/>
  </r>
  <r>
    <s v="21475997"/>
    <x v="0"/>
    <s v="Government"/>
    <s v="BONELLO"/>
    <s v="BONY 2785"/>
    <x v="0"/>
    <s v="STATE STREET BANK &amp; TRST"/>
    <d v="2018-03-05T00:00:00"/>
    <s v="9128283Y4"/>
    <n v="1000000"/>
    <n v="100.06640625"/>
    <d v="2018-03-06T00:00:00"/>
    <s v="Buy"/>
    <s v="Booked"/>
    <d v="2018-03-05T17:14:42"/>
    <n v="2.2154968293000001"/>
    <n v="-1001030.9103260899"/>
    <s v="USD"/>
    <s v="T 2.25 02/29/2020"/>
    <x v="0"/>
    <m/>
    <m/>
    <m/>
    <x v="0"/>
    <s v="BONELLO_MFL_FI"/>
    <m/>
    <s v="NO PLATFORM - Match vs Confirmed _x000a_"/>
    <s v="VEN_SKULKARNI"/>
    <m/>
    <m/>
    <d v="2018-03-05T17:14:42"/>
    <m/>
  </r>
  <r>
    <s v="21475995"/>
    <x v="0"/>
    <s v="Government"/>
    <s v="BONELLO"/>
    <s v="BONY 2785"/>
    <x v="0"/>
    <s v="STATE STREET BANK &amp; TRST"/>
    <d v="2018-03-05T00:00:00"/>
    <s v="9128283Y4"/>
    <n v="1000000"/>
    <n v="100.06640625"/>
    <d v="2018-03-06T00:00:00"/>
    <s v="Buy"/>
    <s v="Booked"/>
    <d v="2018-03-05T17:14:42"/>
    <n v="2.2154968293000001"/>
    <n v="-1001030.9103260899"/>
    <s v="USD"/>
    <s v="T 2.25 02/29/2020"/>
    <x v="0"/>
    <m/>
    <m/>
    <m/>
    <x v="0"/>
    <s v="BONELLO_MFL_FI"/>
    <m/>
    <s v="NO PLATFORM - Match vs Confirmed _x000a_"/>
    <s v="VEN_SKULKARNI"/>
    <m/>
    <m/>
    <d v="2018-03-05T17:14:42"/>
    <m/>
  </r>
  <r>
    <s v="21475994"/>
    <x v="0"/>
    <s v="Government"/>
    <s v="BONELLO"/>
    <s v="BONY 2785"/>
    <x v="0"/>
    <s v="STATE STREET BANK &amp; TRST"/>
    <d v="2018-03-05T00:00:00"/>
    <s v="9128283Y4"/>
    <n v="1000000"/>
    <n v="100.06640625"/>
    <d v="2018-03-06T00:00:00"/>
    <s v="Buy"/>
    <s v="Booked"/>
    <d v="2018-03-05T17:14:42"/>
    <n v="2.2154968293000001"/>
    <n v="-1001030.9103260899"/>
    <s v="USD"/>
    <s v="T 2.25 02/29/2020"/>
    <x v="0"/>
    <m/>
    <m/>
    <m/>
    <x v="0"/>
    <s v="BONELLO_MFL_FI"/>
    <m/>
    <s v="NO PLATFORM - Match vs Confirmed _x000a_"/>
    <s v="VEN_SKULKARNI"/>
    <m/>
    <m/>
    <d v="2018-03-05T17:14:42"/>
    <m/>
  </r>
  <r>
    <s v="21475993"/>
    <x v="0"/>
    <s v="Government"/>
    <s v="BONELLO"/>
    <s v="BONY 2785"/>
    <x v="0"/>
    <s v="STATE STREET BANK &amp; TRST"/>
    <d v="2018-03-05T00:00:00"/>
    <s v="9128283Y4"/>
    <n v="1000000"/>
    <n v="100.06640625"/>
    <d v="2018-03-06T00:00:00"/>
    <s v="Buy"/>
    <s v="Booked"/>
    <d v="2018-03-05T17:14:43"/>
    <n v="2.2154968293000001"/>
    <n v="-1001030.9103260899"/>
    <s v="USD"/>
    <s v="T 2.25 02/29/2020"/>
    <x v="0"/>
    <m/>
    <m/>
    <m/>
    <x v="0"/>
    <s v="BONELLO_MFL_FI"/>
    <m/>
    <s v="NO PLATFORM - Match vs Confirmed _x000a_"/>
    <s v="VEN_SKULKARNI"/>
    <m/>
    <m/>
    <d v="2018-03-05T17:14:43"/>
    <m/>
  </r>
  <r>
    <s v="21475990"/>
    <x v="0"/>
    <s v="Government"/>
    <s v="BONELLO"/>
    <s v="BONY 2785"/>
    <x v="0"/>
    <s v="STATE STREET BANK &amp; TRST"/>
    <d v="2018-03-05T00:00:00"/>
    <s v="9128283Y4"/>
    <n v="1000000"/>
    <n v="100.0625"/>
    <d v="2018-03-06T00:00:00"/>
    <s v="Buy"/>
    <s v="Booked"/>
    <d v="2018-03-05T17:14:44"/>
    <n v="2.2175195864999999"/>
    <n v="-1000991.8478260899"/>
    <s v="USD"/>
    <s v="T 2.25 02/29/2020"/>
    <x v="0"/>
    <m/>
    <m/>
    <m/>
    <x v="0"/>
    <s v="BONELLO_MFL_FI"/>
    <m/>
    <s v="NO PLATFORM - Match vs Confirmed _x000a_"/>
    <s v="VEN_SKULKARNI"/>
    <m/>
    <m/>
    <d v="2018-03-05T17:14:44"/>
    <m/>
  </r>
  <r>
    <s v="21475986"/>
    <x v="0"/>
    <s v="Government"/>
    <s v="BONELLO"/>
    <s v="BONY 2785"/>
    <x v="0"/>
    <s v="STATE STREET BANK &amp; TRST"/>
    <d v="2018-03-05T00:00:00"/>
    <s v="9128283Y4"/>
    <n v="2000000"/>
    <n v="100.06640625"/>
    <d v="2018-03-06T00:00:00"/>
    <s v="Buy"/>
    <s v="Booked"/>
    <d v="2018-03-05T17:14:45"/>
    <n v="2.2154968293000001"/>
    <n v="-2002061.8206521699"/>
    <s v="USD"/>
    <s v="T 2.25 02/29/2020"/>
    <x v="0"/>
    <m/>
    <m/>
    <m/>
    <x v="0"/>
    <s v="BONELLO_MFL_FI"/>
    <m/>
    <s v="NO PLATFORM - Match vs Confirmed _x000a_"/>
    <s v="VEN_SKULKARNI"/>
    <m/>
    <m/>
    <d v="2018-03-05T17:14:45"/>
    <m/>
  </r>
  <r>
    <s v="21475985"/>
    <x v="0"/>
    <s v="Government"/>
    <s v="BONELLO"/>
    <s v="BONY 2785"/>
    <x v="0"/>
    <s v="STATE STREET BANK &amp; TRST"/>
    <d v="2018-03-05T00:00:00"/>
    <s v="9128283Y4"/>
    <n v="1000000"/>
    <n v="100.06640625"/>
    <d v="2018-03-06T00:00:00"/>
    <s v="Buy"/>
    <s v="Booked"/>
    <d v="2018-03-05T17:14:45"/>
    <n v="2.2154968293000001"/>
    <n v="-1001030.9103260899"/>
    <s v="USD"/>
    <s v="T 2.25 02/29/2020"/>
    <x v="0"/>
    <m/>
    <m/>
    <m/>
    <x v="0"/>
    <s v="BONELLO_MFL_FI"/>
    <m/>
    <s v="NO PLATFORM - Match vs Confirmed _x000a_"/>
    <s v="VEN_SKULKARNI"/>
    <m/>
    <m/>
    <d v="2018-03-05T17:14:45"/>
    <m/>
  </r>
  <r>
    <s v="21475947"/>
    <x v="0"/>
    <s v="Government"/>
    <s v="BONELLO"/>
    <s v="BONY 2785"/>
    <x v="0"/>
    <s v="STATE STREET BANK &amp; TRST"/>
    <d v="2018-03-05T00:00:00"/>
    <s v="9128283Y4"/>
    <n v="1000000"/>
    <n v="100.0625"/>
    <d v="2018-03-06T00:00:00"/>
    <s v="Buy"/>
    <s v="Booked"/>
    <d v="2018-03-05T17:14:46"/>
    <n v="2.2175195864999999"/>
    <n v="-1000991.8478260899"/>
    <s v="USD"/>
    <s v="T 2.25 02/29/2020"/>
    <x v="0"/>
    <m/>
    <m/>
    <m/>
    <x v="0"/>
    <s v="BONELLO_MFL_FI"/>
    <m/>
    <s v="NO PLATFORM - Match vs Confirmed _x000a_"/>
    <s v="VEN_SKULKARNI"/>
    <m/>
    <m/>
    <d v="2018-03-05T17:14:46"/>
    <m/>
  </r>
  <r>
    <s v="21475882"/>
    <x v="0"/>
    <s v="Government"/>
    <s v="BONELLO"/>
    <s v="BONY 2785"/>
    <x v="0"/>
    <s v="STATE STREET BANK &amp; TRST"/>
    <d v="2018-03-05T00:00:00"/>
    <s v="9128283Y4"/>
    <n v="1000000"/>
    <n v="100.0625"/>
    <d v="2018-03-06T00:00:00"/>
    <s v="Buy"/>
    <s v="Booked"/>
    <d v="2018-03-05T17:14:47"/>
    <n v="2.2175195864999999"/>
    <n v="-1000991.8478260899"/>
    <s v="USD"/>
    <s v="T 2.25 02/29/2020"/>
    <x v="0"/>
    <m/>
    <m/>
    <m/>
    <x v="0"/>
    <s v="BONELLO_MFL_FI"/>
    <m/>
    <s v="NO PLATFORM - Match vs Confirmed _x000a_"/>
    <s v="VEN_SKULKARNI"/>
    <m/>
    <m/>
    <d v="2018-03-05T17:14:47"/>
    <m/>
  </r>
  <r>
    <s v="21475680"/>
    <x v="0"/>
    <s v="Government"/>
    <s v="BONELLO"/>
    <s v="BONY 2785"/>
    <x v="0"/>
    <s v="STATE STREET BANK &amp; TRST"/>
    <d v="2018-03-05T00:00:00"/>
    <s v="9128283Y4"/>
    <n v="16000000"/>
    <n v="100.0546875"/>
    <d v="2018-03-06T00:00:00"/>
    <s v="Buy"/>
    <s v="Booked"/>
    <d v="2018-03-05T17:14:48"/>
    <n v="2.2215654009999999"/>
    <n v="-16014619.565217391"/>
    <s v="USD"/>
    <s v="T 2.25 02/29/2020"/>
    <x v="0"/>
    <m/>
    <m/>
    <m/>
    <x v="0"/>
    <s v="BONELLO_MFL_FI"/>
    <m/>
    <s v="NO PLATFORM - Match vs Confirmed _x000a_"/>
    <s v="VEN_SKULKARNI"/>
    <m/>
    <m/>
    <d v="2018-03-05T17:14:48"/>
    <m/>
  </r>
  <r>
    <s v="21480825"/>
    <x v="0"/>
    <s v="Government"/>
    <s v="BONELLO"/>
    <s v="BONY 2785"/>
    <x v="0"/>
    <s v="STATE STREET BANK &amp; TRST"/>
    <d v="2018-03-05T00:00:00"/>
    <s v="9128283Y4"/>
    <n v="1000000"/>
    <n v="100.05078125"/>
    <d v="2018-03-06T00:00:00"/>
    <s v="Buy"/>
    <s v="Booked"/>
    <d v="2018-03-05T17:14:49"/>
    <n v="2.2235884581000001"/>
    <n v="-1000874.6603260899"/>
    <s v="USD"/>
    <s v="T 2.25 02/29/2020"/>
    <x v="0"/>
    <m/>
    <m/>
    <m/>
    <x v="0"/>
    <s v="BONELLO_MFL_FI"/>
    <m/>
    <s v="NO PLATFORM - Match vs Confirmed _x000a_"/>
    <s v="VEN_SKULKARNI"/>
    <m/>
    <m/>
    <d v="2018-03-05T17:14:49"/>
    <m/>
  </r>
  <r>
    <s v="21481017"/>
    <x v="0"/>
    <s v="Government"/>
    <s v="BONELLO"/>
    <s v="BONY 2785"/>
    <x v="0"/>
    <s v="STATE STREET BANK &amp; TRST"/>
    <d v="2018-03-05T00:00:00"/>
    <s v="9128283Y4"/>
    <n v="16000000"/>
    <n v="100.04296875"/>
    <d v="2018-03-06T00:00:00"/>
    <s v="Buy"/>
    <s v="Booked"/>
    <d v="2018-03-05T17:14:50"/>
    <n v="2.2276348723999999"/>
    <n v="-16012744.565217391"/>
    <s v="USD"/>
    <s v="T 2.25 02/29/2020"/>
    <x v="0"/>
    <m/>
    <m/>
    <m/>
    <x v="0"/>
    <s v="BONELLO_MFL_FI"/>
    <m/>
    <s v="NO PLATFORM - Match vs Confirmed _x000a_"/>
    <s v="VEN_SKULKARNI"/>
    <m/>
    <m/>
    <d v="2018-03-05T17:14:50"/>
    <m/>
  </r>
  <r>
    <s v="21481016"/>
    <x v="0"/>
    <s v="Government"/>
    <s v="BONELLO"/>
    <s v="BONY 2785"/>
    <x v="0"/>
    <s v="STATE STREET BANK &amp; TRST"/>
    <d v="2018-03-05T00:00:00"/>
    <s v="9128283Y4"/>
    <n v="8000000"/>
    <n v="100.04296875"/>
    <d v="2018-03-06T00:00:00"/>
    <s v="Buy"/>
    <s v="Booked"/>
    <d v="2018-03-05T17:14:51"/>
    <n v="2.2276348723999999"/>
    <n v="-8006372.2826087"/>
    <s v="USD"/>
    <s v="T 2.25 02/29/2020"/>
    <x v="0"/>
    <m/>
    <m/>
    <m/>
    <x v="0"/>
    <s v="BONELLO_MFL_FI"/>
    <m/>
    <s v="NO PLATFORM - Match vs Confirmed _x000a_"/>
    <s v="VEN_SKULKARNI"/>
    <m/>
    <m/>
    <d v="2018-03-05T17:14:51"/>
    <m/>
  </r>
  <r>
    <s v="21483561"/>
    <x v="0"/>
    <s v="Government"/>
    <s v="BONELLO"/>
    <s v="BONY 2785"/>
    <x v="0"/>
    <s v="STATE STREET BANK &amp; TRST"/>
    <d v="2018-03-05T00:00:00"/>
    <s v="9128284A5"/>
    <n v="3000000"/>
    <n v="99.91796875"/>
    <d v="2018-03-06T00:00:00"/>
    <s v="Buy"/>
    <s v="Booked"/>
    <d v="2018-03-05T17:14:51"/>
    <n v="2.6426175092999999"/>
    <n v="-2998823.0298913"/>
    <s v="USD"/>
    <s v="T 2.625 02/28/2023"/>
    <x v="0"/>
    <m/>
    <m/>
    <m/>
    <x v="0"/>
    <s v="BONELLO_MFL_FI"/>
    <m/>
    <s v="NO PLATFORM - Match vs Confirmed _x000a_"/>
    <s v="VEN_SKULKARNI"/>
    <m/>
    <m/>
    <d v="2018-03-05T17:14:51"/>
    <m/>
  </r>
  <r>
    <s v="21483562"/>
    <x v="0"/>
    <s v="Government"/>
    <s v="BONELLO"/>
    <s v="BONY 2785"/>
    <x v="0"/>
    <s v="STATE STREET BANK &amp; TRST"/>
    <d v="2018-03-05T00:00:00"/>
    <s v="9128284A5"/>
    <n v="3000000"/>
    <n v="99.91796875"/>
    <d v="2018-03-06T00:00:00"/>
    <s v="Buy"/>
    <s v="Booked"/>
    <d v="2018-03-05T17:14:51"/>
    <n v="2.6426175092999999"/>
    <n v="-2998823.0298913"/>
    <s v="USD"/>
    <s v="T 2.625 02/28/2023"/>
    <x v="0"/>
    <m/>
    <m/>
    <m/>
    <x v="0"/>
    <s v="BONELLO_MFL_FI"/>
    <m/>
    <s v="NO PLATFORM - Match vs Confirmed _x000a_"/>
    <s v="VEN_SKULKARNI"/>
    <m/>
    <m/>
    <d v="2018-03-05T17:14:51"/>
    <m/>
  </r>
  <r>
    <s v="21483563"/>
    <x v="0"/>
    <s v="Government"/>
    <s v="BONELLO"/>
    <s v="BONY 2785"/>
    <x v="0"/>
    <s v="STATE STREET BANK &amp; TRST"/>
    <d v="2018-03-05T00:00:00"/>
    <s v="9128284A5"/>
    <n v="3000000"/>
    <n v="99.91796875"/>
    <d v="2018-03-06T00:00:00"/>
    <s v="Buy"/>
    <s v="Booked"/>
    <d v="2018-03-05T17:14:51"/>
    <n v="2.6426175092999999"/>
    <n v="-2998823.0298913"/>
    <s v="USD"/>
    <s v="T 2.625 02/28/2023"/>
    <x v="0"/>
    <m/>
    <m/>
    <m/>
    <x v="0"/>
    <s v="BONELLO_MFL_FI"/>
    <m/>
    <s v="NO PLATFORM - Match vs Confirmed _x000a_"/>
    <s v="VEN_SKULKARNI"/>
    <m/>
    <m/>
    <d v="2018-03-05T17:14:51"/>
    <m/>
  </r>
  <r>
    <s v="21483565"/>
    <x v="0"/>
    <s v="Government"/>
    <s v="BONELLO"/>
    <s v="BONY 2785"/>
    <x v="0"/>
    <s v="STATE STREET BANK &amp; TRST"/>
    <d v="2018-03-05T00:00:00"/>
    <s v="9128284A5"/>
    <n v="3000000"/>
    <n v="99.91796875"/>
    <d v="2018-03-06T00:00:00"/>
    <s v="Buy"/>
    <s v="Booked"/>
    <d v="2018-03-05T17:14:52"/>
    <n v="2.6426175092999999"/>
    <n v="-2998823.0298913"/>
    <s v="USD"/>
    <s v="T 2.625 02/28/2023"/>
    <x v="0"/>
    <m/>
    <m/>
    <m/>
    <x v="0"/>
    <s v="BONELLO_MFL_FI"/>
    <m/>
    <s v="NO PLATFORM - Match vs Confirmed _x000a_"/>
    <s v="VEN_SKULKARNI"/>
    <m/>
    <m/>
    <d v="2018-03-05T17:14:52"/>
    <m/>
  </r>
  <r>
    <s v="21483576"/>
    <x v="0"/>
    <s v="Government"/>
    <s v="BONELLO"/>
    <s v="BONY 2785"/>
    <x v="0"/>
    <s v="STATE STREET BANK &amp; TRST"/>
    <d v="2018-03-05T00:00:00"/>
    <s v="9128284A5"/>
    <n v="3000000"/>
    <n v="99.91796875"/>
    <d v="2018-03-06T00:00:00"/>
    <s v="Buy"/>
    <s v="Booked"/>
    <d v="2018-03-05T17:14:53"/>
    <n v="2.6426175092999999"/>
    <n v="-2998823.0298913"/>
    <s v="USD"/>
    <s v="T 2.625 02/28/2023"/>
    <x v="0"/>
    <m/>
    <m/>
    <m/>
    <x v="0"/>
    <s v="BONELLO_MFL_FI"/>
    <m/>
    <s v="NO PLATFORM - Match vs Confirmed _x000a_"/>
    <s v="VEN_SKULKARNI"/>
    <m/>
    <m/>
    <d v="2018-03-05T17:14:53"/>
    <m/>
  </r>
  <r>
    <s v="21483577"/>
    <x v="0"/>
    <s v="Government"/>
    <s v="BONELLO"/>
    <s v="BONY 2785"/>
    <x v="0"/>
    <s v="STATE STREET BANK &amp; TRST"/>
    <d v="2018-03-05T00:00:00"/>
    <s v="9128284A5"/>
    <n v="3000000"/>
    <n v="99.91796875"/>
    <d v="2018-03-06T00:00:00"/>
    <s v="Buy"/>
    <s v="Booked"/>
    <d v="2018-03-05T17:14:54"/>
    <n v="2.6426175092999999"/>
    <n v="-2998823.0298913"/>
    <s v="USD"/>
    <s v="T 2.625 02/28/2023"/>
    <x v="0"/>
    <m/>
    <m/>
    <m/>
    <x v="0"/>
    <s v="BONELLO_MFL_FI"/>
    <m/>
    <s v="NO PLATFORM - Match vs Confirmed _x000a_"/>
    <s v="VEN_SKULKARNI"/>
    <m/>
    <m/>
    <d v="2018-03-05T17:14:54"/>
    <m/>
  </r>
  <r>
    <s v="21483578"/>
    <x v="0"/>
    <s v="Government"/>
    <s v="BONELLO"/>
    <s v="BONY 2785"/>
    <x v="0"/>
    <s v="STATE STREET BANK &amp; TRST"/>
    <d v="2018-03-05T00:00:00"/>
    <s v="9128284A5"/>
    <n v="10000000"/>
    <n v="99.91796875"/>
    <d v="2018-03-06T00:00:00"/>
    <s v="Buy"/>
    <s v="Booked"/>
    <d v="2018-03-05T17:14:55"/>
    <n v="2.6426175092999999"/>
    <n v="-9996076.7663043495"/>
    <s v="USD"/>
    <s v="T 2.625 02/28/2023"/>
    <x v="0"/>
    <m/>
    <m/>
    <m/>
    <x v="0"/>
    <s v="BONELLO_MFL_FI"/>
    <m/>
    <s v="NO PLATFORM - Match vs Confirmed _x000a_"/>
    <s v="VEN_SKULKARNI"/>
    <m/>
    <m/>
    <d v="2018-03-05T17:14:55"/>
    <m/>
  </r>
  <r>
    <s v="21483590"/>
    <x v="0"/>
    <s v="Government"/>
    <s v="BONELLO"/>
    <s v="BONY 2785"/>
    <x v="0"/>
    <s v="STATE STREET BANK &amp; TRST"/>
    <d v="2018-03-05T00:00:00"/>
    <s v="9128284A5"/>
    <n v="3000000"/>
    <n v="99.92578125"/>
    <d v="2018-03-06T00:00:00"/>
    <s v="Buy"/>
    <s v="Booked"/>
    <d v="2018-03-05T17:14:56"/>
    <n v="2.6409334109999998"/>
    <n v="-2999057.4048913"/>
    <s v="USD"/>
    <s v="T 2.625 02/28/2023"/>
    <x v="0"/>
    <m/>
    <m/>
    <m/>
    <x v="0"/>
    <s v="BONELLO_MFL_FI"/>
    <m/>
    <s v="NO PLATFORM - Match vs Confirmed _x000a_"/>
    <s v="VEN_SKULKARNI"/>
    <m/>
    <m/>
    <d v="2018-03-05T17:14:56"/>
    <m/>
  </r>
  <r>
    <s v="21483591"/>
    <x v="0"/>
    <s v="Government"/>
    <s v="BONELLO"/>
    <s v="BONY 2785"/>
    <x v="0"/>
    <s v="STATE STREET BANK &amp; TRST"/>
    <d v="2018-03-05T00:00:00"/>
    <s v="9128284A5"/>
    <n v="6000000"/>
    <n v="99.92578125"/>
    <d v="2018-03-06T00:00:00"/>
    <s v="Buy"/>
    <s v="Booked"/>
    <d v="2018-03-05T17:14:57"/>
    <n v="2.6409334109999998"/>
    <n v="-5998114.8097826103"/>
    <s v="USD"/>
    <s v="T 2.625 02/28/2023"/>
    <x v="0"/>
    <m/>
    <m/>
    <m/>
    <x v="0"/>
    <s v="BONELLO_MFL_FI"/>
    <m/>
    <s v="NO PLATFORM - Match vs Confirmed _x000a_"/>
    <s v="VEN_SKULKARNI"/>
    <m/>
    <m/>
    <d v="2018-03-05T17:14:57"/>
    <m/>
  </r>
  <r>
    <s v="21483592"/>
    <x v="0"/>
    <s v="Government"/>
    <s v="BONELLO"/>
    <s v="BONY 2785"/>
    <x v="0"/>
    <s v="STATE STREET BANK &amp; TRST"/>
    <d v="2018-03-05T00:00:00"/>
    <s v="9128284A5"/>
    <n v="10000000"/>
    <n v="99.92578125"/>
    <d v="2018-03-06T00:00:00"/>
    <s v="Buy"/>
    <s v="Booked"/>
    <d v="2018-03-05T17:14:58"/>
    <n v="2.6409334109999998"/>
    <n v="-9996858.0163043495"/>
    <s v="USD"/>
    <s v="T 2.625 02/28/2023"/>
    <x v="0"/>
    <m/>
    <m/>
    <m/>
    <x v="0"/>
    <s v="BONELLO_MFL_FI"/>
    <m/>
    <s v="NO PLATFORM - Match vs Confirmed _x000a_"/>
    <s v="VEN_SKULKARNI"/>
    <m/>
    <m/>
    <d v="2018-03-05T17:14:58"/>
    <m/>
  </r>
  <r>
    <s v="21483593"/>
    <x v="0"/>
    <s v="Government"/>
    <s v="BONELLO"/>
    <s v="BONY 2785"/>
    <x v="0"/>
    <s v="STATE STREET BANK &amp; TRST"/>
    <d v="2018-03-05T00:00:00"/>
    <s v="9128284A5"/>
    <n v="6000000"/>
    <n v="99.92578125"/>
    <d v="2018-03-06T00:00:00"/>
    <s v="Buy"/>
    <s v="Booked"/>
    <d v="2018-03-05T17:14:58"/>
    <n v="2.6409334109999998"/>
    <n v="-5998114.8097826103"/>
    <s v="USD"/>
    <s v="T 2.625 02/28/2023"/>
    <x v="0"/>
    <m/>
    <m/>
    <m/>
    <x v="0"/>
    <s v="BONELLO_MFL_FI"/>
    <m/>
    <s v="NO PLATFORM - Match vs Confirmed _x000a_"/>
    <s v="VEN_SKULKARNI"/>
    <m/>
    <m/>
    <d v="2018-03-05T17:14:58"/>
    <m/>
  </r>
  <r>
    <s v="21483594"/>
    <x v="0"/>
    <s v="Government"/>
    <s v="BONELLO"/>
    <s v="BONY 2785"/>
    <x v="0"/>
    <s v="STATE STREET BANK &amp; TRST"/>
    <d v="2018-03-05T00:00:00"/>
    <s v="9128284A5"/>
    <n v="10000000"/>
    <n v="99.92578125"/>
    <d v="2018-03-06T00:00:00"/>
    <s v="Buy"/>
    <s v="Booked"/>
    <d v="2018-03-05T17:14:58"/>
    <n v="2.6409334109999998"/>
    <n v="-9996858.0163043495"/>
    <s v="USD"/>
    <s v="T 2.625 02/28/2023"/>
    <x v="0"/>
    <m/>
    <m/>
    <m/>
    <x v="0"/>
    <s v="BONELLO_MFL_FI"/>
    <m/>
    <s v="NO PLATFORM - Match vs Confirmed _x000a_"/>
    <s v="VEN_SKULKARNI"/>
    <m/>
    <m/>
    <d v="2018-03-05T17:14:58"/>
    <m/>
  </r>
  <r>
    <s v="21483606"/>
    <x v="0"/>
    <s v="Government"/>
    <s v="BONELLO"/>
    <s v="BONY 2785"/>
    <x v="0"/>
    <s v="STATE STREET BANK &amp; TRST"/>
    <d v="2018-03-05T00:00:00"/>
    <s v="9128284A5"/>
    <n v="3000000"/>
    <n v="99.92578125"/>
    <d v="2018-03-06T00:00:00"/>
    <s v="Buy"/>
    <s v="Booked"/>
    <d v="2018-03-05T17:14:58"/>
    <n v="2.6409334109999998"/>
    <n v="-2999057.4048913"/>
    <s v="USD"/>
    <s v="T 2.625 02/28/2023"/>
    <x v="0"/>
    <m/>
    <m/>
    <m/>
    <x v="0"/>
    <s v="BONELLO_MFL_FI"/>
    <m/>
    <s v="NO PLATFORM - Match vs Confirmed _x000a_"/>
    <s v="VEN_SKULKARNI"/>
    <m/>
    <m/>
    <d v="2018-03-05T17:14:58"/>
    <m/>
  </r>
  <r>
    <s v="21483608"/>
    <x v="0"/>
    <s v="Government"/>
    <s v="BONELLO"/>
    <s v="BONY 2785"/>
    <x v="0"/>
    <s v="STATE STREET BANK &amp; TRST"/>
    <d v="2018-03-05T00:00:00"/>
    <s v="9128284A5"/>
    <n v="3000000"/>
    <n v="99.92578125"/>
    <d v="2018-03-06T00:00:00"/>
    <s v="Buy"/>
    <s v="Booked"/>
    <d v="2018-03-05T17:14:59"/>
    <n v="2.6409334109999998"/>
    <n v="-2999057.4048913"/>
    <s v="USD"/>
    <s v="T 2.625 02/28/2023"/>
    <x v="0"/>
    <m/>
    <m/>
    <m/>
    <x v="0"/>
    <s v="BONELLO_MFL_FI"/>
    <m/>
    <s v="NO PLATFORM - Match vs Confirmed _x000a_"/>
    <s v="VEN_SKULKARNI"/>
    <m/>
    <m/>
    <d v="2018-03-05T17:14:59"/>
    <m/>
  </r>
  <r>
    <s v="21483622"/>
    <x v="0"/>
    <s v="Government"/>
    <s v="BONELLO"/>
    <s v="BONY 2785"/>
    <x v="0"/>
    <s v="STATE STREET BANK &amp; TRST"/>
    <d v="2018-03-05T00:00:00"/>
    <s v="9128284A5"/>
    <n v="5000000"/>
    <n v="99.9296875"/>
    <d v="2018-03-06T00:00:00"/>
    <s v="Buy"/>
    <s v="Booked"/>
    <d v="2018-03-05T17:15:00"/>
    <n v="2.6400914183999999"/>
    <n v="-4998624.3206521701"/>
    <s v="USD"/>
    <s v="T 2.625 02/28/2023"/>
    <x v="0"/>
    <m/>
    <m/>
    <m/>
    <x v="0"/>
    <s v="BONELLO_MFL_FI"/>
    <m/>
    <s v="NO PLATFORM - Match vs Confirmed _x000a_"/>
    <s v="VEN_SKULKARNI"/>
    <m/>
    <m/>
    <d v="2018-03-05T17:15:00"/>
    <m/>
  </r>
  <r>
    <s v="21483623"/>
    <x v="0"/>
    <s v="Government"/>
    <s v="BONELLO"/>
    <s v="BONY 2785"/>
    <x v="0"/>
    <s v="STATE STREET BANK &amp; TRST"/>
    <d v="2018-03-05T00:00:00"/>
    <s v="9128284A5"/>
    <n v="10000000"/>
    <n v="99.9296875"/>
    <d v="2018-03-06T00:00:00"/>
    <s v="Buy"/>
    <s v="Booked"/>
    <d v="2018-03-05T17:15:01"/>
    <n v="2.6400914183999999"/>
    <n v="-9997248.6413043514"/>
    <s v="USD"/>
    <s v="T 2.625 02/28/2023"/>
    <x v="0"/>
    <m/>
    <m/>
    <m/>
    <x v="0"/>
    <s v="BONELLO_MFL_FI"/>
    <m/>
    <s v="NO PLATFORM - Match vs Confirmed _x000a_"/>
    <s v="VEN_SKULKARNI"/>
    <m/>
    <m/>
    <d v="2018-03-05T17:15:01"/>
    <m/>
  </r>
  <r>
    <s v="21483624"/>
    <x v="0"/>
    <s v="Government"/>
    <s v="BONELLO"/>
    <s v="BONY 2785"/>
    <x v="0"/>
    <s v="STATE STREET BANK &amp; TRST"/>
    <d v="2018-03-05T00:00:00"/>
    <s v="9128284A5"/>
    <n v="3000000"/>
    <n v="99.9296875"/>
    <d v="2018-03-06T00:00:00"/>
    <s v="Buy"/>
    <s v="Booked"/>
    <d v="2018-03-05T17:15:01"/>
    <n v="2.6400914183999999"/>
    <n v="-2999174.5923913"/>
    <s v="USD"/>
    <s v="T 2.625 02/28/2023"/>
    <x v="0"/>
    <m/>
    <m/>
    <m/>
    <x v="0"/>
    <s v="BONELLO_MFL_FI"/>
    <m/>
    <s v="NO PLATFORM - Match vs Confirmed _x000a_"/>
    <s v="VEN_SKULKARNI"/>
    <m/>
    <m/>
    <d v="2018-03-05T17:15:01"/>
    <m/>
  </r>
  <r>
    <s v="21483625"/>
    <x v="0"/>
    <s v="Government"/>
    <s v="BONELLO"/>
    <s v="BONY 2785"/>
    <x v="0"/>
    <s v="STATE STREET BANK &amp; TRST"/>
    <d v="2018-03-05T00:00:00"/>
    <s v="9128284A5"/>
    <n v="10000000"/>
    <n v="99.9296875"/>
    <d v="2018-03-06T00:00:00"/>
    <s v="Buy"/>
    <s v="Booked"/>
    <d v="2018-03-05T17:15:02"/>
    <n v="2.6400914183999999"/>
    <n v="-9997248.6413043514"/>
    <s v="USD"/>
    <s v="T 2.625 02/28/2023"/>
    <x v="0"/>
    <m/>
    <m/>
    <m/>
    <x v="0"/>
    <s v="BONELLO_MFL_FI"/>
    <m/>
    <s v="NO PLATFORM - Match vs Confirmed _x000a_"/>
    <s v="VEN_SKULKARNI"/>
    <m/>
    <m/>
    <d v="2018-03-05T17:15:02"/>
    <m/>
  </r>
  <r>
    <s v="21483626"/>
    <x v="0"/>
    <s v="Government"/>
    <s v="BONELLO"/>
    <s v="BONY 2785"/>
    <x v="0"/>
    <s v="STATE STREET BANK &amp; TRST"/>
    <d v="2018-03-05T00:00:00"/>
    <s v="9128284A5"/>
    <n v="3000000"/>
    <n v="99.9296875"/>
    <d v="2018-03-06T00:00:00"/>
    <s v="Buy"/>
    <s v="Booked"/>
    <d v="2018-03-05T17:15:03"/>
    <n v="2.6400914183999999"/>
    <n v="-2999174.5923913"/>
    <s v="USD"/>
    <s v="T 2.625 02/28/2023"/>
    <x v="0"/>
    <m/>
    <m/>
    <m/>
    <x v="0"/>
    <s v="BONELLO_MFL_FI"/>
    <m/>
    <s v="NO PLATFORM - Match vs Confirmed _x000a_"/>
    <s v="VEN_SKULKARNI"/>
    <m/>
    <m/>
    <d v="2018-03-05T17:15:03"/>
    <m/>
  </r>
  <r>
    <s v="21483627"/>
    <x v="0"/>
    <s v="Government"/>
    <s v="BONELLO"/>
    <s v="BONY 2785"/>
    <x v="0"/>
    <s v="STATE STREET BANK &amp; TRST"/>
    <d v="2018-03-05T00:00:00"/>
    <s v="9128284A5"/>
    <n v="5000000"/>
    <n v="99.9296875"/>
    <d v="2018-03-06T00:00:00"/>
    <s v="Buy"/>
    <s v="Booked"/>
    <d v="2018-03-05T17:15:04"/>
    <n v="2.6400914183999999"/>
    <n v="-4998624.3206521701"/>
    <s v="USD"/>
    <s v="T 2.625 02/28/2023"/>
    <x v="0"/>
    <m/>
    <m/>
    <m/>
    <x v="0"/>
    <s v="BONELLO_MFL_FI"/>
    <m/>
    <s v="NO PLATFORM - Match vs Confirmed _x000a_"/>
    <s v="VEN_SKULKARNI"/>
    <m/>
    <m/>
    <d v="2018-03-05T17:15:04"/>
    <m/>
  </r>
  <r>
    <s v="21483628"/>
    <x v="0"/>
    <s v="Government"/>
    <s v="BONELLO"/>
    <s v="BONY 2785"/>
    <x v="0"/>
    <s v="STATE STREET BANK &amp; TRST"/>
    <d v="2018-03-05T00:00:00"/>
    <s v="9128284A5"/>
    <n v="10000000"/>
    <n v="99.9296875"/>
    <d v="2018-03-06T00:00:00"/>
    <s v="Buy"/>
    <s v="Booked"/>
    <d v="2018-03-05T17:15:05"/>
    <n v="2.6400914183999999"/>
    <n v="-9997248.6413043514"/>
    <s v="USD"/>
    <s v="T 2.625 02/28/2023"/>
    <x v="0"/>
    <m/>
    <m/>
    <m/>
    <x v="0"/>
    <s v="BONELLO_MFL_FI"/>
    <m/>
    <s v="NO PLATFORM - Match vs Confirmed _x000a_"/>
    <s v="VEN_SKULKARNI"/>
    <m/>
    <m/>
    <d v="2018-03-05T17:15:05"/>
    <m/>
  </r>
  <r>
    <s v="21476579"/>
    <x v="1"/>
    <s v="US ABS"/>
    <s v="AG_CP"/>
    <s v="CGMI XPBMFI7"/>
    <x v="9"/>
    <s v="STEPHENS, INC"/>
    <d v="2018-03-05T00:00:00"/>
    <s v="02R030632"/>
    <n v="14000000"/>
    <n v="97"/>
    <d v="2018-03-13T00:00:00"/>
    <s v="Buy"/>
    <s v="Booked"/>
    <d v="2018-03-05T15:32:45"/>
    <n v="3.1484226622000002"/>
    <n v="-13580000"/>
    <s v="USD"/>
    <s v="FGLMC 3 3/18"/>
    <x v="0"/>
    <m/>
    <m/>
    <m/>
    <x v="0"/>
    <s v="AG_CP_MFL_FI"/>
    <m/>
    <s v="MLP SYSTEM ISSUE – Confirmed over email with Michele Kennon"/>
    <s v="VEN_SKULKARNI"/>
    <d v="2018-03-05T09:39:07"/>
    <m/>
    <d v="2018-03-05T09:37:12"/>
    <m/>
  </r>
  <r>
    <s v="21476577"/>
    <x v="1"/>
    <s v="US ABS"/>
    <s v="AG_CP"/>
    <s v="CGMI XPBMFI7"/>
    <x v="9"/>
    <s v="STEPHENS, INC"/>
    <d v="2018-03-05T00:00:00"/>
    <s v="3132QUDB6"/>
    <n v="8570382"/>
    <n v="97.328125"/>
    <d v="2018-03-13T00:00:00"/>
    <s v="Sell"/>
    <s v="Booked"/>
    <d v="2018-03-05T15:32:46"/>
    <n v="3.1448277207999999"/>
    <n v="7324809.8714179499"/>
    <s v="USD"/>
    <s v="FG Q37297"/>
    <x v="0"/>
    <m/>
    <m/>
    <m/>
    <x v="0"/>
    <s v="AG_CP_MFL_FI"/>
    <m/>
    <s v="MLP SYSTEM ISSUE – Confirmed over email with Michele Kennon"/>
    <s v="VEN_SKULKARNI"/>
    <d v="2018-03-05T09:39:07"/>
    <m/>
    <d v="2018-03-05T09:36:44"/>
    <m/>
  </r>
  <r>
    <s v="21476575"/>
    <x v="1"/>
    <s v="US ABS"/>
    <s v="AG_CP"/>
    <s v="CGMI XPBMFI7"/>
    <x v="9"/>
    <s v="STEPHENS, INC"/>
    <d v="2018-03-05T00:00:00"/>
    <s v="31335AQE1"/>
    <n v="8560000"/>
    <n v="97.453125"/>
    <d v="2018-03-13T00:00:00"/>
    <s v="Sell"/>
    <s v="Booked"/>
    <d v="2018-03-05T15:32:47"/>
    <n v="3.1374108634"/>
    <n v="6833610.5896939496"/>
    <s v="USD"/>
    <s v="FG G60453"/>
    <x v="0"/>
    <m/>
    <m/>
    <m/>
    <x v="0"/>
    <s v="AG_CP_MFL_FI"/>
    <m/>
    <s v="MLP SYSTEM ISSUE – Confirmed over email with Michele Kennon"/>
    <s v="VEN_SKULKARNI"/>
    <d v="2018-03-05T09:39:07"/>
    <m/>
    <d v="2018-03-05T09:36:43"/>
    <m/>
  </r>
  <r>
    <s v="21476334"/>
    <x v="1"/>
    <s v="Government"/>
    <s v="NET_HY"/>
    <s v="CSI 7533G"/>
    <x v="0"/>
    <s v="STIFEL NICOLAUS &amp; COMPANY, INCORPOR"/>
    <d v="2018-03-05T00:00:00"/>
    <s v="9128283W8"/>
    <n v="13800000"/>
    <n v="99.328125"/>
    <d v="2018-03-06T00:00:00"/>
    <s v="Sell"/>
    <s v="Booked"/>
    <d v="2018-03-05T15:45:04"/>
    <n v="2.8278548634999998"/>
    <n v="13727199.75828729"/>
    <s v="USD"/>
    <s v="T 2.75 02/15/2028"/>
    <x v="0"/>
    <m/>
    <m/>
    <m/>
    <x v="0"/>
    <s v="NET_HY_MFL_FI"/>
    <m/>
    <s v="MLP SYSTEM ISSUE – Confirmed over email with Lanza, John L "/>
    <s v="VEN_SKULKARNI"/>
    <d v="2018-03-05T09:17:12"/>
    <m/>
    <d v="2018-03-05T15:45:04"/>
    <m/>
  </r>
  <r>
    <s v="21476324"/>
    <x v="1"/>
    <s v="Corporate"/>
    <s v="NET_HY"/>
    <s v="CSI 7533G"/>
    <x v="1"/>
    <s v="STIFEL NICOLAUS &amp; COMPANY, INCORPOR"/>
    <d v="2018-03-05T00:00:00"/>
    <s v="25468PDF0"/>
    <n v="18070000"/>
    <n v="98.691000000000003"/>
    <d v="2018-03-07T00:00:00"/>
    <s v="Buy"/>
    <s v="Booked"/>
    <d v="2018-03-05T15:45:05"/>
    <n v="3.3480616188000001"/>
    <n v="-18102254.949999999"/>
    <s v="USD"/>
    <s v="DIS 3.15 09/17/2025 GMTN"/>
    <x v="0"/>
    <m/>
    <m/>
    <m/>
    <x v="0"/>
    <s v="NET_HY_MFL_FI"/>
    <m/>
    <s v="MLP SYSTEM ISSUE – Confirmed over email with Lanza, John L "/>
    <s v="VEN_SKULKARNI"/>
    <d v="2018-03-05T09:14:48"/>
    <m/>
    <d v="2018-03-05T15:45:05"/>
    <m/>
  </r>
  <r>
    <s v="21484669"/>
    <x v="1"/>
    <s v="Government"/>
    <s v="NET_FIN"/>
    <s v="CSI 7533G"/>
    <x v="0"/>
    <s v="STIFEL NICOLAUS &amp; COMPANY, INCORPOR"/>
    <d v="2018-03-05T00:00:00"/>
    <s v="9128283W8"/>
    <n v="4550000"/>
    <n v="98.875"/>
    <d v="2018-03-06T00:00:00"/>
    <s v="Sell"/>
    <s v="Booked"/>
    <d v="2018-03-05T16:28:59"/>
    <n v="2.8807705845"/>
    <n v="4505379.83425414"/>
    <s v="USD"/>
    <s v="T 2.75 02/15/2028"/>
    <x v="0"/>
    <m/>
    <m/>
    <m/>
    <x v="0"/>
    <s v="NET_FIN_MFL_FI"/>
    <m/>
    <s v="MLP SYSTEM ISSUE – Confirmed over email with Santoro, Kate "/>
    <s v="VEN_SKULKARNI"/>
    <d v="2018-03-05T16:04:57"/>
    <m/>
    <d v="2018-03-05T16:28:59"/>
    <m/>
  </r>
  <r>
    <s v="21484726"/>
    <x v="1"/>
    <s v="Government"/>
    <s v="ASIR_TR"/>
    <s v="CSI 7533G"/>
    <x v="0"/>
    <s v="STIFEL NICOLAUS &amp; COMPANY, INCORPOR"/>
    <d v="2018-03-05T00:00:00"/>
    <s v="912810RZ3"/>
    <n v="2512000"/>
    <n v="92.21875"/>
    <d v="2018-03-06T00:00:00"/>
    <s v="Sell"/>
    <s v="Booked"/>
    <d v="2018-03-05T16:29:00"/>
    <n v="3.1555047966999998"/>
    <n v="2337716.98895028"/>
    <s v="USD"/>
    <s v="T 2.75 11/15/2047"/>
    <x v="0"/>
    <m/>
    <m/>
    <m/>
    <x v="0"/>
    <s v="ASIR_TR_MFL_FI"/>
    <m/>
    <s v="MLP SYSTEM ISSUE – Confirmed over email with Santoro, Kate "/>
    <s v="VEN_SKULKARNI"/>
    <d v="2018-03-05T16:14:32"/>
    <m/>
    <d v="2018-03-05T16:29:00"/>
    <m/>
  </r>
  <r>
    <s v="21484727"/>
    <x v="1"/>
    <s v="Corporate"/>
    <s v="ASIR_TR"/>
    <s v="CSI 7533G"/>
    <x v="1"/>
    <s v="STIFEL NICOLAUS &amp; COMPANY, INCORPOR"/>
    <d v="2018-03-05T00:00:00"/>
    <s v="674599CN3"/>
    <n v="2730000"/>
    <n v="98.885999999999996"/>
    <d v="2018-03-07T00:00:00"/>
    <s v="Buy"/>
    <s v="Booked"/>
    <d v="2018-03-05T16:29:01"/>
    <n v="4.266015801"/>
    <n v="-2701180.3"/>
    <s v="USD"/>
    <s v="OXY 4.2 03/15/2048"/>
    <x v="0"/>
    <m/>
    <m/>
    <m/>
    <x v="0"/>
    <s v="ASIR_TR_MFL_FI"/>
    <m/>
    <s v="MLP SYSTEM ISSUE – Confirmed over email with Santoro, Kate "/>
    <s v="VEN_SKULKARNI"/>
    <d v="2018-03-05T16:14:32"/>
    <m/>
    <d v="2018-03-05T16:29:01"/>
    <m/>
  </r>
  <r>
    <s v="21484668"/>
    <x v="0"/>
    <s v="Corporate"/>
    <s v="NET_FIN"/>
    <s v="CSI 7533G"/>
    <x v="7"/>
    <s v="STIFEL NICOLAUS &amp; COMPANY, INCORPOR"/>
    <d v="2018-03-05T00:00:00"/>
    <s v="01609WAT9"/>
    <n v="5000000"/>
    <n v="95.105999999999995"/>
    <d v="2018-03-07T00:00:00"/>
    <s v="Buy"/>
    <s v="Booked"/>
    <d v="2018-03-05T16:29:50"/>
    <n v="4.0110495549999996"/>
    <n v="-4798272.2222222202"/>
    <s v="USD"/>
    <s v="BABA 3.4 12/06/2027"/>
    <x v="0"/>
    <m/>
    <m/>
    <m/>
    <x v="0"/>
    <s v="NET_FIN_MFL_FI"/>
    <m/>
    <s v="NO PLATFORM - Confirmed over email with Santoro, Kate"/>
    <s v="VEN_SKULKARNI"/>
    <m/>
    <m/>
    <d v="2018-03-05T16:29:50"/>
    <m/>
  </r>
  <r>
    <s v="21484737"/>
    <x v="1"/>
    <s v="Government"/>
    <s v="ASIR_TR"/>
    <s v="CSI 7533G"/>
    <x v="0"/>
    <s v="STIFEL NICOLAUS &amp; COMPANY, INCORPOR"/>
    <d v="2018-03-05T00:00:00"/>
    <s v="912810RZ3"/>
    <n v="837000"/>
    <n v="92.21875"/>
    <d v="2018-03-06T00:00:00"/>
    <s v="Sell"/>
    <s v="Booked"/>
    <d v="2018-03-05T16:52:39"/>
    <n v="3.1555047966999998"/>
    <n v="778928.78970993997"/>
    <s v="USD"/>
    <s v="T 2.75 11/15/2047"/>
    <x v="0"/>
    <m/>
    <m/>
    <m/>
    <x v="0"/>
    <s v="ASIR_TR_MFL_FI"/>
    <m/>
    <s v="MLP SYSTEM ISSUE – Confirmed over email with Lanza, John L "/>
    <s v="VEN_SKULKARNI"/>
    <d v="2018-03-05T16:24:14"/>
    <m/>
    <d v="2018-03-05T16:52:39"/>
    <m/>
  </r>
  <r>
    <s v="21484736"/>
    <x v="1"/>
    <s v="Corporate"/>
    <s v="ASIR_TR"/>
    <s v="CSI 7533G"/>
    <x v="1"/>
    <s v="STIFEL NICOLAUS &amp; COMPANY, INCORPOR"/>
    <d v="2018-03-05T00:00:00"/>
    <s v="674599CN3"/>
    <n v="910000"/>
    <n v="98.885999999999996"/>
    <d v="2018-03-07T00:00:00"/>
    <s v="Buy"/>
    <s v="Booked"/>
    <d v="2018-03-05T16:52:40"/>
    <n v="4.266015801"/>
    <n v="-900393.43333333009"/>
    <s v="USD"/>
    <s v="OXY 4.2 03/15/2048"/>
    <x v="0"/>
    <m/>
    <m/>
    <m/>
    <x v="0"/>
    <s v="ASIR_TR_MFL_FI"/>
    <m/>
    <s v="MLP SYSTEM ISSUE – Confirmed over email with Lanza, John L "/>
    <s v="VEN_SKULKARNI"/>
    <d v="2018-03-05T16:24:14"/>
    <m/>
    <d v="2018-03-05T16:52:40"/>
    <m/>
  </r>
  <r>
    <s v="21484429"/>
    <x v="1"/>
    <s v="Government"/>
    <s v="NEG_MG"/>
    <s v="CSI 7533G"/>
    <x v="0"/>
    <s v="SUNTRUST ROBINSON HUMPHREY, INC."/>
    <d v="2018-03-05T00:00:00"/>
    <s v="9128283W8"/>
    <n v="5300000"/>
    <n v="98.84375"/>
    <d v="2018-03-06T00:00:00"/>
    <s v="Sell"/>
    <s v="Booked"/>
    <d v="2018-03-05T17:16:44"/>
    <n v="2.8844301362999998"/>
    <n v="5246368.61187845"/>
    <s v="USD"/>
    <s v="T 2.75 02/15/2028"/>
    <x v="0"/>
    <m/>
    <m/>
    <m/>
    <x v="0"/>
    <s v="NEG_MG_MFL_FI"/>
    <m/>
    <s v="NO PLATFORM - Confirmed over email with Wright.Dwayne "/>
    <s v="VEN_SKULKARNI"/>
    <d v="2018-03-05T15:02:26"/>
    <m/>
    <d v="2018-03-05T17:16:44"/>
    <m/>
  </r>
  <r>
    <s v="21484430"/>
    <x v="1"/>
    <s v="Corporate"/>
    <s v="NEG_MG"/>
    <s v="CSI 7533G"/>
    <x v="1"/>
    <s v="SUNTRUST ROBINSON HUMPHREY, INC."/>
    <d v="2018-03-05T00:00:00"/>
    <s v="161175BJ2"/>
    <n v="6050000"/>
    <n v="92.418000000000006"/>
    <d v="2018-03-07T00:00:00"/>
    <s v="Buy"/>
    <s v="Booked"/>
    <d v="2018-03-05T17:16:45"/>
    <n v="4.7139703298000004"/>
    <n v="-5605153.5833333302"/>
    <s v="USD"/>
    <s v="CHTR 3.75 02/15/2028 WI"/>
    <x v="0"/>
    <m/>
    <m/>
    <m/>
    <x v="0"/>
    <s v="NEG_MG_MFL_FI"/>
    <m/>
    <s v="NO PLATFORM - Confirmed over email with Wright.Dwayne "/>
    <s v="VEN_SKULKARNI"/>
    <d v="2018-03-05T15:02:26"/>
    <m/>
    <d v="2018-03-05T17:16:45"/>
    <m/>
  </r>
  <r>
    <s v="21476218"/>
    <x v="0"/>
    <s v="Government"/>
    <s v="SYM_BAS"/>
    <s v="BCSL 500955"/>
    <x v="4"/>
    <s v="TULLETT LIBERTY BROKERAGE"/>
    <d v="2018-03-05T00:00:00"/>
    <s v="DE0001141778"/>
    <n v="7200000"/>
    <n v="100.0134"/>
    <d v="2018-03-07T00:00:00"/>
    <s v="Sell"/>
    <s v="Booked"/>
    <d v="2018-03-05T09:15:15"/>
    <n v="-2.6251250999999999E-3"/>
    <n v="7200964.7999999998"/>
    <s v="EUR"/>
    <s v="OBL 0 04/14/2023"/>
    <x v="0"/>
    <m/>
    <m/>
    <m/>
    <x v="0"/>
    <s v="SYM_BAS_MFL_FI"/>
    <m/>
    <s v="NO PLATFORM - Match vs Confirmed _x000a_"/>
    <s v="VEN_VGAYAKWAD"/>
    <m/>
    <m/>
    <d v="2018-03-05T09:15:15"/>
    <m/>
  </r>
  <r>
    <s v="21483317"/>
    <x v="0"/>
    <s v="Government"/>
    <s v="SYM_BAS"/>
    <s v="BCSL 500955"/>
    <x v="4"/>
    <s v="TULLETT LIBERTY BROKERAGE"/>
    <d v="2018-03-05T00:00:00"/>
    <s v="DE0001102309"/>
    <n v="7200000"/>
    <n v="107.7004"/>
    <d v="2018-03-07T00:00:00"/>
    <s v="Sell"/>
    <s v="Booked"/>
    <d v="2018-03-06T04:12:27"/>
    <n v="-5.4613296800000002E-2"/>
    <n v="7760346.6082191803"/>
    <s v="EUR"/>
    <s v="DBR 1.5 02/15/2023"/>
    <x v="0"/>
    <m/>
    <m/>
    <m/>
    <x v="0"/>
    <s v="SYM_BAS_MFL_FI"/>
    <m/>
    <s v="NO PLATFORM - Match vs Confirmed _x000a_"/>
    <s v="VEN_RAKOTTUR"/>
    <m/>
    <m/>
    <d v="2018-03-06T04:12:27"/>
    <m/>
  </r>
  <r>
    <s v="21474038"/>
    <x v="2"/>
    <s v="Corporate"/>
    <s v="BAIL_JG"/>
    <s v="BCSL 500955"/>
    <x v="25"/>
    <s v="UBS AG"/>
    <d v="2018-03-05T00:00:00"/>
    <s v="XS1598243142"/>
    <n v="2000000"/>
    <n v="103.25"/>
    <d v="2018-03-07T00:00:00"/>
    <s v="Buy"/>
    <s v="Confirmed"/>
    <d v="2018-03-05T06:16:33"/>
    <n v="2.6727695303000001"/>
    <n v="-2087930.5555555599"/>
    <s v="EUR"/>
    <s v="ANTOLN 3.25 04/30/2024 S"/>
    <x v="1"/>
    <s v="BN21474038"/>
    <s v="M"/>
    <m/>
    <x v="0"/>
    <s v="BAIL_JG_MFL_FI"/>
    <m/>
    <m/>
    <s v="TC-KINETIX-BRIDGE"/>
    <d v="2018-03-05T06:26:17"/>
    <s v="BN21474038"/>
    <d v="2018-03-05T06:16:26"/>
    <m/>
  </r>
  <r>
    <s v="21476941"/>
    <x v="2"/>
    <s v="Corporate"/>
    <s v="BAIL_CR"/>
    <s v="CSI 7533G"/>
    <x v="1"/>
    <s v="UBS AG"/>
    <d v="2018-03-05T00:00:00"/>
    <s v="55336VAN0"/>
    <n v="5000000"/>
    <n v="96.590999999999994"/>
    <d v="2018-03-07T00:00:00"/>
    <s v="Buy"/>
    <s v="Confirmed"/>
    <d v="2018-03-05T10:09:18"/>
    <n v="4.9170075635000003"/>
    <n v="-4848480.5555555606"/>
    <s v="USD"/>
    <s v="MPLX 4.7 04/15/2048"/>
    <x v="1"/>
    <s v="BN21476941"/>
    <s v="M"/>
    <m/>
    <x v="0"/>
    <s v="BAIL_CR_MFL_FI"/>
    <m/>
    <m/>
    <s v="Ribenincasa"/>
    <d v="2018-03-05T10:17:23"/>
    <s v="BN21476941"/>
    <d v="2018-03-05T10:09:18"/>
    <m/>
  </r>
  <r>
    <s v="21476944"/>
    <x v="2"/>
    <s v="Government"/>
    <s v="BAIL_CR"/>
    <s v="CSI 7533G"/>
    <x v="0"/>
    <s v="UBS AG"/>
    <d v="2018-03-05T00:00:00"/>
    <s v="912810RZ3"/>
    <n v="4100000"/>
    <n v="92.734375"/>
    <d v="2018-03-06T00:00:00"/>
    <s v="Sell"/>
    <s v="Confirmed"/>
    <d v="2018-03-05T10:09:28"/>
    <n v="3.1272777968000001"/>
    <n v="3836681.8888121499"/>
    <s v="USD"/>
    <s v="T 2.75 11/15/2047"/>
    <x v="1"/>
    <s v="BN21476944"/>
    <s v="M"/>
    <m/>
    <x v="0"/>
    <s v="BAIL_CR_MFL_FI"/>
    <m/>
    <m/>
    <s v="Ribenincasa"/>
    <d v="2018-03-05T10:17:23"/>
    <s v="BN21476944"/>
    <d v="2018-03-05T10:09:28"/>
    <m/>
  </r>
  <r>
    <s v="21484749"/>
    <x v="2"/>
    <s v="Corporate"/>
    <s v="ASIR_M"/>
    <s v="CSI 7533G"/>
    <x v="8"/>
    <s v="UBS AG"/>
    <d v="2018-03-05T00:00:00"/>
    <s v="50247WAB3"/>
    <n v="1820000"/>
    <n v="96.814999999999998"/>
    <d v="2018-03-07T00:00:00"/>
    <s v="Buy"/>
    <s v="Booked"/>
    <d v="2018-03-05T17:31:53"/>
    <n v="3.9239591496999999"/>
    <n v="-1762917.7222222199"/>
    <s v="USD"/>
    <s v="LYB 3.5 03/02/2027"/>
    <x v="0"/>
    <m/>
    <m/>
    <m/>
    <x v="0"/>
    <s v="ASIR_M_MFL_FI"/>
    <m/>
    <s v="BROKER BOOKING ISSUE (AESIR) - Confirmed over email with robert.wagstaff"/>
    <s v="VEN_SKULKARNI"/>
    <d v="2018-03-05T16:41:55"/>
    <m/>
    <d v="2018-03-05T17:31:53"/>
    <m/>
  </r>
  <r>
    <s v="21484751"/>
    <x v="2"/>
    <s v="Government"/>
    <s v="ASIR_M"/>
    <s v="CSI 7533G"/>
    <x v="0"/>
    <s v="UBS AG"/>
    <d v="2018-03-05T00:00:00"/>
    <s v="9128283W8"/>
    <n v="1547000"/>
    <n v="98.84375"/>
    <d v="2018-03-06T00:00:00"/>
    <s v="Sell"/>
    <s v="Booked"/>
    <d v="2018-03-05T17:31:53"/>
    <n v="2.8844301362999998"/>
    <n v="1531345.70614641"/>
    <s v="USD"/>
    <s v="T 2.75 02/15/2028"/>
    <x v="0"/>
    <m/>
    <m/>
    <m/>
    <x v="0"/>
    <s v="ASIR_M_MFL_FI"/>
    <m/>
    <s v="BROKER BOOKING ISSUE (AESIR) - Confirmed over email with robert.wagstaff"/>
    <s v="VEN_SKULKARNI"/>
    <d v="2018-03-05T16:41:55"/>
    <m/>
    <d v="2018-03-05T17:31:53"/>
    <m/>
  </r>
  <r>
    <s v="21484759"/>
    <x v="2"/>
    <s v="Corporate"/>
    <s v="ASIR_DU"/>
    <s v="CSI 7533G"/>
    <x v="15"/>
    <s v="UBS AG"/>
    <d v="2018-03-05T00:00:00"/>
    <s v="29250NAW5"/>
    <n v="4550000"/>
    <n v="100.25"/>
    <d v="2018-03-07T00:00:00"/>
    <s v="Sell"/>
    <s v="Booked"/>
    <d v="2018-03-05T17:31:54"/>
    <n v="6.2104153841"/>
    <n v="4566114.5833333302"/>
    <s v="USD"/>
    <s v="ENBCN V6.25 03/01/2078"/>
    <x v="0"/>
    <m/>
    <m/>
    <m/>
    <x v="0"/>
    <s v="ASIR_DU_MFL_FI"/>
    <m/>
    <s v="BROKER BOOKING ISSUE (AESIR) - Confirmed over email with robert.wagstaff"/>
    <s v="VEN_SKULKARNI"/>
    <d v="2018-03-05T16:41:55"/>
    <m/>
    <d v="2018-03-05T17:31:54"/>
    <m/>
  </r>
  <r>
    <s v="21474322"/>
    <x v="2"/>
    <s v="Government"/>
    <s v="SYM_DT"/>
    <s v="CGMI XPBMFI6"/>
    <x v="20"/>
    <s v="UNICREDIT BANK AG"/>
    <d v="2018-03-05T00:00:00"/>
    <s v="IT0005323362"/>
    <n v="18000000"/>
    <n v="100.39042999999999"/>
    <d v="2018-03-07T00:00:00"/>
    <s v="Sell"/>
    <s v="Confirmed"/>
    <d v="2018-03-05T06:43:11"/>
    <n v="-0.40696362629999999"/>
    <n v="18070277.399999999"/>
    <s v="EUR"/>
    <s v="BOTS 0 02/14/2019"/>
    <x v="1"/>
    <s v="BN21474322"/>
    <s v="M"/>
    <m/>
    <x v="0"/>
    <s v="SYM_DT_MFL_FI"/>
    <m/>
    <m/>
    <s v="TC-KINETIX-BRIDGE"/>
    <d v="2018-03-05T06:44:57"/>
    <s v="BN21474322"/>
    <d v="2018-03-05T06:43:07"/>
    <m/>
  </r>
  <r>
    <s v="21475571"/>
    <x v="2"/>
    <s v="Government"/>
    <s v="ANDBRO"/>
    <s v="CSI 0Z6Q"/>
    <x v="26"/>
    <s v="UNICREDIT BANK AG"/>
    <d v="2018-03-05T00:00:00"/>
    <s v="TRT110827T16"/>
    <n v="10000000"/>
    <n v="93.15"/>
    <d v="2018-03-07T00:00:00"/>
    <s v="Buy"/>
    <s v="Confirmed"/>
    <d v="2018-03-05T08:17:45"/>
    <n v="11.7150351425"/>
    <n v="-9355384.6153846215"/>
    <s v="TRY"/>
    <s v="TURKGB 10.5 08/11/2027"/>
    <x v="1"/>
    <s v="BN21475571"/>
    <s v="M"/>
    <m/>
    <x v="0"/>
    <s v="ANDBRO_C_MPI_FI"/>
    <m/>
    <m/>
    <s v="stbrown"/>
    <d v="2018-03-05T08:25:53"/>
    <s v="BN21475571"/>
    <d v="2018-03-05T08:17:45"/>
    <m/>
  </r>
  <r>
    <s v="21474342"/>
    <x v="2"/>
    <s v="Government"/>
    <s v="SYM_DT"/>
    <s v="CGMI XPBMFI6"/>
    <x v="20"/>
    <s v="UNICREDIT BANK AG"/>
    <d v="2018-03-05T00:00:00"/>
    <s v="IT0005323362"/>
    <n v="14400000"/>
    <n v="100.39331871"/>
    <d v="2018-03-07T00:00:00"/>
    <s v="Sell"/>
    <s v="Confirmed"/>
    <d v="2018-03-05T09:56:45"/>
    <n v="-0.41"/>
    <n v="14456637.894239999"/>
    <s v="EUR"/>
    <s v="BOTS 0 02/14/2019"/>
    <x v="1"/>
    <s v="BN21474342"/>
    <s v="M"/>
    <m/>
    <x v="0"/>
    <s v="SYM_DT_MFL_FI"/>
    <m/>
    <m/>
    <s v="TC-KINETIX-BRIDGE-STRATEGY"/>
    <d v="2018-03-05T06:53:32"/>
    <s v="BN21474342"/>
    <d v="2018-03-05T09:56:45"/>
    <m/>
  </r>
  <r>
    <s v="21483381"/>
    <x v="2"/>
    <s v="Government"/>
    <s v="TIER"/>
    <s v="BONY 2785"/>
    <x v="0"/>
    <s v="WELLS FARGO SECURITIES, L.L.C."/>
    <d v="2018-03-05T00:00:00"/>
    <s v="9128283X6"/>
    <n v="54325000"/>
    <n v="99.5"/>
    <d v="2018-03-06T00:00:00"/>
    <s v="Sell"/>
    <s v="Confirmed"/>
    <d v="2018-03-05T12:12:33"/>
    <n v="2.4265748014000001"/>
    <n v="54117529.523480661"/>
    <s v="USD"/>
    <s v="T 2.25 02/15/2021"/>
    <x v="1"/>
    <s v="BN21483381"/>
    <s v="M"/>
    <m/>
    <x v="0"/>
    <s v="TIER_MFL_FI"/>
    <m/>
    <m/>
    <s v="TC-KINETIX-BRIDGE"/>
    <d v="2018-03-05T12:18:08"/>
    <s v="BN21483381"/>
    <d v="2018-03-05T12:12:25"/>
    <m/>
  </r>
  <r>
    <s v="21483384"/>
    <x v="2"/>
    <s v="Government"/>
    <s v="TIER"/>
    <s v="BONY 2785"/>
    <x v="0"/>
    <s v="WELLS FARGO SECURITIES, L.L.C."/>
    <d v="2018-03-05T00:00:00"/>
    <s v="912828WN6"/>
    <n v="50000000"/>
    <n v="98.484375"/>
    <d v="2018-03-06T00:00:00"/>
    <s v="Buy"/>
    <s v="Confirmed"/>
    <d v="2018-03-05T12:13:11"/>
    <n v="2.4898560397999998"/>
    <n v="-49505923.763736263"/>
    <s v="USD"/>
    <s v="T 2 05/31/2021"/>
    <x v="1"/>
    <s v="BN21483384"/>
    <s v="M"/>
    <m/>
    <x v="0"/>
    <s v="TIER_MFL_FI"/>
    <m/>
    <m/>
    <s v="TC-KINETIX-BRIDGE"/>
    <d v="2018-03-05T12:18:08"/>
    <s v="BN21483384"/>
    <d v="2018-03-05T12:13:06"/>
    <m/>
  </r>
  <r>
    <s v="21484254"/>
    <x v="2"/>
    <s v="Corporate"/>
    <s v="NET_FIN"/>
    <s v="CSI 7533G"/>
    <x v="1"/>
    <s v="WELLS FARGO SECURITIES, L.L.C."/>
    <d v="2018-03-05T00:00:00"/>
    <s v="61746BEG7"/>
    <n v="3400000"/>
    <n v="100.61799999999999"/>
    <d v="2018-03-07T00:00:00"/>
    <s v="Buy"/>
    <s v="Confirmed"/>
    <d v="2018-03-05T13:56:30"/>
    <n v="4.3369978003999998"/>
    <n v="-3439605.75"/>
    <s v="USD"/>
    <s v="MS 4.375 01/22/2047"/>
    <x v="1"/>
    <s v="BN21484254"/>
    <s v="M"/>
    <m/>
    <x v="0"/>
    <s v="NET_FIN_MFL_FI"/>
    <m/>
    <m/>
    <s v="TC-KINETIX-BRIDGE"/>
    <d v="2018-03-05T14:02:01"/>
    <s v="BN21484254"/>
    <d v="2018-03-05T13:56:27"/>
    <m/>
  </r>
  <r>
    <s v="21484255"/>
    <x v="2"/>
    <s v="Government"/>
    <s v="NET_FIN"/>
    <s v="CSI 7533G"/>
    <x v="0"/>
    <s v="WELLS FARGO SECURITIES, L.L.C."/>
    <d v="2018-03-05T00:00:00"/>
    <s v="912810RZ3"/>
    <n v="3100000"/>
    <n v="92.015625"/>
    <d v="2018-03-06T00:00:00"/>
    <s v="Sell"/>
    <s v="Confirmed"/>
    <d v="2018-03-05T13:56:34"/>
    <n v="3.1666808273"/>
    <n v="2878624.56837017"/>
    <s v="USD"/>
    <s v="T 2.75 11/15/2047"/>
    <x v="1"/>
    <s v="BN21484255"/>
    <s v="M"/>
    <m/>
    <x v="0"/>
    <s v="NET_FIN_MFL_FI"/>
    <m/>
    <m/>
    <s v="TC-KINETIX-BRIDGE"/>
    <d v="2018-03-05T14:02:01"/>
    <s v="BN21484255"/>
    <d v="2018-03-05T13:56:29"/>
    <m/>
  </r>
  <r>
    <s v="21484376"/>
    <x v="2"/>
    <s v="Government"/>
    <s v="TIER"/>
    <s v="BONY 2785"/>
    <x v="0"/>
    <s v="WELLS FARGO SECURITIES, L.L.C."/>
    <d v="2018-03-05T00:00:00"/>
    <s v="912828P87"/>
    <n v="97500000"/>
    <n v="96.22265625"/>
    <d v="2018-03-06T00:00:00"/>
    <s v="Sell"/>
    <s v="Confirmed"/>
    <d v="2018-03-05T14:44:31"/>
    <n v="2.4454257015"/>
    <n v="93834973.675271735"/>
    <s v="USD"/>
    <s v="T 1.125 02/28/2021"/>
    <x v="1"/>
    <s v="BN21484376"/>
    <s v="M"/>
    <m/>
    <x v="0"/>
    <s v="TIER_MFL_FI"/>
    <m/>
    <m/>
    <s v="TC-KINETIX-BRIDGE"/>
    <d v="2018-03-05T14:48:49"/>
    <s v="BN21484376"/>
    <d v="2018-03-05T14:44:26"/>
    <m/>
  </r>
  <r>
    <s v="21484377"/>
    <x v="2"/>
    <s v="Government"/>
    <s v="TIER"/>
    <s v="BONY 2785"/>
    <x v="0"/>
    <s v="WELLS FARGO SECURITIES, L.L.C."/>
    <d v="2018-03-05T00:00:00"/>
    <s v="912828WN6"/>
    <n v="89000000"/>
    <n v="98.484375"/>
    <d v="2018-03-06T00:00:00"/>
    <s v="Buy"/>
    <s v="Confirmed"/>
    <d v="2018-03-05T14:44:43"/>
    <n v="2.4898560397999998"/>
    <n v="-88120544.299450547"/>
    <s v="USD"/>
    <s v="T 2 05/31/2021"/>
    <x v="1"/>
    <s v="BN21484377"/>
    <s v="M"/>
    <m/>
    <x v="0"/>
    <s v="TIER_MFL_FI"/>
    <m/>
    <m/>
    <s v="TC-KINETIX-BRIDGE"/>
    <d v="2018-03-05T14:48:49"/>
    <s v="BN21484377"/>
    <d v="2018-03-05T14:44:39"/>
    <m/>
  </r>
  <r>
    <s v="21484666"/>
    <x v="2"/>
    <s v="Corporate"/>
    <s v="BAIL_AD"/>
    <s v="CSI 7533G"/>
    <x v="1"/>
    <s v="WELLS FARGO SECURITIES, L.L.C."/>
    <d v="2018-03-05T00:00:00"/>
    <s v="35906AAM0"/>
    <n v="1500000"/>
    <n v="65.875"/>
    <d v="2018-03-07T00:00:00"/>
    <s v="Buy"/>
    <s v="Confirmed"/>
    <d v="2018-03-05T16:02:52"/>
    <n v="17.934222390199999"/>
    <n v="-1003562.5"/>
    <s v="USD"/>
    <s v="FTR 7.125 01/15/2023"/>
    <x v="1"/>
    <s v="BN21484666"/>
    <s v="M"/>
    <m/>
    <x v="0"/>
    <s v="BAIL_AD_MFL_FI"/>
    <m/>
    <m/>
    <s v="TC-KINETIX-BRIDGE"/>
    <d v="2018-03-05T16:13:09"/>
    <s v="BN21484666"/>
    <d v="2018-03-05T16:02:48"/>
    <m/>
  </r>
  <r>
    <s v="21484674"/>
    <x v="2"/>
    <s v="Corporate"/>
    <s v="BAIL_AD"/>
    <s v="CSI 7533G"/>
    <x v="1"/>
    <s v="WELLS FARGO SECURITIES, L.L.C."/>
    <d v="2018-03-05T00:00:00"/>
    <s v="35906AAM0"/>
    <n v="1500000"/>
    <n v="65.5"/>
    <d v="2018-03-07T00:00:00"/>
    <s v="Buy"/>
    <s v="Confirmed"/>
    <d v="2018-03-05T16:03:51"/>
    <n v="18.089656685000001"/>
    <n v="-997937.5"/>
    <s v="USD"/>
    <s v="FTR 7.125 01/15/2023"/>
    <x v="1"/>
    <s v="BN21484674"/>
    <s v="M"/>
    <m/>
    <x v="0"/>
    <s v="BAIL_AD_MFL_FI"/>
    <m/>
    <m/>
    <s v="TC-KINETIX-BRIDGE"/>
    <d v="2018-03-05T16:13:09"/>
    <s v="BN21484674"/>
    <d v="2018-03-05T16:03:46"/>
    <m/>
  </r>
  <r>
    <s v="21483408"/>
    <x v="2"/>
    <s v="Government"/>
    <s v="ASIR_TR"/>
    <s v="CSI 7533G"/>
    <x v="0"/>
    <s v="WELLS FARGO SECURITIES, L.L.C."/>
    <d v="2018-03-05T00:00:00"/>
    <s v="912810SA7"/>
    <n v="4550000"/>
    <n v="97.01953125"/>
    <d v="2018-03-06T00:00:00"/>
    <s v="Buy"/>
    <s v="Booked"/>
    <d v="2018-03-05T14:43:39"/>
    <n v="3.154496703"/>
    <n v="-4421553.0365158804"/>
    <s v="USD"/>
    <s v="T 3 02/15/2048"/>
    <x v="0"/>
    <m/>
    <m/>
    <m/>
    <x v="0"/>
    <s v="ASIR_TR_MFL_FI"/>
    <m/>
    <s v="BROKER BOOKING ISSUE (AESIR) - Confirmed over email with Ryan.R.Vaughn"/>
    <s v="VEN_SKULKARNI"/>
    <d v="2018-03-05T12:27:23"/>
    <m/>
    <d v="2018-03-05T14:43:39"/>
    <m/>
  </r>
  <r>
    <s v="21484108"/>
    <x v="2"/>
    <s v="Government"/>
    <s v="ASIR_TR"/>
    <s v="CSI 7533G"/>
    <x v="0"/>
    <s v="WELLS FARGO SECURITIES, L.L.C."/>
    <d v="2018-03-05T00:00:00"/>
    <s v="912810SA7"/>
    <n v="9100000"/>
    <n v="96.78515625"/>
    <d v="2018-03-06T00:00:00"/>
    <s v="Sell"/>
    <s v="Booked"/>
    <d v="2018-03-05T14:43:39"/>
    <n v="3.1669133993999998"/>
    <n v="8821777.9480317701"/>
    <s v="USD"/>
    <s v="T 3 02/15/2048"/>
    <x v="0"/>
    <m/>
    <m/>
    <m/>
    <x v="0"/>
    <s v="ASIR_TR_MFL_FI"/>
    <m/>
    <s v="BROKER BOOKING ISSUE (AESIR) - Confirmed over email with Ryan.R.Vaughn"/>
    <s v="VEN_SKULKARNI"/>
    <d v="2018-03-05T13:33:10"/>
    <m/>
    <d v="2018-03-05T14:43:39"/>
    <m/>
  </r>
  <r>
    <s v="21484110"/>
    <x v="2"/>
    <s v="Government"/>
    <s v="ASIR_TR"/>
    <s v="CSI 7533G"/>
    <x v="0"/>
    <s v="WELLS FARGO SECURITIES, L.L.C."/>
    <d v="2018-03-05T00:00:00"/>
    <s v="912810SA7"/>
    <n v="4550000"/>
    <n v="96.79296875"/>
    <d v="2018-03-06T00:00:00"/>
    <s v="Buy"/>
    <s v="Booked"/>
    <d v="2018-03-05T14:43:40"/>
    <n v="3.1664988738000002"/>
    <n v="-4411244.4427658794"/>
    <s v="USD"/>
    <s v="T 3 02/15/2048"/>
    <x v="0"/>
    <m/>
    <m/>
    <m/>
    <x v="0"/>
    <s v="ASIR_TR_MFL_FI"/>
    <m/>
    <s v="BROKER BOOKING ISSUE (AESIR) - Confirmed over email with Ryan.R.Vaughn"/>
    <s v="VEN_SKULKARNI"/>
    <d v="2018-03-05T13:33:10"/>
    <m/>
    <d v="2018-03-05T14:43:40"/>
    <m/>
  </r>
  <r>
    <s v="21484229"/>
    <x v="2"/>
    <s v="Government"/>
    <s v="ASIR_TR"/>
    <s v="CSI 7533G"/>
    <x v="0"/>
    <s v="WELLS FARGO SECURITIES, L.L.C."/>
    <d v="2018-03-05T00:00:00"/>
    <s v="912810SA7"/>
    <n v="6825000"/>
    <n v="96.8984375"/>
    <d v="2018-03-06T00:00:00"/>
    <s v="Buy"/>
    <s v="Booked"/>
    <d v="2018-03-05T14:43:41"/>
    <n v="3.1609070740999998"/>
    <n v="-6624064.9063363299"/>
    <s v="USD"/>
    <s v="T 3 02/15/2048"/>
    <x v="0"/>
    <m/>
    <m/>
    <m/>
    <x v="0"/>
    <s v="ASIR_TR_MFL_FI"/>
    <m/>
    <s v="BROKER BOOKING ISSUE (AESIR) - Confirmed over email with Ryan.R.Vaughn"/>
    <s v="VEN_SKULKARNI"/>
    <d v="2018-03-05T13:52:05"/>
    <m/>
    <d v="2018-03-05T14:43:41"/>
    <m/>
  </r>
  <r>
    <s v="21484231"/>
    <x v="2"/>
    <s v="Government"/>
    <s v="ASIR_TR"/>
    <s v="CSI 7533G"/>
    <x v="0"/>
    <s v="WELLS FARGO SECURITIES, L.L.C."/>
    <d v="2018-03-05T00:00:00"/>
    <s v="912810SA7"/>
    <n v="4550000"/>
    <n v="96.89453125"/>
    <d v="2018-03-06T00:00:00"/>
    <s v="Buy"/>
    <s v="Booked"/>
    <d v="2018-03-05T14:43:41"/>
    <n v="3.1611140352999998"/>
    <n v="-4415865.5365158804"/>
    <s v="USD"/>
    <s v="T 3 02/15/2048"/>
    <x v="0"/>
    <m/>
    <m/>
    <m/>
    <x v="0"/>
    <s v="ASIR_TR_MFL_FI"/>
    <m/>
    <s v="BROKER BOOKING ISSUE (AESIR) - Confirmed over email with Ryan.R.Vaughn"/>
    <s v="VEN_SKULKARNI"/>
    <d v="2018-03-05T14:02:01"/>
    <m/>
    <d v="2018-03-05T14:43:4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22" applyNumberFormats="0" applyBorderFormats="0" applyFontFormats="0" applyPatternFormats="0" applyAlignmentFormats="0" applyWidthHeightFormats="1" dataCaption="Values" updatedVersion="4" minRefreshableVersion="3" asteriskTotals="1" useAutoFormatting="1" itemPrintTitles="1" createdVersion="4" indent="0" compact="0" compactData="0" gridDropZones="1" multipleFieldFilters="0">
  <location ref="A3:E9" firstHeaderRow="1" firstDataRow="3" firstDataCol="1" rowPageCount="1" colPageCount="1"/>
  <pivotFields count="32">
    <pivotField compact="0" outline="0" showAll="0" defaultSubtotal="0"/>
    <pivotField axis="axisCol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/>
    <pivotField axis="axisPage" compact="0" outline="0" multipleItemSelectionAllowed="1" showAll="0">
      <items count="28">
        <item x="15"/>
        <item x="20"/>
        <item h="1" x="9"/>
        <item x="1"/>
        <item x="0"/>
        <item h="1" x="19"/>
        <item h="1" x="21"/>
        <item h="1" x="12"/>
        <item h="1" x="4"/>
        <item h="1" x="2"/>
        <item h="1" x="17"/>
        <item h="1" x="23"/>
        <item h="1" x="11"/>
        <item h="1" x="16"/>
        <item h="1" x="10"/>
        <item h="1" x="8"/>
        <item h="1" x="22"/>
        <item h="1" x="7"/>
        <item h="1" x="6"/>
        <item h="1" x="5"/>
        <item h="1" x="3"/>
        <item h="1" x="13"/>
        <item h="1" x="14"/>
        <item h="1" x="18"/>
        <item h="1" x="24"/>
        <item h="1" x="25"/>
        <item h="1" x="26"/>
        <item t="default"/>
      </items>
    </pivotField>
    <pivotField compact="0" outline="0" showAll="0" defaultSubtotal="0"/>
    <pivotField compact="0" numFmtId="14" outline="0" showAll="0"/>
    <pivotField compact="0" outline="0" showAll="0"/>
    <pivotField compact="0" numFmtId="4" outline="0" showAll="0"/>
    <pivotField compact="0" numFmtId="4" outline="0" showAll="0"/>
    <pivotField compact="0" numFmtId="14" outline="0" showAll="0"/>
    <pivotField compact="0" outline="0" showAll="0"/>
    <pivotField compact="0" outline="0" showAll="0"/>
    <pivotField compact="0" numFmtId="14" outline="0" showAll="0"/>
    <pivotField compact="0" numFmtId="4" outline="0" showAll="0"/>
    <pivotField compact="0" numFmtId="4" outline="0" showAll="0" defaultSubtotal="0"/>
    <pivotField compact="0" outline="0" showAll="0"/>
    <pivotField compact="0" outline="0" showAll="0"/>
    <pivotField axis="axisRow" dataField="1" compact="0" outline="0" showAll="0">
      <items count="4">
        <item x="2"/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axis="axisCol" compact="0" outline="0" showAll="0">
      <items count="2">
        <item x="0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</pivotFields>
  <rowFields count="1">
    <field x="19"/>
  </rowFields>
  <rowItems count="4">
    <i>
      <x/>
    </i>
    <i>
      <x v="1"/>
    </i>
    <i>
      <x v="2"/>
    </i>
    <i t="grand">
      <x/>
    </i>
  </rowItems>
  <colFields count="2">
    <field x="1"/>
    <field x="23"/>
  </colFields>
  <colItems count="4">
    <i>
      <x/>
      <x/>
    </i>
    <i>
      <x v="1"/>
      <x/>
    </i>
    <i>
      <x v="2"/>
      <x/>
    </i>
    <i t="grand">
      <x/>
    </i>
  </colItems>
  <pageFields count="1">
    <pageField fld="5" hier="-1"/>
  </pageFields>
  <dataFields count="1">
    <dataField name="Count of Final Status" fld="19" subtotal="count" baseField="0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cene3d>
          <a:camera prst="orthographicFront"/>
          <a:lightRig rig="threePt" dir="t"/>
        </a:scene3d>
        <a:sp3d>
          <a:bevelT w="165100" prst="coolSlant"/>
        </a:sp3d>
      </a:spPr>
      <a:bodyPr vertOverflow="clip" horzOverflow="clip" rtlCol="0" anchor="ctr"/>
      <a:lstStyle>
        <a:defPPr algn="ctr">
          <a:defRPr sz="2000" b="1">
            <a:solidFill>
              <a:sysClr val="windowText" lastClr="000000"/>
            </a:solidFill>
          </a:defRPr>
        </a:defPPr>
      </a:lstStyle>
      <a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48"/>
  <sheetViews>
    <sheetView workbookViewId="0">
      <selection activeCell="C25" sqref="C25"/>
    </sheetView>
  </sheetViews>
  <sheetFormatPr defaultRowHeight="15" x14ac:dyDescent="0.25"/>
  <cols>
    <col min="1" max="1" width="13.5703125" bestFit="1" customWidth="1"/>
  </cols>
  <sheetData>
    <row r="1" spans="1:20" ht="15.75" thickBot="1" x14ac:dyDescent="0.3">
      <c r="A1" s="29" t="s">
        <v>0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8"/>
    </row>
    <row r="2" spans="1:20" x14ac:dyDescent="0.25">
      <c r="A2" s="22">
        <v>1</v>
      </c>
      <c r="B2" s="1" t="s">
        <v>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9"/>
    </row>
    <row r="3" spans="1:20" x14ac:dyDescent="0.25">
      <c r="A3" s="22">
        <v>2</v>
      </c>
      <c r="B3" s="1" t="s">
        <v>2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9"/>
    </row>
    <row r="4" spans="1:20" x14ac:dyDescent="0.25">
      <c r="A4" s="22">
        <v>3</v>
      </c>
      <c r="B4" s="1" t="s">
        <v>3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9"/>
    </row>
    <row r="5" spans="1:20" x14ac:dyDescent="0.25">
      <c r="A5" s="22">
        <v>4</v>
      </c>
      <c r="B5" s="1" t="s">
        <v>4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9"/>
    </row>
    <row r="6" spans="1:20" x14ac:dyDescent="0.25">
      <c r="A6" s="22">
        <v>5</v>
      </c>
      <c r="B6" s="1" t="s">
        <v>5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9"/>
    </row>
    <row r="7" spans="1:20" x14ac:dyDescent="0.25">
      <c r="A7" s="22">
        <v>6</v>
      </c>
      <c r="B7" s="1" t="s">
        <v>6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9"/>
    </row>
    <row r="8" spans="1:20" x14ac:dyDescent="0.25">
      <c r="A8" s="22">
        <v>7</v>
      </c>
      <c r="B8" s="1" t="s">
        <v>7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9"/>
    </row>
    <row r="9" spans="1:20" x14ac:dyDescent="0.25">
      <c r="A9" s="22">
        <v>8</v>
      </c>
      <c r="B9" s="1" t="s">
        <v>8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9"/>
    </row>
    <row r="10" spans="1:20" x14ac:dyDescent="0.25">
      <c r="A10" s="22">
        <v>9</v>
      </c>
      <c r="B10" s="1" t="s">
        <v>9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9"/>
    </row>
    <row r="11" spans="1:20" x14ac:dyDescent="0.25">
      <c r="A11" s="22">
        <v>10</v>
      </c>
      <c r="B11" s="1" t="s">
        <v>10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9"/>
    </row>
    <row r="12" spans="1:20" x14ac:dyDescent="0.25">
      <c r="A12" s="22">
        <v>11</v>
      </c>
      <c r="B12" s="1" t="s">
        <v>11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9"/>
    </row>
    <row r="13" spans="1:20" x14ac:dyDescent="0.25">
      <c r="A13" s="22">
        <v>12</v>
      </c>
      <c r="B13" s="1" t="s">
        <v>12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9"/>
    </row>
    <row r="14" spans="1:20" x14ac:dyDescent="0.25">
      <c r="A14" s="22">
        <v>13</v>
      </c>
      <c r="B14" s="1" t="s">
        <v>13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9"/>
    </row>
    <row r="15" spans="1:20" x14ac:dyDescent="0.25">
      <c r="A15" s="22">
        <v>14</v>
      </c>
      <c r="B15" s="1" t="s">
        <v>14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9"/>
    </row>
    <row r="16" spans="1:20" x14ac:dyDescent="0.25">
      <c r="A16" s="22">
        <v>15</v>
      </c>
      <c r="B16" s="1" t="s">
        <v>15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9"/>
    </row>
    <row r="17" spans="1:20" x14ac:dyDescent="0.25">
      <c r="A17" s="22">
        <v>16</v>
      </c>
      <c r="B17" s="1" t="s">
        <v>16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9"/>
    </row>
    <row r="18" spans="1:20" x14ac:dyDescent="0.25">
      <c r="A18" s="22">
        <v>17</v>
      </c>
      <c r="B18" s="1" t="s">
        <v>17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9"/>
    </row>
    <row r="19" spans="1:20" x14ac:dyDescent="0.25">
      <c r="A19" s="22">
        <v>18</v>
      </c>
      <c r="B19" s="1" t="s">
        <v>18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9"/>
    </row>
    <row r="20" spans="1:20" x14ac:dyDescent="0.25">
      <c r="A20" s="2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9"/>
    </row>
    <row r="21" spans="1:20" x14ac:dyDescent="0.25">
      <c r="A21" s="27">
        <v>19</v>
      </c>
      <c r="B21" s="28" t="s">
        <v>49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9"/>
    </row>
    <row r="22" spans="1:20" x14ac:dyDescent="0.25">
      <c r="A22" s="30"/>
      <c r="B22" s="1"/>
      <c r="C22" s="1" t="s">
        <v>50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9"/>
    </row>
    <row r="23" spans="1:20" x14ac:dyDescent="0.25">
      <c r="A23" s="30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9"/>
    </row>
    <row r="24" spans="1:20" x14ac:dyDescent="0.25">
      <c r="A24" s="27">
        <v>20</v>
      </c>
      <c r="B24" s="28" t="s">
        <v>51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9"/>
    </row>
    <row r="25" spans="1:20" x14ac:dyDescent="0.25">
      <c r="A25" s="30"/>
      <c r="B25" s="1" t="s">
        <v>53</v>
      </c>
      <c r="C25" s="1" t="s">
        <v>52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9"/>
    </row>
    <row r="26" spans="1:20" x14ac:dyDescent="0.25">
      <c r="A26" s="30"/>
      <c r="B26" s="1" t="s">
        <v>54</v>
      </c>
      <c r="C26" s="1" t="s">
        <v>56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9"/>
    </row>
    <row r="27" spans="1:20" x14ac:dyDescent="0.25">
      <c r="A27" s="30"/>
      <c r="B27" s="1" t="s">
        <v>55</v>
      </c>
      <c r="C27" s="1" t="s">
        <v>57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9"/>
    </row>
    <row r="28" spans="1:20" x14ac:dyDescent="0.25">
      <c r="A28" s="30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9"/>
    </row>
    <row r="29" spans="1:20" x14ac:dyDescent="0.25">
      <c r="A29" s="31">
        <v>21</v>
      </c>
      <c r="B29" s="28" t="s">
        <v>58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9"/>
    </row>
    <row r="30" spans="1:20" x14ac:dyDescent="0.25">
      <c r="A30" s="30"/>
      <c r="B30" s="1"/>
      <c r="C30" s="1" t="s">
        <v>59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9"/>
    </row>
    <row r="31" spans="1:20" x14ac:dyDescent="0.25">
      <c r="A31" s="30"/>
      <c r="B31" s="1" t="s">
        <v>53</v>
      </c>
      <c r="C31" s="28" t="s">
        <v>60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9"/>
    </row>
    <row r="32" spans="1:20" x14ac:dyDescent="0.25">
      <c r="A32" s="30"/>
      <c r="B32" s="1"/>
      <c r="C32" s="1"/>
      <c r="D32" s="1" t="s">
        <v>61</v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9"/>
    </row>
    <row r="33" spans="1:20" x14ac:dyDescent="0.25">
      <c r="A33" s="30"/>
      <c r="B33" s="1" t="s">
        <v>54</v>
      </c>
      <c r="C33" s="28" t="s">
        <v>62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9"/>
    </row>
    <row r="34" spans="1:20" x14ac:dyDescent="0.25">
      <c r="A34" s="30"/>
      <c r="B34" s="1"/>
      <c r="C34" s="1"/>
      <c r="D34" s="1" t="s">
        <v>63</v>
      </c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9"/>
    </row>
    <row r="35" spans="1:20" x14ac:dyDescent="0.25">
      <c r="A35" s="30"/>
      <c r="B35" s="1"/>
      <c r="C35" s="1"/>
      <c r="D35" s="1" t="s">
        <v>53</v>
      </c>
      <c r="E35" s="1" t="s">
        <v>64</v>
      </c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9"/>
    </row>
    <row r="36" spans="1:20" x14ac:dyDescent="0.25">
      <c r="A36" s="30"/>
      <c r="B36" s="1"/>
      <c r="C36" s="1"/>
      <c r="D36" s="1" t="s">
        <v>54</v>
      </c>
      <c r="E36" s="1" t="s">
        <v>65</v>
      </c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9"/>
    </row>
    <row r="37" spans="1:20" x14ac:dyDescent="0.25">
      <c r="A37" s="30"/>
      <c r="B37" s="1"/>
      <c r="C37" s="1"/>
      <c r="D37" s="1" t="s">
        <v>55</v>
      </c>
      <c r="E37" s="1" t="s">
        <v>66</v>
      </c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9"/>
    </row>
    <row r="38" spans="1:20" x14ac:dyDescent="0.25">
      <c r="A38" s="30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9"/>
    </row>
    <row r="39" spans="1:20" x14ac:dyDescent="0.25">
      <c r="A39" s="31">
        <v>22</v>
      </c>
      <c r="B39" s="28" t="s">
        <v>67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9"/>
    </row>
    <row r="40" spans="1:20" x14ac:dyDescent="0.25">
      <c r="A40" s="30"/>
      <c r="B40" s="1"/>
      <c r="C40" s="28" t="s">
        <v>68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9"/>
    </row>
    <row r="41" spans="1:20" x14ac:dyDescent="0.25">
      <c r="A41" s="30"/>
      <c r="B41" s="1"/>
      <c r="C41" s="1" t="s">
        <v>69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9"/>
    </row>
    <row r="42" spans="1:20" x14ac:dyDescent="0.25">
      <c r="A42" s="30"/>
      <c r="B42" s="1"/>
      <c r="C42" s="1" t="s">
        <v>53</v>
      </c>
      <c r="D42" s="1" t="s">
        <v>70</v>
      </c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9"/>
    </row>
    <row r="43" spans="1:20" x14ac:dyDescent="0.25">
      <c r="A43" s="30"/>
      <c r="B43" s="1"/>
      <c r="C43" s="1" t="s">
        <v>54</v>
      </c>
      <c r="D43" s="1" t="s">
        <v>71</v>
      </c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9"/>
    </row>
    <row r="44" spans="1:20" x14ac:dyDescent="0.25">
      <c r="A44" s="30"/>
      <c r="B44" s="1"/>
      <c r="C44" s="1" t="s">
        <v>55</v>
      </c>
      <c r="D44" s="1" t="s">
        <v>72</v>
      </c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9"/>
    </row>
    <row r="45" spans="1:20" x14ac:dyDescent="0.25">
      <c r="A45" s="30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9"/>
    </row>
    <row r="46" spans="1:20" x14ac:dyDescent="0.25">
      <c r="A46" s="30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9"/>
    </row>
    <row r="47" spans="1:20" x14ac:dyDescent="0.25">
      <c r="A47" s="30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9"/>
    </row>
    <row r="48" spans="1:20" ht="15.75" thickBot="1" x14ac:dyDescent="0.3">
      <c r="A48" s="32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1:N26"/>
  <sheetViews>
    <sheetView showGridLines="0" showRowColHeaders="0" tabSelected="1" workbookViewId="0"/>
  </sheetViews>
  <sheetFormatPr defaultColWidth="0" defaultRowHeight="15" zeroHeight="1" x14ac:dyDescent="0.25"/>
  <cols>
    <col min="1" max="1" width="29" bestFit="1" customWidth="1"/>
    <col min="2" max="2" width="11.85546875" customWidth="1"/>
    <col min="3" max="3" width="9.140625" customWidth="1"/>
    <col min="4" max="4" width="10.7109375" customWidth="1"/>
    <col min="5" max="10" width="9.140625" customWidth="1"/>
    <col min="11" max="11" width="11.28515625" customWidth="1"/>
    <col min="12" max="14" width="9.140625" hidden="1" customWidth="1"/>
    <col min="15" max="16384" width="9.140625" hidden="1"/>
  </cols>
  <sheetData>
    <row r="1" spans="1:14" x14ac:dyDescent="0.25">
      <c r="A1" s="156">
        <v>0.70833333333333337</v>
      </c>
      <c r="B1" s="157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</row>
    <row r="2" spans="1:14" x14ac:dyDescent="0.25">
      <c r="A2" s="159"/>
      <c r="B2" s="158"/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</row>
    <row r="3" spans="1:14" x14ac:dyDescent="0.25">
      <c r="A3" s="158"/>
      <c r="B3" s="158"/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</row>
    <row r="4" spans="1:14" x14ac:dyDescent="0.25">
      <c r="A4" s="158"/>
      <c r="B4" s="158"/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158"/>
    </row>
    <row r="5" spans="1:14" x14ac:dyDescent="0.25">
      <c r="A5" s="160"/>
      <c r="B5" s="160"/>
      <c r="C5" s="160"/>
      <c r="D5" s="160"/>
      <c r="E5" s="160"/>
      <c r="F5" s="160"/>
      <c r="G5" s="160"/>
      <c r="H5" s="160"/>
      <c r="I5" s="160"/>
      <c r="J5" s="160"/>
      <c r="K5" s="160"/>
      <c r="L5" s="158"/>
      <c r="M5" s="158"/>
      <c r="N5" s="158"/>
    </row>
    <row r="6" spans="1:14" ht="15.75" x14ac:dyDescent="0.25">
      <c r="A6" s="165" t="s">
        <v>313</v>
      </c>
      <c r="B6" s="164">
        <v>43165</v>
      </c>
      <c r="C6" s="160"/>
      <c r="D6" s="160"/>
      <c r="E6" s="160"/>
      <c r="F6" s="160"/>
      <c r="G6" s="160"/>
      <c r="H6" s="160"/>
      <c r="I6" s="160"/>
      <c r="J6" s="160"/>
      <c r="K6" s="160"/>
      <c r="L6" s="158"/>
      <c r="M6" s="158"/>
      <c r="N6" s="158"/>
    </row>
    <row r="7" spans="1:14" ht="11.1" customHeight="1" x14ac:dyDescent="0.25">
      <c r="A7" s="160"/>
      <c r="B7" s="160"/>
      <c r="C7" s="161"/>
      <c r="D7" s="161"/>
      <c r="E7" s="161"/>
      <c r="F7" s="161"/>
      <c r="G7" s="161"/>
      <c r="H7" s="161"/>
      <c r="I7" s="161"/>
      <c r="J7" s="161"/>
      <c r="K7" s="161"/>
      <c r="L7" s="158"/>
      <c r="M7" s="158"/>
      <c r="N7" s="158"/>
    </row>
    <row r="8" spans="1:14" ht="11.1" customHeight="1" x14ac:dyDescent="0.25">
      <c r="A8" s="162"/>
      <c r="B8" s="160"/>
      <c r="C8" s="161"/>
      <c r="D8" s="161"/>
      <c r="E8" s="161"/>
      <c r="F8" s="161"/>
      <c r="G8" s="161"/>
      <c r="H8" s="161"/>
      <c r="I8" s="161"/>
      <c r="J8" s="161"/>
      <c r="K8" s="161"/>
      <c r="L8" s="158"/>
      <c r="M8" s="158"/>
      <c r="N8" s="158"/>
    </row>
    <row r="9" spans="1:14" ht="15.75" x14ac:dyDescent="0.25">
      <c r="A9" s="163" t="s">
        <v>291</v>
      </c>
      <c r="B9" s="167" t="s">
        <v>290</v>
      </c>
      <c r="C9" s="168"/>
      <c r="D9" s="168"/>
      <c r="E9" s="168"/>
      <c r="F9" s="168"/>
      <c r="G9" s="168"/>
      <c r="H9" s="168"/>
      <c r="I9" s="168"/>
      <c r="J9" s="169"/>
      <c r="K9" s="160"/>
      <c r="L9" s="158"/>
      <c r="M9" s="158"/>
      <c r="N9" s="158"/>
    </row>
    <row r="10" spans="1:14" ht="11.1" customHeight="1" x14ac:dyDescent="0.25">
      <c r="A10" s="160"/>
      <c r="B10" s="160"/>
      <c r="C10" s="160"/>
      <c r="D10" s="160"/>
      <c r="E10" s="160"/>
      <c r="F10" s="160"/>
      <c r="G10" s="160"/>
      <c r="H10" s="160"/>
      <c r="I10" s="160"/>
      <c r="J10" s="160"/>
      <c r="K10" s="160"/>
      <c r="L10" s="158"/>
      <c r="M10" s="158"/>
      <c r="N10" s="158"/>
    </row>
    <row r="11" spans="1:14" ht="11.1" customHeight="1" x14ac:dyDescent="0.25">
      <c r="A11" s="160"/>
      <c r="B11" s="160"/>
      <c r="C11" s="160"/>
      <c r="D11" s="160"/>
      <c r="E11" s="160"/>
      <c r="F11" s="160"/>
      <c r="G11" s="160"/>
      <c r="H11" s="160"/>
      <c r="I11" s="160"/>
      <c r="J11" s="160"/>
      <c r="K11" s="160"/>
      <c r="L11" s="158"/>
      <c r="M11" s="158"/>
      <c r="N11" s="158"/>
    </row>
    <row r="12" spans="1:14" ht="15.75" x14ac:dyDescent="0.25">
      <c r="A12" s="163" t="s">
        <v>19</v>
      </c>
      <c r="B12" s="167" t="s">
        <v>315</v>
      </c>
      <c r="C12" s="168"/>
      <c r="D12" s="168"/>
      <c r="E12" s="168"/>
      <c r="F12" s="168"/>
      <c r="G12" s="168"/>
      <c r="H12" s="168"/>
      <c r="I12" s="168"/>
      <c r="J12" s="169"/>
      <c r="K12" s="160"/>
      <c r="L12" s="158"/>
      <c r="M12" s="158"/>
      <c r="N12" s="158"/>
    </row>
    <row r="13" spans="1:14" ht="11.1" customHeight="1" x14ac:dyDescent="0.25">
      <c r="A13" s="163"/>
      <c r="B13" s="160"/>
      <c r="C13" s="160"/>
      <c r="D13" s="160"/>
      <c r="E13" s="160"/>
      <c r="F13" s="160"/>
      <c r="G13" s="160"/>
      <c r="H13" s="160"/>
      <c r="I13" s="160"/>
      <c r="J13" s="160"/>
      <c r="K13" s="160"/>
      <c r="L13" s="158"/>
      <c r="M13" s="158"/>
      <c r="N13" s="158"/>
    </row>
    <row r="14" spans="1:14" ht="11.1" customHeight="1" x14ac:dyDescent="0.25">
      <c r="A14" s="160"/>
      <c r="B14" s="160"/>
      <c r="C14" s="160"/>
      <c r="D14" s="160"/>
      <c r="E14" s="160"/>
      <c r="F14" s="160"/>
      <c r="G14" s="160"/>
      <c r="H14" s="160"/>
      <c r="I14" s="160"/>
      <c r="J14" s="160"/>
      <c r="K14" s="160"/>
      <c r="L14" s="158"/>
      <c r="M14" s="158"/>
      <c r="N14" s="158"/>
    </row>
    <row r="15" spans="1:14" ht="15.75" x14ac:dyDescent="0.25">
      <c r="A15" s="163" t="s">
        <v>314</v>
      </c>
      <c r="B15" s="167" t="s">
        <v>312</v>
      </c>
      <c r="C15" s="168"/>
      <c r="D15" s="168"/>
      <c r="E15" s="168"/>
      <c r="F15" s="168"/>
      <c r="G15" s="168"/>
      <c r="H15" s="168"/>
      <c r="I15" s="168"/>
      <c r="J15" s="169"/>
      <c r="K15" s="160"/>
      <c r="L15" s="158"/>
      <c r="M15" s="158"/>
      <c r="N15" s="158"/>
    </row>
    <row r="16" spans="1:14" x14ac:dyDescent="0.25">
      <c r="A16" s="160"/>
      <c r="B16" s="160"/>
      <c r="C16" s="160"/>
      <c r="D16" s="160"/>
      <c r="E16" s="160"/>
      <c r="F16" s="160"/>
      <c r="G16" s="160"/>
      <c r="H16" s="160"/>
      <c r="I16" s="160"/>
      <c r="J16" s="160"/>
      <c r="K16" s="160"/>
      <c r="L16" s="158"/>
      <c r="M16" s="158"/>
      <c r="N16" s="158"/>
    </row>
    <row r="17" spans="1:14" x14ac:dyDescent="0.25">
      <c r="A17" s="160"/>
      <c r="B17" s="160"/>
      <c r="C17" s="160"/>
      <c r="D17" s="160"/>
      <c r="E17" s="160"/>
      <c r="F17" s="160"/>
      <c r="G17" s="160"/>
      <c r="H17" s="160"/>
      <c r="I17" s="160"/>
      <c r="J17" s="160"/>
      <c r="K17" s="160"/>
      <c r="L17" s="158"/>
      <c r="M17" s="158"/>
      <c r="N17" s="158"/>
    </row>
    <row r="18" spans="1:14" x14ac:dyDescent="0.25">
      <c r="A18" s="160"/>
      <c r="B18" s="160"/>
      <c r="C18" s="160"/>
      <c r="D18" s="160"/>
      <c r="E18" s="160"/>
      <c r="F18" s="160"/>
      <c r="G18" s="160"/>
      <c r="H18" s="160"/>
      <c r="I18" s="160"/>
      <c r="J18" s="160"/>
      <c r="K18" s="160"/>
      <c r="L18" s="158"/>
      <c r="M18" s="158"/>
      <c r="N18" s="158"/>
    </row>
    <row r="19" spans="1:14" x14ac:dyDescent="0.25">
      <c r="A19" s="160"/>
      <c r="B19" s="160"/>
      <c r="C19" s="160"/>
      <c r="D19" s="160"/>
      <c r="E19" s="160"/>
      <c r="F19" s="160"/>
      <c r="G19" s="160"/>
      <c r="H19" s="160"/>
      <c r="I19" s="160"/>
      <c r="J19" s="160"/>
      <c r="K19" s="160"/>
      <c r="L19" s="158"/>
      <c r="M19" s="158"/>
      <c r="N19" s="158"/>
    </row>
    <row r="20" spans="1:14" ht="15.75" x14ac:dyDescent="0.25">
      <c r="A20" s="160"/>
      <c r="B20" s="160"/>
      <c r="C20" s="165"/>
      <c r="D20" s="166"/>
      <c r="E20" s="161"/>
      <c r="F20" s="160"/>
      <c r="G20" s="160"/>
      <c r="H20" s="160"/>
      <c r="I20" s="160"/>
      <c r="J20" s="160"/>
      <c r="K20" s="160"/>
      <c r="L20" s="158"/>
      <c r="M20" s="158"/>
      <c r="N20" s="158"/>
    </row>
    <row r="21" spans="1:14" x14ac:dyDescent="0.25">
      <c r="A21" s="160"/>
      <c r="B21" s="160"/>
      <c r="C21" s="160"/>
      <c r="D21" s="160"/>
      <c r="E21" s="160"/>
      <c r="F21" s="160"/>
      <c r="G21" s="160"/>
      <c r="H21" s="160"/>
      <c r="I21" s="160"/>
      <c r="J21" s="160"/>
      <c r="K21" s="160"/>
      <c r="L21" s="158"/>
      <c r="M21" s="158"/>
      <c r="N21" s="158"/>
    </row>
    <row r="22" spans="1:14" x14ac:dyDescent="0.25">
      <c r="A22" s="160"/>
      <c r="B22" s="160"/>
      <c r="C22" s="160"/>
      <c r="D22" s="160"/>
      <c r="E22" s="160"/>
      <c r="F22" s="160"/>
      <c r="G22" s="160"/>
      <c r="H22" s="160"/>
      <c r="I22" s="160"/>
      <c r="J22" s="160"/>
      <c r="K22" s="160"/>
      <c r="L22" s="158"/>
      <c r="M22" s="158"/>
      <c r="N22" s="158"/>
    </row>
    <row r="23" spans="1:14" ht="15.75" customHeight="1" x14ac:dyDescent="0.25">
      <c r="A23" s="160"/>
      <c r="B23" s="160"/>
      <c r="C23" s="160"/>
      <c r="D23" s="160"/>
      <c r="E23" s="160"/>
      <c r="F23" s="160"/>
      <c r="G23" s="160"/>
      <c r="H23" s="160"/>
      <c r="I23" s="160"/>
      <c r="J23" s="160"/>
      <c r="K23" s="160"/>
      <c r="L23" s="158"/>
      <c r="M23" s="158"/>
      <c r="N23" s="158"/>
    </row>
    <row r="24" spans="1:14" ht="15.75" customHeight="1" x14ac:dyDescent="0.25">
      <c r="A24" s="160"/>
      <c r="B24" s="160"/>
      <c r="C24" s="160"/>
      <c r="D24" s="160"/>
      <c r="E24" s="160"/>
      <c r="F24" s="160"/>
      <c r="G24" s="160"/>
      <c r="H24" s="160"/>
      <c r="I24" s="160"/>
      <c r="J24" s="160"/>
      <c r="K24" s="160"/>
      <c r="L24" s="158"/>
      <c r="M24" s="158"/>
      <c r="N24" s="158"/>
    </row>
    <row r="25" spans="1:14" x14ac:dyDescent="0.25">
      <c r="A25" s="160"/>
      <c r="B25" s="160"/>
      <c r="C25" s="160"/>
      <c r="D25" s="160"/>
      <c r="E25" s="160"/>
      <c r="F25" s="160"/>
      <c r="G25" s="160"/>
      <c r="H25" s="160"/>
      <c r="I25" s="160"/>
      <c r="J25" s="160"/>
      <c r="K25" s="160"/>
      <c r="L25" s="158"/>
      <c r="M25" s="158"/>
      <c r="N25" s="158"/>
    </row>
    <row r="26" spans="1:14" x14ac:dyDescent="0.25">
      <c r="A26" s="158"/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</row>
  </sheetData>
  <mergeCells count="3">
    <mergeCell ref="B9:J9"/>
    <mergeCell ref="B12:J12"/>
    <mergeCell ref="B15:J15"/>
  </mergeCells>
  <pageMargins left="0.7" right="0.7" top="0.75" bottom="0.75" header="0.3" footer="0.3"/>
  <pageSetup orientation="portrait" r:id="rId1"/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50"/>
  </sheetPr>
  <dimension ref="A1:AI179"/>
  <sheetViews>
    <sheetView topLeftCell="B1" workbookViewId="0"/>
  </sheetViews>
  <sheetFormatPr defaultRowHeight="12.75" x14ac:dyDescent="0.2"/>
  <cols>
    <col min="1" max="1" width="41.42578125" style="2" bestFit="1" customWidth="1"/>
    <col min="2" max="2" width="10.140625" style="2" customWidth="1"/>
    <col min="3" max="3" width="18.42578125" style="2" bestFit="1" customWidth="1"/>
    <col min="4" max="4" width="9.140625" style="2"/>
    <col min="5" max="5" width="11" style="2" bestFit="1" customWidth="1"/>
    <col min="6" max="6" width="9.140625" style="2"/>
    <col min="7" max="7" width="22.28515625" style="2" bestFit="1" customWidth="1"/>
    <col min="8" max="8" width="9.140625" style="2"/>
    <col min="9" max="9" width="12.7109375" style="2" bestFit="1" customWidth="1"/>
    <col min="10" max="10" width="10.140625" style="2" bestFit="1" customWidth="1"/>
    <col min="11" max="11" width="23.85546875" style="2" bestFit="1" customWidth="1"/>
    <col min="12" max="12" width="10.140625" style="2" bestFit="1" customWidth="1"/>
    <col min="13" max="13" width="11.5703125" style="2" bestFit="1" customWidth="1"/>
    <col min="14" max="14" width="10.85546875" style="2" bestFit="1" customWidth="1"/>
    <col min="15" max="15" width="10.28515625" style="2" bestFit="1" customWidth="1"/>
    <col min="16" max="27" width="9.140625" style="2"/>
    <col min="28" max="28" width="3" style="2" customWidth="1"/>
    <col min="29" max="29" width="14.28515625" style="2" bestFit="1" customWidth="1"/>
    <col min="30" max="30" width="6.85546875" style="2" customWidth="1"/>
    <col min="31" max="31" width="16.28515625" style="2" bestFit="1" customWidth="1"/>
    <col min="32" max="32" width="9.140625" style="2"/>
    <col min="33" max="33" width="15.140625" style="2" customWidth="1"/>
    <col min="34" max="34" width="9.140625" style="2"/>
    <col min="35" max="35" width="15.42578125" style="2" customWidth="1"/>
    <col min="36" max="255" width="9.140625" style="2"/>
    <col min="256" max="256" width="41.42578125" style="2" bestFit="1" customWidth="1"/>
    <col min="257" max="257" width="9.140625" style="2"/>
    <col min="258" max="258" width="18.42578125" style="2" bestFit="1" customWidth="1"/>
    <col min="259" max="259" width="9.140625" style="2"/>
    <col min="260" max="260" width="11" style="2" bestFit="1" customWidth="1"/>
    <col min="261" max="511" width="9.140625" style="2"/>
    <col min="512" max="512" width="41.42578125" style="2" bestFit="1" customWidth="1"/>
    <col min="513" max="513" width="9.140625" style="2"/>
    <col min="514" max="514" width="18.42578125" style="2" bestFit="1" customWidth="1"/>
    <col min="515" max="515" width="9.140625" style="2"/>
    <col min="516" max="516" width="11" style="2" bestFit="1" customWidth="1"/>
    <col min="517" max="767" width="9.140625" style="2"/>
    <col min="768" max="768" width="41.42578125" style="2" bestFit="1" customWidth="1"/>
    <col min="769" max="769" width="9.140625" style="2"/>
    <col min="770" max="770" width="18.42578125" style="2" bestFit="1" customWidth="1"/>
    <col min="771" max="771" width="9.140625" style="2"/>
    <col min="772" max="772" width="11" style="2" bestFit="1" customWidth="1"/>
    <col min="773" max="1023" width="9.140625" style="2"/>
    <col min="1024" max="1024" width="41.42578125" style="2" bestFit="1" customWidth="1"/>
    <col min="1025" max="1025" width="9.140625" style="2"/>
    <col min="1026" max="1026" width="18.42578125" style="2" bestFit="1" customWidth="1"/>
    <col min="1027" max="1027" width="9.140625" style="2"/>
    <col min="1028" max="1028" width="11" style="2" bestFit="1" customWidth="1"/>
    <col min="1029" max="1279" width="9.140625" style="2"/>
    <col min="1280" max="1280" width="41.42578125" style="2" bestFit="1" customWidth="1"/>
    <col min="1281" max="1281" width="9.140625" style="2"/>
    <col min="1282" max="1282" width="18.42578125" style="2" bestFit="1" customWidth="1"/>
    <col min="1283" max="1283" width="9.140625" style="2"/>
    <col min="1284" max="1284" width="11" style="2" bestFit="1" customWidth="1"/>
    <col min="1285" max="1535" width="9.140625" style="2"/>
    <col min="1536" max="1536" width="41.42578125" style="2" bestFit="1" customWidth="1"/>
    <col min="1537" max="1537" width="9.140625" style="2"/>
    <col min="1538" max="1538" width="18.42578125" style="2" bestFit="1" customWidth="1"/>
    <col min="1539" max="1539" width="9.140625" style="2"/>
    <col min="1540" max="1540" width="11" style="2" bestFit="1" customWidth="1"/>
    <col min="1541" max="1791" width="9.140625" style="2"/>
    <col min="1792" max="1792" width="41.42578125" style="2" bestFit="1" customWidth="1"/>
    <col min="1793" max="1793" width="9.140625" style="2"/>
    <col min="1794" max="1794" width="18.42578125" style="2" bestFit="1" customWidth="1"/>
    <col min="1795" max="1795" width="9.140625" style="2"/>
    <col min="1796" max="1796" width="11" style="2" bestFit="1" customWidth="1"/>
    <col min="1797" max="2047" width="9.140625" style="2"/>
    <col min="2048" max="2048" width="41.42578125" style="2" bestFit="1" customWidth="1"/>
    <col min="2049" max="2049" width="9.140625" style="2"/>
    <col min="2050" max="2050" width="18.42578125" style="2" bestFit="1" customWidth="1"/>
    <col min="2051" max="2051" width="9.140625" style="2"/>
    <col min="2052" max="2052" width="11" style="2" bestFit="1" customWidth="1"/>
    <col min="2053" max="2303" width="9.140625" style="2"/>
    <col min="2304" max="2304" width="41.42578125" style="2" bestFit="1" customWidth="1"/>
    <col min="2305" max="2305" width="9.140625" style="2"/>
    <col min="2306" max="2306" width="18.42578125" style="2" bestFit="1" customWidth="1"/>
    <col min="2307" max="2307" width="9.140625" style="2"/>
    <col min="2308" max="2308" width="11" style="2" bestFit="1" customWidth="1"/>
    <col min="2309" max="2559" width="9.140625" style="2"/>
    <col min="2560" max="2560" width="41.42578125" style="2" bestFit="1" customWidth="1"/>
    <col min="2561" max="2561" width="9.140625" style="2"/>
    <col min="2562" max="2562" width="18.42578125" style="2" bestFit="1" customWidth="1"/>
    <col min="2563" max="2563" width="9.140625" style="2"/>
    <col min="2564" max="2564" width="11" style="2" bestFit="1" customWidth="1"/>
    <col min="2565" max="2815" width="9.140625" style="2"/>
    <col min="2816" max="2816" width="41.42578125" style="2" bestFit="1" customWidth="1"/>
    <col min="2817" max="2817" width="9.140625" style="2"/>
    <col min="2818" max="2818" width="18.42578125" style="2" bestFit="1" customWidth="1"/>
    <col min="2819" max="2819" width="9.140625" style="2"/>
    <col min="2820" max="2820" width="11" style="2" bestFit="1" customWidth="1"/>
    <col min="2821" max="3071" width="9.140625" style="2"/>
    <col min="3072" max="3072" width="41.42578125" style="2" bestFit="1" customWidth="1"/>
    <col min="3073" max="3073" width="9.140625" style="2"/>
    <col min="3074" max="3074" width="18.42578125" style="2" bestFit="1" customWidth="1"/>
    <col min="3075" max="3075" width="9.140625" style="2"/>
    <col min="3076" max="3076" width="11" style="2" bestFit="1" customWidth="1"/>
    <col min="3077" max="3327" width="9.140625" style="2"/>
    <col min="3328" max="3328" width="41.42578125" style="2" bestFit="1" customWidth="1"/>
    <col min="3329" max="3329" width="9.140625" style="2"/>
    <col min="3330" max="3330" width="18.42578125" style="2" bestFit="1" customWidth="1"/>
    <col min="3331" max="3331" width="9.140625" style="2"/>
    <col min="3332" max="3332" width="11" style="2" bestFit="1" customWidth="1"/>
    <col min="3333" max="3583" width="9.140625" style="2"/>
    <col min="3584" max="3584" width="41.42578125" style="2" bestFit="1" customWidth="1"/>
    <col min="3585" max="3585" width="9.140625" style="2"/>
    <col min="3586" max="3586" width="18.42578125" style="2" bestFit="1" customWidth="1"/>
    <col min="3587" max="3587" width="9.140625" style="2"/>
    <col min="3588" max="3588" width="11" style="2" bestFit="1" customWidth="1"/>
    <col min="3589" max="3839" width="9.140625" style="2"/>
    <col min="3840" max="3840" width="41.42578125" style="2" bestFit="1" customWidth="1"/>
    <col min="3841" max="3841" width="9.140625" style="2"/>
    <col min="3842" max="3842" width="18.42578125" style="2" bestFit="1" customWidth="1"/>
    <col min="3843" max="3843" width="9.140625" style="2"/>
    <col min="3844" max="3844" width="11" style="2" bestFit="1" customWidth="1"/>
    <col min="3845" max="4095" width="9.140625" style="2"/>
    <col min="4096" max="4096" width="41.42578125" style="2" bestFit="1" customWidth="1"/>
    <col min="4097" max="4097" width="9.140625" style="2"/>
    <col min="4098" max="4098" width="18.42578125" style="2" bestFit="1" customWidth="1"/>
    <col min="4099" max="4099" width="9.140625" style="2"/>
    <col min="4100" max="4100" width="11" style="2" bestFit="1" customWidth="1"/>
    <col min="4101" max="4351" width="9.140625" style="2"/>
    <col min="4352" max="4352" width="41.42578125" style="2" bestFit="1" customWidth="1"/>
    <col min="4353" max="4353" width="9.140625" style="2"/>
    <col min="4354" max="4354" width="18.42578125" style="2" bestFit="1" customWidth="1"/>
    <col min="4355" max="4355" width="9.140625" style="2"/>
    <col min="4356" max="4356" width="11" style="2" bestFit="1" customWidth="1"/>
    <col min="4357" max="4607" width="9.140625" style="2"/>
    <col min="4608" max="4608" width="41.42578125" style="2" bestFit="1" customWidth="1"/>
    <col min="4609" max="4609" width="9.140625" style="2"/>
    <col min="4610" max="4610" width="18.42578125" style="2" bestFit="1" customWidth="1"/>
    <col min="4611" max="4611" width="9.140625" style="2"/>
    <col min="4612" max="4612" width="11" style="2" bestFit="1" customWidth="1"/>
    <col min="4613" max="4863" width="9.140625" style="2"/>
    <col min="4864" max="4864" width="41.42578125" style="2" bestFit="1" customWidth="1"/>
    <col min="4865" max="4865" width="9.140625" style="2"/>
    <col min="4866" max="4866" width="18.42578125" style="2" bestFit="1" customWidth="1"/>
    <col min="4867" max="4867" width="9.140625" style="2"/>
    <col min="4868" max="4868" width="11" style="2" bestFit="1" customWidth="1"/>
    <col min="4869" max="5119" width="9.140625" style="2"/>
    <col min="5120" max="5120" width="41.42578125" style="2" bestFit="1" customWidth="1"/>
    <col min="5121" max="5121" width="9.140625" style="2"/>
    <col min="5122" max="5122" width="18.42578125" style="2" bestFit="1" customWidth="1"/>
    <col min="5123" max="5123" width="9.140625" style="2"/>
    <col min="5124" max="5124" width="11" style="2" bestFit="1" customWidth="1"/>
    <col min="5125" max="5375" width="9.140625" style="2"/>
    <col min="5376" max="5376" width="41.42578125" style="2" bestFit="1" customWidth="1"/>
    <col min="5377" max="5377" width="9.140625" style="2"/>
    <col min="5378" max="5378" width="18.42578125" style="2" bestFit="1" customWidth="1"/>
    <col min="5379" max="5379" width="9.140625" style="2"/>
    <col min="5380" max="5380" width="11" style="2" bestFit="1" customWidth="1"/>
    <col min="5381" max="5631" width="9.140625" style="2"/>
    <col min="5632" max="5632" width="41.42578125" style="2" bestFit="1" customWidth="1"/>
    <col min="5633" max="5633" width="9.140625" style="2"/>
    <col min="5634" max="5634" width="18.42578125" style="2" bestFit="1" customWidth="1"/>
    <col min="5635" max="5635" width="9.140625" style="2"/>
    <col min="5636" max="5636" width="11" style="2" bestFit="1" customWidth="1"/>
    <col min="5637" max="5887" width="9.140625" style="2"/>
    <col min="5888" max="5888" width="41.42578125" style="2" bestFit="1" customWidth="1"/>
    <col min="5889" max="5889" width="9.140625" style="2"/>
    <col min="5890" max="5890" width="18.42578125" style="2" bestFit="1" customWidth="1"/>
    <col min="5891" max="5891" width="9.140625" style="2"/>
    <col min="5892" max="5892" width="11" style="2" bestFit="1" customWidth="1"/>
    <col min="5893" max="6143" width="9.140625" style="2"/>
    <col min="6144" max="6144" width="41.42578125" style="2" bestFit="1" customWidth="1"/>
    <col min="6145" max="6145" width="9.140625" style="2"/>
    <col min="6146" max="6146" width="18.42578125" style="2" bestFit="1" customWidth="1"/>
    <col min="6147" max="6147" width="9.140625" style="2"/>
    <col min="6148" max="6148" width="11" style="2" bestFit="1" customWidth="1"/>
    <col min="6149" max="6399" width="9.140625" style="2"/>
    <col min="6400" max="6400" width="41.42578125" style="2" bestFit="1" customWidth="1"/>
    <col min="6401" max="6401" width="9.140625" style="2"/>
    <col min="6402" max="6402" width="18.42578125" style="2" bestFit="1" customWidth="1"/>
    <col min="6403" max="6403" width="9.140625" style="2"/>
    <col min="6404" max="6404" width="11" style="2" bestFit="1" customWidth="1"/>
    <col min="6405" max="6655" width="9.140625" style="2"/>
    <col min="6656" max="6656" width="41.42578125" style="2" bestFit="1" customWidth="1"/>
    <col min="6657" max="6657" width="9.140625" style="2"/>
    <col min="6658" max="6658" width="18.42578125" style="2" bestFit="1" customWidth="1"/>
    <col min="6659" max="6659" width="9.140625" style="2"/>
    <col min="6660" max="6660" width="11" style="2" bestFit="1" customWidth="1"/>
    <col min="6661" max="6911" width="9.140625" style="2"/>
    <col min="6912" max="6912" width="41.42578125" style="2" bestFit="1" customWidth="1"/>
    <col min="6913" max="6913" width="9.140625" style="2"/>
    <col min="6914" max="6914" width="18.42578125" style="2" bestFit="1" customWidth="1"/>
    <col min="6915" max="6915" width="9.140625" style="2"/>
    <col min="6916" max="6916" width="11" style="2" bestFit="1" customWidth="1"/>
    <col min="6917" max="7167" width="9.140625" style="2"/>
    <col min="7168" max="7168" width="41.42578125" style="2" bestFit="1" customWidth="1"/>
    <col min="7169" max="7169" width="9.140625" style="2"/>
    <col min="7170" max="7170" width="18.42578125" style="2" bestFit="1" customWidth="1"/>
    <col min="7171" max="7171" width="9.140625" style="2"/>
    <col min="7172" max="7172" width="11" style="2" bestFit="1" customWidth="1"/>
    <col min="7173" max="7423" width="9.140625" style="2"/>
    <col min="7424" max="7424" width="41.42578125" style="2" bestFit="1" customWidth="1"/>
    <col min="7425" max="7425" width="9.140625" style="2"/>
    <col min="7426" max="7426" width="18.42578125" style="2" bestFit="1" customWidth="1"/>
    <col min="7427" max="7427" width="9.140625" style="2"/>
    <col min="7428" max="7428" width="11" style="2" bestFit="1" customWidth="1"/>
    <col min="7429" max="7679" width="9.140625" style="2"/>
    <col min="7680" max="7680" width="41.42578125" style="2" bestFit="1" customWidth="1"/>
    <col min="7681" max="7681" width="9.140625" style="2"/>
    <col min="7682" max="7682" width="18.42578125" style="2" bestFit="1" customWidth="1"/>
    <col min="7683" max="7683" width="9.140625" style="2"/>
    <col min="7684" max="7684" width="11" style="2" bestFit="1" customWidth="1"/>
    <col min="7685" max="7935" width="9.140625" style="2"/>
    <col min="7936" max="7936" width="41.42578125" style="2" bestFit="1" customWidth="1"/>
    <col min="7937" max="7937" width="9.140625" style="2"/>
    <col min="7938" max="7938" width="18.42578125" style="2" bestFit="1" customWidth="1"/>
    <col min="7939" max="7939" width="9.140625" style="2"/>
    <col min="7940" max="7940" width="11" style="2" bestFit="1" customWidth="1"/>
    <col min="7941" max="8191" width="9.140625" style="2"/>
    <col min="8192" max="8192" width="41.42578125" style="2" bestFit="1" customWidth="1"/>
    <col min="8193" max="8193" width="9.140625" style="2"/>
    <col min="8194" max="8194" width="18.42578125" style="2" bestFit="1" customWidth="1"/>
    <col min="8195" max="8195" width="9.140625" style="2"/>
    <col min="8196" max="8196" width="11" style="2" bestFit="1" customWidth="1"/>
    <col min="8197" max="8447" width="9.140625" style="2"/>
    <col min="8448" max="8448" width="41.42578125" style="2" bestFit="1" customWidth="1"/>
    <col min="8449" max="8449" width="9.140625" style="2"/>
    <col min="8450" max="8450" width="18.42578125" style="2" bestFit="1" customWidth="1"/>
    <col min="8451" max="8451" width="9.140625" style="2"/>
    <col min="8452" max="8452" width="11" style="2" bestFit="1" customWidth="1"/>
    <col min="8453" max="8703" width="9.140625" style="2"/>
    <col min="8704" max="8704" width="41.42578125" style="2" bestFit="1" customWidth="1"/>
    <col min="8705" max="8705" width="9.140625" style="2"/>
    <col min="8706" max="8706" width="18.42578125" style="2" bestFit="1" customWidth="1"/>
    <col min="8707" max="8707" width="9.140625" style="2"/>
    <col min="8708" max="8708" width="11" style="2" bestFit="1" customWidth="1"/>
    <col min="8709" max="8959" width="9.140625" style="2"/>
    <col min="8960" max="8960" width="41.42578125" style="2" bestFit="1" customWidth="1"/>
    <col min="8961" max="8961" width="9.140625" style="2"/>
    <col min="8962" max="8962" width="18.42578125" style="2" bestFit="1" customWidth="1"/>
    <col min="8963" max="8963" width="9.140625" style="2"/>
    <col min="8964" max="8964" width="11" style="2" bestFit="1" customWidth="1"/>
    <col min="8965" max="9215" width="9.140625" style="2"/>
    <col min="9216" max="9216" width="41.42578125" style="2" bestFit="1" customWidth="1"/>
    <col min="9217" max="9217" width="9.140625" style="2"/>
    <col min="9218" max="9218" width="18.42578125" style="2" bestFit="1" customWidth="1"/>
    <col min="9219" max="9219" width="9.140625" style="2"/>
    <col min="9220" max="9220" width="11" style="2" bestFit="1" customWidth="1"/>
    <col min="9221" max="9471" width="9.140625" style="2"/>
    <col min="9472" max="9472" width="41.42578125" style="2" bestFit="1" customWidth="1"/>
    <col min="9473" max="9473" width="9.140625" style="2"/>
    <col min="9474" max="9474" width="18.42578125" style="2" bestFit="1" customWidth="1"/>
    <col min="9475" max="9475" width="9.140625" style="2"/>
    <col min="9476" max="9476" width="11" style="2" bestFit="1" customWidth="1"/>
    <col min="9477" max="9727" width="9.140625" style="2"/>
    <col min="9728" max="9728" width="41.42578125" style="2" bestFit="1" customWidth="1"/>
    <col min="9729" max="9729" width="9.140625" style="2"/>
    <col min="9730" max="9730" width="18.42578125" style="2" bestFit="1" customWidth="1"/>
    <col min="9731" max="9731" width="9.140625" style="2"/>
    <col min="9732" max="9732" width="11" style="2" bestFit="1" customWidth="1"/>
    <col min="9733" max="9983" width="9.140625" style="2"/>
    <col min="9984" max="9984" width="41.42578125" style="2" bestFit="1" customWidth="1"/>
    <col min="9985" max="9985" width="9.140625" style="2"/>
    <col min="9986" max="9986" width="18.42578125" style="2" bestFit="1" customWidth="1"/>
    <col min="9987" max="9987" width="9.140625" style="2"/>
    <col min="9988" max="9988" width="11" style="2" bestFit="1" customWidth="1"/>
    <col min="9989" max="10239" width="9.140625" style="2"/>
    <col min="10240" max="10240" width="41.42578125" style="2" bestFit="1" customWidth="1"/>
    <col min="10241" max="10241" width="9.140625" style="2"/>
    <col min="10242" max="10242" width="18.42578125" style="2" bestFit="1" customWidth="1"/>
    <col min="10243" max="10243" width="9.140625" style="2"/>
    <col min="10244" max="10244" width="11" style="2" bestFit="1" customWidth="1"/>
    <col min="10245" max="10495" width="9.140625" style="2"/>
    <col min="10496" max="10496" width="41.42578125" style="2" bestFit="1" customWidth="1"/>
    <col min="10497" max="10497" width="9.140625" style="2"/>
    <col min="10498" max="10498" width="18.42578125" style="2" bestFit="1" customWidth="1"/>
    <col min="10499" max="10499" width="9.140625" style="2"/>
    <col min="10500" max="10500" width="11" style="2" bestFit="1" customWidth="1"/>
    <col min="10501" max="10751" width="9.140625" style="2"/>
    <col min="10752" max="10752" width="41.42578125" style="2" bestFit="1" customWidth="1"/>
    <col min="10753" max="10753" width="9.140625" style="2"/>
    <col min="10754" max="10754" width="18.42578125" style="2" bestFit="1" customWidth="1"/>
    <col min="10755" max="10755" width="9.140625" style="2"/>
    <col min="10756" max="10756" width="11" style="2" bestFit="1" customWidth="1"/>
    <col min="10757" max="11007" width="9.140625" style="2"/>
    <col min="11008" max="11008" width="41.42578125" style="2" bestFit="1" customWidth="1"/>
    <col min="11009" max="11009" width="9.140625" style="2"/>
    <col min="11010" max="11010" width="18.42578125" style="2" bestFit="1" customWidth="1"/>
    <col min="11011" max="11011" width="9.140625" style="2"/>
    <col min="11012" max="11012" width="11" style="2" bestFit="1" customWidth="1"/>
    <col min="11013" max="11263" width="9.140625" style="2"/>
    <col min="11264" max="11264" width="41.42578125" style="2" bestFit="1" customWidth="1"/>
    <col min="11265" max="11265" width="9.140625" style="2"/>
    <col min="11266" max="11266" width="18.42578125" style="2" bestFit="1" customWidth="1"/>
    <col min="11267" max="11267" width="9.140625" style="2"/>
    <col min="11268" max="11268" width="11" style="2" bestFit="1" customWidth="1"/>
    <col min="11269" max="11519" width="9.140625" style="2"/>
    <col min="11520" max="11520" width="41.42578125" style="2" bestFit="1" customWidth="1"/>
    <col min="11521" max="11521" width="9.140625" style="2"/>
    <col min="11522" max="11522" width="18.42578125" style="2" bestFit="1" customWidth="1"/>
    <col min="11523" max="11523" width="9.140625" style="2"/>
    <col min="11524" max="11524" width="11" style="2" bestFit="1" customWidth="1"/>
    <col min="11525" max="11775" width="9.140625" style="2"/>
    <col min="11776" max="11776" width="41.42578125" style="2" bestFit="1" customWidth="1"/>
    <col min="11777" max="11777" width="9.140625" style="2"/>
    <col min="11778" max="11778" width="18.42578125" style="2" bestFit="1" customWidth="1"/>
    <col min="11779" max="11779" width="9.140625" style="2"/>
    <col min="11780" max="11780" width="11" style="2" bestFit="1" customWidth="1"/>
    <col min="11781" max="12031" width="9.140625" style="2"/>
    <col min="12032" max="12032" width="41.42578125" style="2" bestFit="1" customWidth="1"/>
    <col min="12033" max="12033" width="9.140625" style="2"/>
    <col min="12034" max="12034" width="18.42578125" style="2" bestFit="1" customWidth="1"/>
    <col min="12035" max="12035" width="9.140625" style="2"/>
    <col min="12036" max="12036" width="11" style="2" bestFit="1" customWidth="1"/>
    <col min="12037" max="12287" width="9.140625" style="2"/>
    <col min="12288" max="12288" width="41.42578125" style="2" bestFit="1" customWidth="1"/>
    <col min="12289" max="12289" width="9.140625" style="2"/>
    <col min="12290" max="12290" width="18.42578125" style="2" bestFit="1" customWidth="1"/>
    <col min="12291" max="12291" width="9.140625" style="2"/>
    <col min="12292" max="12292" width="11" style="2" bestFit="1" customWidth="1"/>
    <col min="12293" max="12543" width="9.140625" style="2"/>
    <col min="12544" max="12544" width="41.42578125" style="2" bestFit="1" customWidth="1"/>
    <col min="12545" max="12545" width="9.140625" style="2"/>
    <col min="12546" max="12546" width="18.42578125" style="2" bestFit="1" customWidth="1"/>
    <col min="12547" max="12547" width="9.140625" style="2"/>
    <col min="12548" max="12548" width="11" style="2" bestFit="1" customWidth="1"/>
    <col min="12549" max="12799" width="9.140625" style="2"/>
    <col min="12800" max="12800" width="41.42578125" style="2" bestFit="1" customWidth="1"/>
    <col min="12801" max="12801" width="9.140625" style="2"/>
    <col min="12802" max="12802" width="18.42578125" style="2" bestFit="1" customWidth="1"/>
    <col min="12803" max="12803" width="9.140625" style="2"/>
    <col min="12804" max="12804" width="11" style="2" bestFit="1" customWidth="1"/>
    <col min="12805" max="13055" width="9.140625" style="2"/>
    <col min="13056" max="13056" width="41.42578125" style="2" bestFit="1" customWidth="1"/>
    <col min="13057" max="13057" width="9.140625" style="2"/>
    <col min="13058" max="13058" width="18.42578125" style="2" bestFit="1" customWidth="1"/>
    <col min="13059" max="13059" width="9.140625" style="2"/>
    <col min="13060" max="13060" width="11" style="2" bestFit="1" customWidth="1"/>
    <col min="13061" max="13311" width="9.140625" style="2"/>
    <col min="13312" max="13312" width="41.42578125" style="2" bestFit="1" customWidth="1"/>
    <col min="13313" max="13313" width="9.140625" style="2"/>
    <col min="13314" max="13314" width="18.42578125" style="2" bestFit="1" customWidth="1"/>
    <col min="13315" max="13315" width="9.140625" style="2"/>
    <col min="13316" max="13316" width="11" style="2" bestFit="1" customWidth="1"/>
    <col min="13317" max="13567" width="9.140625" style="2"/>
    <col min="13568" max="13568" width="41.42578125" style="2" bestFit="1" customWidth="1"/>
    <col min="13569" max="13569" width="9.140625" style="2"/>
    <col min="13570" max="13570" width="18.42578125" style="2" bestFit="1" customWidth="1"/>
    <col min="13571" max="13571" width="9.140625" style="2"/>
    <col min="13572" max="13572" width="11" style="2" bestFit="1" customWidth="1"/>
    <col min="13573" max="13823" width="9.140625" style="2"/>
    <col min="13824" max="13824" width="41.42578125" style="2" bestFit="1" customWidth="1"/>
    <col min="13825" max="13825" width="9.140625" style="2"/>
    <col min="13826" max="13826" width="18.42578125" style="2" bestFit="1" customWidth="1"/>
    <col min="13827" max="13827" width="9.140625" style="2"/>
    <col min="13828" max="13828" width="11" style="2" bestFit="1" customWidth="1"/>
    <col min="13829" max="14079" width="9.140625" style="2"/>
    <col min="14080" max="14080" width="41.42578125" style="2" bestFit="1" customWidth="1"/>
    <col min="14081" max="14081" width="9.140625" style="2"/>
    <col min="14082" max="14082" width="18.42578125" style="2" bestFit="1" customWidth="1"/>
    <col min="14083" max="14083" width="9.140625" style="2"/>
    <col min="14084" max="14084" width="11" style="2" bestFit="1" customWidth="1"/>
    <col min="14085" max="14335" width="9.140625" style="2"/>
    <col min="14336" max="14336" width="41.42578125" style="2" bestFit="1" customWidth="1"/>
    <col min="14337" max="14337" width="9.140625" style="2"/>
    <col min="14338" max="14338" width="18.42578125" style="2" bestFit="1" customWidth="1"/>
    <col min="14339" max="14339" width="9.140625" style="2"/>
    <col min="14340" max="14340" width="11" style="2" bestFit="1" customWidth="1"/>
    <col min="14341" max="14591" width="9.140625" style="2"/>
    <col min="14592" max="14592" width="41.42578125" style="2" bestFit="1" customWidth="1"/>
    <col min="14593" max="14593" width="9.140625" style="2"/>
    <col min="14594" max="14594" width="18.42578125" style="2" bestFit="1" customWidth="1"/>
    <col min="14595" max="14595" width="9.140625" style="2"/>
    <col min="14596" max="14596" width="11" style="2" bestFit="1" customWidth="1"/>
    <col min="14597" max="14847" width="9.140625" style="2"/>
    <col min="14848" max="14848" width="41.42578125" style="2" bestFit="1" customWidth="1"/>
    <col min="14849" max="14849" width="9.140625" style="2"/>
    <col min="14850" max="14850" width="18.42578125" style="2" bestFit="1" customWidth="1"/>
    <col min="14851" max="14851" width="9.140625" style="2"/>
    <col min="14852" max="14852" width="11" style="2" bestFit="1" customWidth="1"/>
    <col min="14853" max="15103" width="9.140625" style="2"/>
    <col min="15104" max="15104" width="41.42578125" style="2" bestFit="1" customWidth="1"/>
    <col min="15105" max="15105" width="9.140625" style="2"/>
    <col min="15106" max="15106" width="18.42578125" style="2" bestFit="1" customWidth="1"/>
    <col min="15107" max="15107" width="9.140625" style="2"/>
    <col min="15108" max="15108" width="11" style="2" bestFit="1" customWidth="1"/>
    <col min="15109" max="15359" width="9.140625" style="2"/>
    <col min="15360" max="15360" width="41.42578125" style="2" bestFit="1" customWidth="1"/>
    <col min="15361" max="15361" width="9.140625" style="2"/>
    <col min="15362" max="15362" width="18.42578125" style="2" bestFit="1" customWidth="1"/>
    <col min="15363" max="15363" width="9.140625" style="2"/>
    <col min="15364" max="15364" width="11" style="2" bestFit="1" customWidth="1"/>
    <col min="15365" max="15615" width="9.140625" style="2"/>
    <col min="15616" max="15616" width="41.42578125" style="2" bestFit="1" customWidth="1"/>
    <col min="15617" max="15617" width="9.140625" style="2"/>
    <col min="15618" max="15618" width="18.42578125" style="2" bestFit="1" customWidth="1"/>
    <col min="15619" max="15619" width="9.140625" style="2"/>
    <col min="15620" max="15620" width="11" style="2" bestFit="1" customWidth="1"/>
    <col min="15621" max="15871" width="9.140625" style="2"/>
    <col min="15872" max="15872" width="41.42578125" style="2" bestFit="1" customWidth="1"/>
    <col min="15873" max="15873" width="9.140625" style="2"/>
    <col min="15874" max="15874" width="18.42578125" style="2" bestFit="1" customWidth="1"/>
    <col min="15875" max="15875" width="9.140625" style="2"/>
    <col min="15876" max="15876" width="11" style="2" bestFit="1" customWidth="1"/>
    <col min="15877" max="16127" width="9.140625" style="2"/>
    <col min="16128" max="16128" width="41.42578125" style="2" bestFit="1" customWidth="1"/>
    <col min="16129" max="16129" width="9.140625" style="2"/>
    <col min="16130" max="16130" width="18.42578125" style="2" bestFit="1" customWidth="1"/>
    <col min="16131" max="16131" width="9.140625" style="2"/>
    <col min="16132" max="16132" width="11" style="2" bestFit="1" customWidth="1"/>
    <col min="16133" max="16384" width="9.140625" style="2"/>
  </cols>
  <sheetData>
    <row r="1" spans="1:35" ht="51.75" x14ac:dyDescent="0.25">
      <c r="A1" s="25" t="s">
        <v>31</v>
      </c>
      <c r="C1" s="26" t="s">
        <v>32</v>
      </c>
      <c r="E1" s="26" t="s">
        <v>33</v>
      </c>
      <c r="G1" s="26" t="s">
        <v>268</v>
      </c>
      <c r="I1" s="25" t="s">
        <v>201</v>
      </c>
      <c r="K1" s="25" t="s">
        <v>136</v>
      </c>
      <c r="L1" s="25" t="s">
        <v>137</v>
      </c>
      <c r="M1" s="25" t="s">
        <v>138</v>
      </c>
      <c r="N1" s="25" t="s">
        <v>78</v>
      </c>
      <c r="O1" s="25" t="s">
        <v>139</v>
      </c>
      <c r="R1" s="123" t="s">
        <v>263</v>
      </c>
      <c r="U1" s="123" t="s">
        <v>265</v>
      </c>
      <c r="Y1" s="126" t="s">
        <v>267</v>
      </c>
      <c r="AC1" s="154" t="s">
        <v>306</v>
      </c>
      <c r="AE1" s="154" t="s">
        <v>305</v>
      </c>
      <c r="AG1" s="154" t="s">
        <v>308</v>
      </c>
      <c r="AI1" s="155" t="s">
        <v>311</v>
      </c>
    </row>
    <row r="2" spans="1:35" ht="15" x14ac:dyDescent="0.25">
      <c r="A2" s="3" t="s">
        <v>34</v>
      </c>
      <c r="C2" s="3" t="s">
        <v>23</v>
      </c>
      <c r="E2" s="4" t="s">
        <v>24</v>
      </c>
      <c r="G2" s="3" t="s">
        <v>120</v>
      </c>
      <c r="I2" s="3" t="s">
        <v>140</v>
      </c>
      <c r="J2" s="88"/>
      <c r="K2" s="5" t="s">
        <v>140</v>
      </c>
      <c r="L2" s="89"/>
      <c r="M2" s="3" t="s">
        <v>140</v>
      </c>
      <c r="N2" s="3" t="s">
        <v>141</v>
      </c>
      <c r="O2" s="3" t="s">
        <v>142</v>
      </c>
      <c r="R2" s="124"/>
      <c r="U2" s="125"/>
      <c r="AC2" s="153" t="s">
        <v>115</v>
      </c>
      <c r="AE2" s="153" t="s">
        <v>117</v>
      </c>
      <c r="AG2" s="153" t="s">
        <v>115</v>
      </c>
      <c r="AI2" s="153" t="s">
        <v>115</v>
      </c>
    </row>
    <row r="3" spans="1:35" ht="15" x14ac:dyDescent="0.25">
      <c r="A3" s="3" t="s">
        <v>27</v>
      </c>
      <c r="C3" s="3" t="s">
        <v>35</v>
      </c>
      <c r="E3" s="4" t="s">
        <v>25</v>
      </c>
      <c r="G3" s="3" t="s">
        <v>292</v>
      </c>
      <c r="I3" s="3" t="s">
        <v>141</v>
      </c>
      <c r="J3" s="88"/>
      <c r="K3" s="5" t="s">
        <v>143</v>
      </c>
      <c r="L3" s="89"/>
      <c r="M3" s="3" t="s">
        <v>143</v>
      </c>
      <c r="N3" s="3" t="s">
        <v>144</v>
      </c>
      <c r="O3" s="3" t="s">
        <v>145</v>
      </c>
      <c r="R3" s="124" t="s">
        <v>264</v>
      </c>
      <c r="U3" s="124" t="s">
        <v>266</v>
      </c>
      <c r="AC3" s="153" t="s">
        <v>116</v>
      </c>
      <c r="AE3" s="149" t="s">
        <v>115</v>
      </c>
      <c r="AG3" s="153" t="s">
        <v>116</v>
      </c>
      <c r="AI3" s="153" t="s">
        <v>116</v>
      </c>
    </row>
    <row r="4" spans="1:35" ht="15" x14ac:dyDescent="0.25">
      <c r="A4" s="3" t="s">
        <v>36</v>
      </c>
      <c r="C4" s="3" t="s">
        <v>37</v>
      </c>
      <c r="E4" s="4" t="s">
        <v>38</v>
      </c>
      <c r="G4" s="3" t="s">
        <v>293</v>
      </c>
      <c r="I4" s="3" t="s">
        <v>142</v>
      </c>
      <c r="J4" s="88"/>
      <c r="K4" s="5" t="s">
        <v>146</v>
      </c>
      <c r="L4" s="89"/>
      <c r="M4" s="3" t="s">
        <v>146</v>
      </c>
      <c r="N4" s="3" t="s">
        <v>147</v>
      </c>
      <c r="O4" s="3" t="s">
        <v>132</v>
      </c>
      <c r="AC4" s="153" t="s">
        <v>117</v>
      </c>
      <c r="AE4" s="149" t="s">
        <v>272</v>
      </c>
      <c r="AG4" s="153" t="s">
        <v>117</v>
      </c>
      <c r="AI4" s="153" t="s">
        <v>117</v>
      </c>
    </row>
    <row r="5" spans="1:35" x14ac:dyDescent="0.2">
      <c r="A5" s="3" t="s">
        <v>26</v>
      </c>
      <c r="G5" s="3" t="s">
        <v>294</v>
      </c>
      <c r="I5" s="3" t="s">
        <v>202</v>
      </c>
      <c r="J5" s="88"/>
      <c r="K5" s="5" t="s">
        <v>148</v>
      </c>
      <c r="L5" s="89"/>
      <c r="M5" s="3" t="s">
        <v>148</v>
      </c>
      <c r="N5" s="3" t="s">
        <v>149</v>
      </c>
      <c r="O5" s="3" t="s">
        <v>150</v>
      </c>
      <c r="AC5" s="153" t="s">
        <v>118</v>
      </c>
      <c r="AE5" s="149" t="s">
        <v>119</v>
      </c>
      <c r="AG5" s="153" t="s">
        <v>118</v>
      </c>
      <c r="AI5" s="153" t="s">
        <v>118</v>
      </c>
    </row>
    <row r="6" spans="1:35" x14ac:dyDescent="0.2">
      <c r="A6" s="3" t="s">
        <v>28</v>
      </c>
      <c r="G6" s="3" t="s">
        <v>295</v>
      </c>
      <c r="I6" s="3" t="s">
        <v>143</v>
      </c>
      <c r="J6" s="88"/>
      <c r="K6" s="3" t="s">
        <v>206</v>
      </c>
      <c r="L6" s="89"/>
      <c r="M6" s="3" t="s">
        <v>206</v>
      </c>
      <c r="N6" s="3" t="s">
        <v>207</v>
      </c>
      <c r="O6" s="3" t="s">
        <v>208</v>
      </c>
      <c r="R6" s="2" t="s">
        <v>262</v>
      </c>
      <c r="AC6" s="153" t="s">
        <v>119</v>
      </c>
      <c r="AE6" s="149" t="s">
        <v>273</v>
      </c>
      <c r="AG6" s="153" t="s">
        <v>119</v>
      </c>
      <c r="AI6" s="153" t="s">
        <v>119</v>
      </c>
    </row>
    <row r="7" spans="1:35" x14ac:dyDescent="0.2">
      <c r="A7" s="3" t="s">
        <v>39</v>
      </c>
      <c r="G7" s="3" t="s">
        <v>296</v>
      </c>
      <c r="I7" s="3" t="s">
        <v>144</v>
      </c>
      <c r="J7" s="88"/>
      <c r="K7" s="3" t="s">
        <v>210</v>
      </c>
      <c r="L7" s="89"/>
      <c r="M7" s="3" t="s">
        <v>210</v>
      </c>
      <c r="N7" s="3" t="s">
        <v>151</v>
      </c>
      <c r="O7" s="3" t="s">
        <v>152</v>
      </c>
      <c r="AC7" s="153" t="s">
        <v>47</v>
      </c>
      <c r="AE7" s="149" t="s">
        <v>120</v>
      </c>
      <c r="AG7" s="153" t="s">
        <v>47</v>
      </c>
      <c r="AI7" s="153" t="s">
        <v>47</v>
      </c>
    </row>
    <row r="8" spans="1:35" x14ac:dyDescent="0.2">
      <c r="A8" s="3" t="s">
        <v>29</v>
      </c>
      <c r="G8" s="3" t="s">
        <v>297</v>
      </c>
      <c r="I8" s="3" t="s">
        <v>145</v>
      </c>
      <c r="J8" s="88"/>
      <c r="K8" s="3" t="s">
        <v>211</v>
      </c>
      <c r="L8" s="89"/>
      <c r="M8" s="3" t="s">
        <v>211</v>
      </c>
      <c r="N8" s="3" t="s">
        <v>154</v>
      </c>
      <c r="O8" s="3" t="s">
        <v>155</v>
      </c>
      <c r="R8" s="2" t="s">
        <v>307</v>
      </c>
      <c r="AC8" s="153" t="s">
        <v>131</v>
      </c>
      <c r="AE8" s="149" t="s">
        <v>124</v>
      </c>
      <c r="AG8" s="153" t="s">
        <v>131</v>
      </c>
      <c r="AI8" s="153" t="s">
        <v>309</v>
      </c>
    </row>
    <row r="9" spans="1:35" x14ac:dyDescent="0.2">
      <c r="A9" s="3" t="s">
        <v>30</v>
      </c>
      <c r="G9" s="3" t="s">
        <v>298</v>
      </c>
      <c r="I9" s="3" t="s">
        <v>203</v>
      </c>
      <c r="J9" s="88"/>
      <c r="K9" s="3" t="s">
        <v>212</v>
      </c>
      <c r="L9" s="89"/>
      <c r="M9" s="3" t="s">
        <v>212</v>
      </c>
      <c r="N9" s="3" t="s">
        <v>213</v>
      </c>
      <c r="O9" s="3" t="s">
        <v>214</v>
      </c>
      <c r="AC9" s="153" t="s">
        <v>120</v>
      </c>
      <c r="AE9" s="149" t="s">
        <v>131</v>
      </c>
      <c r="AG9" s="153" t="s">
        <v>120</v>
      </c>
      <c r="AI9" s="153" t="s">
        <v>120</v>
      </c>
    </row>
    <row r="10" spans="1:35" x14ac:dyDescent="0.2">
      <c r="A10" s="3" t="s">
        <v>40</v>
      </c>
      <c r="G10" s="3" t="s">
        <v>123</v>
      </c>
      <c r="I10" s="3" t="s">
        <v>146</v>
      </c>
      <c r="J10" s="88"/>
      <c r="K10" s="3" t="s">
        <v>216</v>
      </c>
      <c r="L10" s="89"/>
      <c r="M10" s="3" t="s">
        <v>216</v>
      </c>
      <c r="N10" s="3" t="s">
        <v>217</v>
      </c>
      <c r="O10" s="3" t="s">
        <v>157</v>
      </c>
      <c r="AC10" s="153" t="s">
        <v>121</v>
      </c>
      <c r="AE10" s="149" t="s">
        <v>125</v>
      </c>
      <c r="AG10" s="153" t="s">
        <v>121</v>
      </c>
      <c r="AI10" s="153" t="s">
        <v>121</v>
      </c>
    </row>
    <row r="11" spans="1:35" x14ac:dyDescent="0.2">
      <c r="A11" s="5" t="s">
        <v>41</v>
      </c>
      <c r="G11" s="3" t="s">
        <v>299</v>
      </c>
      <c r="I11" s="3" t="s">
        <v>147</v>
      </c>
      <c r="J11" s="88"/>
      <c r="K11" s="3" t="s">
        <v>159</v>
      </c>
      <c r="L11" s="89"/>
      <c r="M11" s="3" t="s">
        <v>159</v>
      </c>
      <c r="N11" s="3" t="s">
        <v>218</v>
      </c>
      <c r="O11" s="3" t="s">
        <v>160</v>
      </c>
      <c r="AC11" s="153" t="s">
        <v>122</v>
      </c>
      <c r="AE11" s="149" t="s">
        <v>121</v>
      </c>
      <c r="AG11" s="153" t="s">
        <v>122</v>
      </c>
      <c r="AI11" s="153" t="s">
        <v>122</v>
      </c>
    </row>
    <row r="12" spans="1:35" x14ac:dyDescent="0.2">
      <c r="A12" s="3" t="s">
        <v>42</v>
      </c>
      <c r="G12" s="3" t="s">
        <v>300</v>
      </c>
      <c r="I12" s="3" t="s">
        <v>132</v>
      </c>
      <c r="J12" s="88"/>
      <c r="K12" s="3" t="s">
        <v>162</v>
      </c>
      <c r="L12" s="89"/>
      <c r="M12" s="3" t="s">
        <v>162</v>
      </c>
      <c r="N12" s="3" t="s">
        <v>219</v>
      </c>
      <c r="O12" s="3" t="s">
        <v>220</v>
      </c>
      <c r="AC12" s="153" t="s">
        <v>123</v>
      </c>
      <c r="AE12" s="149" t="s">
        <v>122</v>
      </c>
      <c r="AG12" s="153" t="s">
        <v>123</v>
      </c>
      <c r="AI12" s="153" t="s">
        <v>123</v>
      </c>
    </row>
    <row r="13" spans="1:35" x14ac:dyDescent="0.2">
      <c r="A13" s="3" t="s">
        <v>43</v>
      </c>
      <c r="G13" s="3" t="s">
        <v>124</v>
      </c>
      <c r="I13" s="3" t="s">
        <v>204</v>
      </c>
      <c r="J13" s="88"/>
      <c r="K13" s="3" t="s">
        <v>223</v>
      </c>
      <c r="L13" s="89"/>
      <c r="M13" s="3" t="s">
        <v>223</v>
      </c>
      <c r="N13" s="3" t="s">
        <v>224</v>
      </c>
      <c r="O13" s="3" t="s">
        <v>163</v>
      </c>
      <c r="AC13" s="153" t="s">
        <v>124</v>
      </c>
      <c r="AE13" s="149" t="s">
        <v>123</v>
      </c>
      <c r="AG13" s="153" t="s">
        <v>124</v>
      </c>
      <c r="AI13" s="153" t="s">
        <v>124</v>
      </c>
    </row>
    <row r="14" spans="1:35" x14ac:dyDescent="0.2">
      <c r="A14" s="3" t="s">
        <v>44</v>
      </c>
      <c r="G14" s="3" t="s">
        <v>301</v>
      </c>
      <c r="I14" s="3" t="s">
        <v>148</v>
      </c>
      <c r="J14" s="88"/>
      <c r="K14" s="3" t="s">
        <v>164</v>
      </c>
      <c r="L14" s="89"/>
      <c r="M14" s="3" t="s">
        <v>164</v>
      </c>
      <c r="N14" s="3" t="s">
        <v>165</v>
      </c>
      <c r="O14" s="3" t="s">
        <v>225</v>
      </c>
      <c r="AC14" s="153" t="s">
        <v>125</v>
      </c>
      <c r="AE14" s="149" t="s">
        <v>274</v>
      </c>
      <c r="AG14" s="153" t="s">
        <v>125</v>
      </c>
      <c r="AI14" s="153" t="s">
        <v>125</v>
      </c>
    </row>
    <row r="15" spans="1:35" x14ac:dyDescent="0.2">
      <c r="A15" s="3" t="s">
        <v>135</v>
      </c>
      <c r="G15" s="3"/>
      <c r="I15" s="3" t="s">
        <v>149</v>
      </c>
      <c r="J15" s="88"/>
      <c r="K15" s="3" t="s">
        <v>167</v>
      </c>
      <c r="L15" s="89"/>
      <c r="M15" s="3" t="s">
        <v>167</v>
      </c>
      <c r="N15" s="3" t="s">
        <v>168</v>
      </c>
      <c r="O15" s="3" t="s">
        <v>226</v>
      </c>
      <c r="AC15" s="153" t="s">
        <v>126</v>
      </c>
      <c r="AE15" s="149" t="s">
        <v>275</v>
      </c>
      <c r="AG15" s="153" t="s">
        <v>126</v>
      </c>
      <c r="AI15" s="153" t="s">
        <v>126</v>
      </c>
    </row>
    <row r="16" spans="1:35" x14ac:dyDescent="0.2">
      <c r="A16" s="90" t="s">
        <v>261</v>
      </c>
      <c r="G16" s="3"/>
      <c r="I16" s="3" t="s">
        <v>150</v>
      </c>
      <c r="J16" s="88"/>
      <c r="K16" s="3" t="s">
        <v>228</v>
      </c>
      <c r="L16" s="89"/>
      <c r="M16" s="3" t="s">
        <v>228</v>
      </c>
      <c r="N16" s="3" t="s">
        <v>229</v>
      </c>
      <c r="O16" s="3" t="s">
        <v>230</v>
      </c>
      <c r="AC16" s="153" t="s">
        <v>287</v>
      </c>
      <c r="AE16" s="149" t="s">
        <v>276</v>
      </c>
      <c r="AG16" s="153" t="s">
        <v>287</v>
      </c>
      <c r="AI16" s="153" t="s">
        <v>287</v>
      </c>
    </row>
    <row r="17" spans="6:35" x14ac:dyDescent="0.2">
      <c r="G17" s="3"/>
      <c r="I17" s="3" t="s">
        <v>205</v>
      </c>
      <c r="J17" s="88"/>
      <c r="K17" s="3" t="s">
        <v>169</v>
      </c>
      <c r="L17" s="89"/>
      <c r="M17" s="3" t="s">
        <v>169</v>
      </c>
      <c r="N17" s="3" t="s">
        <v>170</v>
      </c>
      <c r="O17" s="3" t="s">
        <v>171</v>
      </c>
      <c r="AC17" s="153" t="s">
        <v>128</v>
      </c>
      <c r="AE17" s="149" t="s">
        <v>277</v>
      </c>
      <c r="AG17" s="153" t="s">
        <v>274</v>
      </c>
      <c r="AI17" s="153" t="s">
        <v>274</v>
      </c>
    </row>
    <row r="18" spans="6:35" x14ac:dyDescent="0.2">
      <c r="G18" s="3"/>
      <c r="I18" s="3" t="s">
        <v>206</v>
      </c>
      <c r="J18" s="88"/>
      <c r="K18" s="3" t="s">
        <v>172</v>
      </c>
      <c r="L18" s="89"/>
      <c r="M18" s="3" t="s">
        <v>172</v>
      </c>
      <c r="N18" s="3" t="s">
        <v>173</v>
      </c>
      <c r="O18" s="3" t="s">
        <v>174</v>
      </c>
      <c r="AE18" s="149" t="s">
        <v>20</v>
      </c>
      <c r="AG18" s="153" t="s">
        <v>275</v>
      </c>
      <c r="AI18" s="153" t="s">
        <v>310</v>
      </c>
    </row>
    <row r="19" spans="6:35" x14ac:dyDescent="0.2">
      <c r="I19" s="3" t="s">
        <v>207</v>
      </c>
      <c r="J19" s="88"/>
      <c r="K19" s="3" t="s">
        <v>175</v>
      </c>
      <c r="L19" s="89"/>
      <c r="M19" s="3" t="s">
        <v>175</v>
      </c>
      <c r="N19" s="3" t="s">
        <v>176</v>
      </c>
      <c r="O19" s="3" t="s">
        <v>177</v>
      </c>
      <c r="AE19" s="149" t="s">
        <v>116</v>
      </c>
      <c r="AG19" s="153" t="s">
        <v>276</v>
      </c>
      <c r="AI19" s="153" t="s">
        <v>276</v>
      </c>
    </row>
    <row r="20" spans="6:35" x14ac:dyDescent="0.2">
      <c r="I20" s="3" t="s">
        <v>208</v>
      </c>
      <c r="J20" s="88"/>
      <c r="K20" s="3" t="s">
        <v>235</v>
      </c>
      <c r="L20" s="89"/>
      <c r="M20" s="3" t="s">
        <v>235</v>
      </c>
      <c r="N20" s="3" t="s">
        <v>236</v>
      </c>
      <c r="O20" s="3" t="s">
        <v>237</v>
      </c>
      <c r="AE20" s="149" t="s">
        <v>278</v>
      </c>
      <c r="AG20" s="153" t="s">
        <v>277</v>
      </c>
      <c r="AI20" s="153" t="s">
        <v>277</v>
      </c>
    </row>
    <row r="21" spans="6:35" x14ac:dyDescent="0.2">
      <c r="I21" s="3" t="s">
        <v>209</v>
      </c>
      <c r="J21" s="88"/>
      <c r="K21" s="3" t="s">
        <v>239</v>
      </c>
      <c r="L21" s="89"/>
      <c r="M21" s="3" t="s">
        <v>239</v>
      </c>
      <c r="N21" s="3" t="s">
        <v>178</v>
      </c>
      <c r="O21" s="3" t="s">
        <v>179</v>
      </c>
      <c r="AE21" s="149" t="s">
        <v>279</v>
      </c>
      <c r="AG21" s="153" t="s">
        <v>20</v>
      </c>
      <c r="AI21" s="153" t="s">
        <v>20</v>
      </c>
    </row>
    <row r="22" spans="6:35" x14ac:dyDescent="0.2">
      <c r="I22" s="3" t="s">
        <v>210</v>
      </c>
      <c r="J22" s="88"/>
      <c r="K22" s="3" t="s">
        <v>240</v>
      </c>
      <c r="L22" s="89"/>
      <c r="M22" s="3" t="s">
        <v>240</v>
      </c>
      <c r="N22" s="3" t="s">
        <v>181</v>
      </c>
      <c r="O22" s="3" t="s">
        <v>182</v>
      </c>
      <c r="AE22" s="149" t="s">
        <v>280</v>
      </c>
      <c r="AG22" s="153" t="s">
        <v>278</v>
      </c>
      <c r="AI22" s="153" t="s">
        <v>278</v>
      </c>
    </row>
    <row r="23" spans="6:35" x14ac:dyDescent="0.2">
      <c r="F23" s="2" t="s">
        <v>271</v>
      </c>
      <c r="I23" s="3" t="s">
        <v>151</v>
      </c>
      <c r="J23" s="88"/>
      <c r="K23" s="3" t="s">
        <v>241</v>
      </c>
      <c r="L23" s="89"/>
      <c r="M23" s="3" t="s">
        <v>241</v>
      </c>
      <c r="N23" s="3" t="s">
        <v>242</v>
      </c>
      <c r="O23" s="3" t="s">
        <v>243</v>
      </c>
      <c r="AE23" s="149" t="s">
        <v>21</v>
      </c>
      <c r="AG23" s="153" t="s">
        <v>279</v>
      </c>
      <c r="AI23" s="153" t="s">
        <v>279</v>
      </c>
    </row>
    <row r="24" spans="6:35" x14ac:dyDescent="0.2">
      <c r="I24" s="3" t="s">
        <v>152</v>
      </c>
      <c r="J24" s="88"/>
      <c r="K24" s="3" t="s">
        <v>245</v>
      </c>
      <c r="L24" s="89"/>
      <c r="M24" s="3" t="s">
        <v>245</v>
      </c>
      <c r="N24" s="3" t="s">
        <v>246</v>
      </c>
      <c r="O24" s="3" t="s">
        <v>184</v>
      </c>
      <c r="AE24" s="149" t="s">
        <v>47</v>
      </c>
      <c r="AG24" s="153" t="s">
        <v>280</v>
      </c>
      <c r="AI24" s="153" t="s">
        <v>280</v>
      </c>
    </row>
    <row r="25" spans="6:35" x14ac:dyDescent="0.2">
      <c r="I25" s="3" t="s">
        <v>153</v>
      </c>
      <c r="J25" s="88"/>
      <c r="K25" s="3" t="s">
        <v>186</v>
      </c>
      <c r="L25" s="89"/>
      <c r="M25" s="3" t="s">
        <v>186</v>
      </c>
      <c r="N25" s="3" t="s">
        <v>247</v>
      </c>
      <c r="O25" s="3" t="s">
        <v>187</v>
      </c>
      <c r="AE25" s="149" t="s">
        <v>281</v>
      </c>
      <c r="AG25" s="153" t="s">
        <v>21</v>
      </c>
      <c r="AI25" s="153" t="s">
        <v>21</v>
      </c>
    </row>
    <row r="26" spans="6:35" x14ac:dyDescent="0.2">
      <c r="I26" s="3" t="s">
        <v>211</v>
      </c>
      <c r="J26" s="88"/>
      <c r="K26" s="3" t="s">
        <v>189</v>
      </c>
      <c r="L26" s="89"/>
      <c r="M26" s="3" t="s">
        <v>189</v>
      </c>
      <c r="N26" s="3" t="s">
        <v>248</v>
      </c>
      <c r="O26" s="3" t="s">
        <v>190</v>
      </c>
      <c r="AE26" s="149" t="s">
        <v>126</v>
      </c>
      <c r="AG26" s="153" t="s">
        <v>281</v>
      </c>
      <c r="AI26" s="153" t="s">
        <v>281</v>
      </c>
    </row>
    <row r="27" spans="6:35" x14ac:dyDescent="0.2">
      <c r="I27" s="3" t="s">
        <v>154</v>
      </c>
      <c r="J27" s="88"/>
      <c r="K27" s="3" t="s">
        <v>192</v>
      </c>
      <c r="L27" s="89"/>
      <c r="M27" s="3" t="s">
        <v>192</v>
      </c>
      <c r="N27" s="3" t="s">
        <v>249</v>
      </c>
      <c r="O27" s="3" t="s">
        <v>250</v>
      </c>
      <c r="AE27" s="149" t="s">
        <v>282</v>
      </c>
      <c r="AG27" s="153" t="s">
        <v>282</v>
      </c>
      <c r="AI27" s="153" t="s">
        <v>282</v>
      </c>
    </row>
    <row r="28" spans="6:35" x14ac:dyDescent="0.2">
      <c r="I28" s="3" t="s">
        <v>155</v>
      </c>
      <c r="J28" s="88"/>
      <c r="K28" s="3" t="s">
        <v>252</v>
      </c>
      <c r="L28" s="89"/>
      <c r="M28" s="3" t="s">
        <v>252</v>
      </c>
      <c r="N28" s="3" t="s">
        <v>253</v>
      </c>
      <c r="O28" s="3" t="s">
        <v>254</v>
      </c>
      <c r="AE28" s="149" t="s">
        <v>283</v>
      </c>
      <c r="AG28" s="153" t="s">
        <v>283</v>
      </c>
      <c r="AI28" s="153" t="s">
        <v>283</v>
      </c>
    </row>
    <row r="29" spans="6:35" x14ac:dyDescent="0.2">
      <c r="I29" s="3" t="s">
        <v>156</v>
      </c>
      <c r="J29" s="88"/>
      <c r="K29" s="3" t="s">
        <v>194</v>
      </c>
      <c r="L29" s="89"/>
      <c r="M29" s="3" t="s">
        <v>194</v>
      </c>
      <c r="N29" s="3" t="s">
        <v>195</v>
      </c>
      <c r="O29" s="3" t="s">
        <v>255</v>
      </c>
      <c r="AE29" s="149" t="s">
        <v>284</v>
      </c>
      <c r="AG29" s="153" t="s">
        <v>284</v>
      </c>
      <c r="AI29" s="153" t="s">
        <v>284</v>
      </c>
    </row>
    <row r="30" spans="6:35" x14ac:dyDescent="0.2">
      <c r="I30" s="3" t="s">
        <v>212</v>
      </c>
      <c r="J30" s="88"/>
      <c r="K30" s="3" t="s">
        <v>197</v>
      </c>
      <c r="L30" s="89"/>
      <c r="M30" s="3" t="s">
        <v>197</v>
      </c>
      <c r="N30" s="3" t="s">
        <v>198</v>
      </c>
      <c r="O30" s="3" t="s">
        <v>256</v>
      </c>
      <c r="AE30" s="149" t="s">
        <v>285</v>
      </c>
      <c r="AG30" s="153" t="s">
        <v>285</v>
      </c>
      <c r="AI30" s="153" t="s">
        <v>285</v>
      </c>
    </row>
    <row r="31" spans="6:35" x14ac:dyDescent="0.2">
      <c r="I31" s="3" t="s">
        <v>213</v>
      </c>
      <c r="J31" s="88"/>
      <c r="K31" s="3" t="s">
        <v>258</v>
      </c>
      <c r="L31" s="89"/>
      <c r="M31" s="3" t="s">
        <v>258</v>
      </c>
      <c r="N31" s="3" t="s">
        <v>259</v>
      </c>
      <c r="O31" s="3" t="s">
        <v>260</v>
      </c>
      <c r="P31" s="2" t="s">
        <v>76</v>
      </c>
      <c r="AE31" s="149" t="s">
        <v>286</v>
      </c>
      <c r="AG31" s="153" t="s">
        <v>286</v>
      </c>
      <c r="AI31" s="153" t="s">
        <v>286</v>
      </c>
    </row>
    <row r="32" spans="6:35" x14ac:dyDescent="0.2">
      <c r="I32" s="3" t="s">
        <v>214</v>
      </c>
      <c r="J32" s="88"/>
      <c r="K32" s="3" t="s">
        <v>199</v>
      </c>
      <c r="L32" s="89"/>
      <c r="M32" s="3" t="s">
        <v>269</v>
      </c>
      <c r="N32" s="3" t="s">
        <v>199</v>
      </c>
      <c r="O32" s="3" t="s">
        <v>200</v>
      </c>
      <c r="P32" s="2" t="s">
        <v>270</v>
      </c>
      <c r="AE32" s="149" t="s">
        <v>127</v>
      </c>
      <c r="AG32" s="153" t="s">
        <v>127</v>
      </c>
      <c r="AI32" s="153" t="s">
        <v>127</v>
      </c>
    </row>
    <row r="33" spans="9:35" x14ac:dyDescent="0.2">
      <c r="I33" s="3" t="s">
        <v>215</v>
      </c>
      <c r="J33" s="88"/>
      <c r="L33" s="89"/>
      <c r="AE33" s="149" t="s">
        <v>287</v>
      </c>
      <c r="AG33" s="153" t="s">
        <v>128</v>
      </c>
      <c r="AI33" s="153" t="s">
        <v>289</v>
      </c>
    </row>
    <row r="34" spans="9:35" x14ac:dyDescent="0.2">
      <c r="I34" s="3" t="s">
        <v>216</v>
      </c>
      <c r="J34" s="88"/>
      <c r="L34" s="89"/>
      <c r="AE34" s="149" t="s">
        <v>288</v>
      </c>
    </row>
    <row r="35" spans="9:35" x14ac:dyDescent="0.2">
      <c r="I35" s="3" t="s">
        <v>217</v>
      </c>
      <c r="J35" s="88"/>
      <c r="L35" s="89"/>
      <c r="AE35" s="149" t="s">
        <v>128</v>
      </c>
    </row>
    <row r="36" spans="9:35" x14ac:dyDescent="0.2">
      <c r="I36" s="3" t="s">
        <v>157</v>
      </c>
      <c r="J36" s="88"/>
      <c r="L36" s="89"/>
      <c r="AE36" s="149" t="s">
        <v>289</v>
      </c>
    </row>
    <row r="37" spans="9:35" x14ac:dyDescent="0.2">
      <c r="I37" s="3" t="s">
        <v>158</v>
      </c>
      <c r="J37" s="88"/>
      <c r="L37" s="89"/>
      <c r="AE37" s="149"/>
    </row>
    <row r="38" spans="9:35" x14ac:dyDescent="0.2">
      <c r="I38" s="3" t="s">
        <v>159</v>
      </c>
      <c r="J38" s="88"/>
      <c r="L38" s="89"/>
      <c r="AE38" s="150"/>
    </row>
    <row r="39" spans="9:35" x14ac:dyDescent="0.2">
      <c r="I39" s="3" t="s">
        <v>218</v>
      </c>
      <c r="J39" s="88"/>
      <c r="L39" s="89"/>
      <c r="AE39" s="152"/>
    </row>
    <row r="40" spans="9:35" x14ac:dyDescent="0.2">
      <c r="I40" s="3" t="s">
        <v>160</v>
      </c>
      <c r="J40" s="88"/>
      <c r="L40" s="89"/>
      <c r="AE40" s="151"/>
    </row>
    <row r="41" spans="9:35" x14ac:dyDescent="0.2">
      <c r="I41" s="3" t="s">
        <v>161</v>
      </c>
      <c r="J41" s="88"/>
      <c r="L41" s="89">
        <v>43172</v>
      </c>
      <c r="AE41" s="151"/>
    </row>
    <row r="42" spans="9:35" x14ac:dyDescent="0.2">
      <c r="I42" s="3" t="s">
        <v>162</v>
      </c>
      <c r="J42" s="88"/>
      <c r="L42" s="89">
        <v>43173</v>
      </c>
      <c r="AE42" s="151"/>
    </row>
    <row r="43" spans="9:35" x14ac:dyDescent="0.2">
      <c r="I43" s="3" t="s">
        <v>219</v>
      </c>
      <c r="J43" s="88"/>
      <c r="L43" s="89">
        <v>43174</v>
      </c>
      <c r="AE43" s="151"/>
    </row>
    <row r="44" spans="9:35" x14ac:dyDescent="0.2">
      <c r="I44" s="3" t="s">
        <v>220</v>
      </c>
      <c r="J44" s="88"/>
      <c r="L44" s="89">
        <v>43175</v>
      </c>
    </row>
    <row r="45" spans="9:35" x14ac:dyDescent="0.2">
      <c r="I45" s="3" t="s">
        <v>221</v>
      </c>
      <c r="J45" s="88"/>
      <c r="L45" s="89">
        <v>43176</v>
      </c>
    </row>
    <row r="46" spans="9:35" x14ac:dyDescent="0.2">
      <c r="I46" s="3" t="s">
        <v>222</v>
      </c>
      <c r="J46" s="88"/>
      <c r="L46" s="89">
        <v>43177</v>
      </c>
    </row>
    <row r="47" spans="9:35" x14ac:dyDescent="0.2">
      <c r="I47" s="3" t="s">
        <v>223</v>
      </c>
      <c r="L47" s="89">
        <v>43178</v>
      </c>
    </row>
    <row r="48" spans="9:35" x14ac:dyDescent="0.2">
      <c r="I48" s="3" t="s">
        <v>224</v>
      </c>
      <c r="L48" s="89">
        <v>43179</v>
      </c>
    </row>
    <row r="49" spans="9:12" x14ac:dyDescent="0.2">
      <c r="I49" s="3" t="s">
        <v>163</v>
      </c>
      <c r="L49" s="89">
        <v>43180</v>
      </c>
    </row>
    <row r="50" spans="9:12" x14ac:dyDescent="0.2">
      <c r="I50" s="3" t="s">
        <v>164</v>
      </c>
      <c r="L50" s="89">
        <v>43181</v>
      </c>
    </row>
    <row r="51" spans="9:12" x14ac:dyDescent="0.2">
      <c r="I51" s="3" t="s">
        <v>165</v>
      </c>
      <c r="L51" s="89">
        <v>43182</v>
      </c>
    </row>
    <row r="52" spans="9:12" x14ac:dyDescent="0.2">
      <c r="I52" s="3" t="s">
        <v>225</v>
      </c>
      <c r="L52" s="89">
        <v>43183</v>
      </c>
    </row>
    <row r="53" spans="9:12" x14ac:dyDescent="0.2">
      <c r="I53" s="3" t="s">
        <v>166</v>
      </c>
      <c r="L53" s="89">
        <v>43184</v>
      </c>
    </row>
    <row r="54" spans="9:12" x14ac:dyDescent="0.2">
      <c r="I54" s="3" t="s">
        <v>167</v>
      </c>
      <c r="L54" s="89">
        <v>43185</v>
      </c>
    </row>
    <row r="55" spans="9:12" x14ac:dyDescent="0.2">
      <c r="I55" s="3" t="s">
        <v>168</v>
      </c>
      <c r="L55" s="89">
        <v>43186</v>
      </c>
    </row>
    <row r="56" spans="9:12" x14ac:dyDescent="0.2">
      <c r="I56" s="3" t="s">
        <v>226</v>
      </c>
      <c r="L56" s="89">
        <v>43187</v>
      </c>
    </row>
    <row r="57" spans="9:12" x14ac:dyDescent="0.2">
      <c r="I57" s="3" t="s">
        <v>227</v>
      </c>
      <c r="L57" s="89">
        <v>43188</v>
      </c>
    </row>
    <row r="58" spans="9:12" x14ac:dyDescent="0.2">
      <c r="I58" s="3" t="s">
        <v>228</v>
      </c>
      <c r="L58" s="89">
        <v>43189</v>
      </c>
    </row>
    <row r="59" spans="9:12" x14ac:dyDescent="0.2">
      <c r="I59" s="3" t="s">
        <v>229</v>
      </c>
      <c r="L59" s="89">
        <v>43190</v>
      </c>
    </row>
    <row r="60" spans="9:12" x14ac:dyDescent="0.2">
      <c r="I60" s="3" t="s">
        <v>230</v>
      </c>
      <c r="L60" s="89">
        <v>43191</v>
      </c>
    </row>
    <row r="61" spans="9:12" x14ac:dyDescent="0.2">
      <c r="I61" s="3" t="s">
        <v>231</v>
      </c>
    </row>
    <row r="62" spans="9:12" x14ac:dyDescent="0.2">
      <c r="I62" s="3" t="s">
        <v>169</v>
      </c>
    </row>
    <row r="63" spans="9:12" x14ac:dyDescent="0.2">
      <c r="I63" s="3" t="s">
        <v>170</v>
      </c>
    </row>
    <row r="64" spans="9:12" x14ac:dyDescent="0.2">
      <c r="I64" s="3" t="s">
        <v>171</v>
      </c>
    </row>
    <row r="65" spans="9:9" x14ac:dyDescent="0.2">
      <c r="I65" s="3" t="s">
        <v>232</v>
      </c>
    </row>
    <row r="66" spans="9:9" x14ac:dyDescent="0.2">
      <c r="I66" s="3" t="s">
        <v>172</v>
      </c>
    </row>
    <row r="67" spans="9:9" x14ac:dyDescent="0.2">
      <c r="I67" s="3" t="s">
        <v>173</v>
      </c>
    </row>
    <row r="68" spans="9:9" x14ac:dyDescent="0.2">
      <c r="I68" s="3" t="s">
        <v>174</v>
      </c>
    </row>
    <row r="69" spans="9:9" x14ac:dyDescent="0.2">
      <c r="I69" s="3" t="s">
        <v>233</v>
      </c>
    </row>
    <row r="70" spans="9:9" x14ac:dyDescent="0.2">
      <c r="I70" s="3" t="s">
        <v>175</v>
      </c>
    </row>
    <row r="71" spans="9:9" x14ac:dyDescent="0.2">
      <c r="I71" s="3" t="s">
        <v>176</v>
      </c>
    </row>
    <row r="72" spans="9:9" x14ac:dyDescent="0.2">
      <c r="I72" s="3" t="s">
        <v>177</v>
      </c>
    </row>
    <row r="73" spans="9:9" x14ac:dyDescent="0.2">
      <c r="I73" s="3" t="s">
        <v>234</v>
      </c>
    </row>
    <row r="74" spans="9:9" x14ac:dyDescent="0.2">
      <c r="I74" s="3" t="s">
        <v>235</v>
      </c>
    </row>
    <row r="75" spans="9:9" x14ac:dyDescent="0.2">
      <c r="I75" s="3" t="s">
        <v>236</v>
      </c>
    </row>
    <row r="76" spans="9:9" x14ac:dyDescent="0.2">
      <c r="I76" s="3" t="s">
        <v>237</v>
      </c>
    </row>
    <row r="77" spans="9:9" x14ac:dyDescent="0.2">
      <c r="I77" s="3" t="s">
        <v>238</v>
      </c>
    </row>
    <row r="78" spans="9:9" x14ac:dyDescent="0.2">
      <c r="I78" s="3" t="s">
        <v>239</v>
      </c>
    </row>
    <row r="79" spans="9:9" x14ac:dyDescent="0.2">
      <c r="I79" s="3" t="s">
        <v>178</v>
      </c>
    </row>
    <row r="80" spans="9:9" x14ac:dyDescent="0.2">
      <c r="I80" s="3" t="s">
        <v>179</v>
      </c>
    </row>
    <row r="81" spans="9:9" x14ac:dyDescent="0.2">
      <c r="I81" s="3" t="s">
        <v>180</v>
      </c>
    </row>
    <row r="82" spans="9:9" x14ac:dyDescent="0.2">
      <c r="I82" s="3" t="s">
        <v>240</v>
      </c>
    </row>
    <row r="83" spans="9:9" x14ac:dyDescent="0.2">
      <c r="I83" s="3" t="s">
        <v>181</v>
      </c>
    </row>
    <row r="84" spans="9:9" x14ac:dyDescent="0.2">
      <c r="I84" s="3" t="s">
        <v>182</v>
      </c>
    </row>
    <row r="85" spans="9:9" x14ac:dyDescent="0.2">
      <c r="I85" s="3" t="s">
        <v>183</v>
      </c>
    </row>
    <row r="86" spans="9:9" x14ac:dyDescent="0.2">
      <c r="I86" s="3" t="s">
        <v>241</v>
      </c>
    </row>
    <row r="87" spans="9:9" x14ac:dyDescent="0.2">
      <c r="I87" s="3" t="s">
        <v>242</v>
      </c>
    </row>
    <row r="88" spans="9:9" x14ac:dyDescent="0.2">
      <c r="I88" s="3" t="s">
        <v>243</v>
      </c>
    </row>
    <row r="89" spans="9:9" x14ac:dyDescent="0.2">
      <c r="I89" s="3" t="s">
        <v>244</v>
      </c>
    </row>
    <row r="90" spans="9:9" x14ac:dyDescent="0.2">
      <c r="I90" s="3" t="s">
        <v>245</v>
      </c>
    </row>
    <row r="91" spans="9:9" x14ac:dyDescent="0.2">
      <c r="I91" s="3" t="s">
        <v>246</v>
      </c>
    </row>
    <row r="92" spans="9:9" x14ac:dyDescent="0.2">
      <c r="I92" s="3" t="s">
        <v>184</v>
      </c>
    </row>
    <row r="93" spans="9:9" x14ac:dyDescent="0.2">
      <c r="I93" s="3" t="s">
        <v>185</v>
      </c>
    </row>
    <row r="94" spans="9:9" x14ac:dyDescent="0.2">
      <c r="I94" s="3" t="s">
        <v>186</v>
      </c>
    </row>
    <row r="95" spans="9:9" x14ac:dyDescent="0.2">
      <c r="I95" s="3" t="s">
        <v>247</v>
      </c>
    </row>
    <row r="96" spans="9:9" x14ac:dyDescent="0.2">
      <c r="I96" s="3" t="s">
        <v>187</v>
      </c>
    </row>
    <row r="97" spans="9:9" x14ac:dyDescent="0.2">
      <c r="I97" s="3" t="s">
        <v>188</v>
      </c>
    </row>
    <row r="98" spans="9:9" x14ac:dyDescent="0.2">
      <c r="I98" s="3" t="s">
        <v>189</v>
      </c>
    </row>
    <row r="99" spans="9:9" x14ac:dyDescent="0.2">
      <c r="I99" s="3" t="s">
        <v>248</v>
      </c>
    </row>
    <row r="100" spans="9:9" x14ac:dyDescent="0.2">
      <c r="I100" s="3" t="s">
        <v>190</v>
      </c>
    </row>
    <row r="101" spans="9:9" x14ac:dyDescent="0.2">
      <c r="I101" s="3" t="s">
        <v>191</v>
      </c>
    </row>
    <row r="102" spans="9:9" x14ac:dyDescent="0.2">
      <c r="I102" s="3" t="s">
        <v>192</v>
      </c>
    </row>
    <row r="103" spans="9:9" x14ac:dyDescent="0.2">
      <c r="I103" s="3" t="s">
        <v>249</v>
      </c>
    </row>
    <row r="104" spans="9:9" x14ac:dyDescent="0.2">
      <c r="I104" s="3" t="s">
        <v>250</v>
      </c>
    </row>
    <row r="105" spans="9:9" x14ac:dyDescent="0.2">
      <c r="I105" s="3" t="s">
        <v>251</v>
      </c>
    </row>
    <row r="106" spans="9:9" x14ac:dyDescent="0.2">
      <c r="I106" s="3" t="s">
        <v>252</v>
      </c>
    </row>
    <row r="107" spans="9:9" x14ac:dyDescent="0.2">
      <c r="I107" s="3" t="s">
        <v>253</v>
      </c>
    </row>
    <row r="108" spans="9:9" x14ac:dyDescent="0.2">
      <c r="I108" s="3" t="s">
        <v>254</v>
      </c>
    </row>
    <row r="109" spans="9:9" x14ac:dyDescent="0.2">
      <c r="I109" s="3" t="s">
        <v>193</v>
      </c>
    </row>
    <row r="110" spans="9:9" x14ac:dyDescent="0.2">
      <c r="I110" s="3" t="s">
        <v>194</v>
      </c>
    </row>
    <row r="111" spans="9:9" x14ac:dyDescent="0.2">
      <c r="I111" s="3" t="s">
        <v>195</v>
      </c>
    </row>
    <row r="112" spans="9:9" x14ac:dyDescent="0.2">
      <c r="I112" s="3" t="s">
        <v>255</v>
      </c>
    </row>
    <row r="113" spans="9:9" x14ac:dyDescent="0.2">
      <c r="I113" s="3" t="s">
        <v>196</v>
      </c>
    </row>
    <row r="114" spans="9:9" x14ac:dyDescent="0.2">
      <c r="I114" s="3" t="s">
        <v>197</v>
      </c>
    </row>
    <row r="115" spans="9:9" x14ac:dyDescent="0.2">
      <c r="I115" s="3" t="s">
        <v>198</v>
      </c>
    </row>
    <row r="116" spans="9:9" x14ac:dyDescent="0.2">
      <c r="I116" s="3" t="s">
        <v>256</v>
      </c>
    </row>
    <row r="117" spans="9:9" x14ac:dyDescent="0.2">
      <c r="I117" s="3" t="s">
        <v>257</v>
      </c>
    </row>
    <row r="118" spans="9:9" ht="15" x14ac:dyDescent="0.25">
      <c r="I118"/>
    </row>
    <row r="119" spans="9:9" ht="15" x14ac:dyDescent="0.25">
      <c r="I119"/>
    </row>
    <row r="120" spans="9:9" ht="15" x14ac:dyDescent="0.25">
      <c r="I120"/>
    </row>
    <row r="121" spans="9:9" ht="15" x14ac:dyDescent="0.25">
      <c r="I121"/>
    </row>
    <row r="122" spans="9:9" ht="15" x14ac:dyDescent="0.25">
      <c r="I122"/>
    </row>
    <row r="123" spans="9:9" ht="15" x14ac:dyDescent="0.25">
      <c r="I123"/>
    </row>
    <row r="124" spans="9:9" ht="15" x14ac:dyDescent="0.25">
      <c r="I124"/>
    </row>
    <row r="125" spans="9:9" ht="15" x14ac:dyDescent="0.25">
      <c r="I125"/>
    </row>
    <row r="126" spans="9:9" ht="15" x14ac:dyDescent="0.25">
      <c r="I126"/>
    </row>
    <row r="127" spans="9:9" ht="15" x14ac:dyDescent="0.25">
      <c r="I127"/>
    </row>
    <row r="128" spans="9:9" ht="15" x14ac:dyDescent="0.25">
      <c r="I128"/>
    </row>
    <row r="129" spans="9:9" ht="15" x14ac:dyDescent="0.25">
      <c r="I129"/>
    </row>
    <row r="130" spans="9:9" ht="15" x14ac:dyDescent="0.25">
      <c r="I130"/>
    </row>
    <row r="131" spans="9:9" ht="15" x14ac:dyDescent="0.25">
      <c r="I131"/>
    </row>
    <row r="132" spans="9:9" ht="15" x14ac:dyDescent="0.25">
      <c r="I132"/>
    </row>
    <row r="133" spans="9:9" ht="15" x14ac:dyDescent="0.25">
      <c r="I133"/>
    </row>
    <row r="134" spans="9:9" ht="15" x14ac:dyDescent="0.25">
      <c r="I134"/>
    </row>
    <row r="135" spans="9:9" ht="15" x14ac:dyDescent="0.25">
      <c r="I135"/>
    </row>
    <row r="136" spans="9:9" ht="15" x14ac:dyDescent="0.25">
      <c r="I136"/>
    </row>
    <row r="137" spans="9:9" ht="15" x14ac:dyDescent="0.25">
      <c r="I137"/>
    </row>
    <row r="138" spans="9:9" ht="15" x14ac:dyDescent="0.25">
      <c r="I138"/>
    </row>
    <row r="139" spans="9:9" ht="15" x14ac:dyDescent="0.25">
      <c r="I139"/>
    </row>
    <row r="140" spans="9:9" ht="15" x14ac:dyDescent="0.25">
      <c r="I140"/>
    </row>
    <row r="141" spans="9:9" ht="15" x14ac:dyDescent="0.25">
      <c r="I141"/>
    </row>
    <row r="142" spans="9:9" ht="15" x14ac:dyDescent="0.25">
      <c r="I142"/>
    </row>
    <row r="143" spans="9:9" ht="15" x14ac:dyDescent="0.25">
      <c r="I143"/>
    </row>
    <row r="144" spans="9:9" ht="15" x14ac:dyDescent="0.25">
      <c r="I144"/>
    </row>
    <row r="145" spans="9:9" ht="15" x14ac:dyDescent="0.25">
      <c r="I145"/>
    </row>
    <row r="146" spans="9:9" ht="15" x14ac:dyDescent="0.25">
      <c r="I146"/>
    </row>
    <row r="147" spans="9:9" ht="15" x14ac:dyDescent="0.25">
      <c r="I147"/>
    </row>
    <row r="148" spans="9:9" ht="15" x14ac:dyDescent="0.25">
      <c r="I148"/>
    </row>
    <row r="149" spans="9:9" ht="15" x14ac:dyDescent="0.25">
      <c r="I149"/>
    </row>
    <row r="150" spans="9:9" ht="15" x14ac:dyDescent="0.25">
      <c r="I150"/>
    </row>
    <row r="151" spans="9:9" ht="15" x14ac:dyDescent="0.25">
      <c r="I151"/>
    </row>
    <row r="152" spans="9:9" ht="15" x14ac:dyDescent="0.25">
      <c r="I152"/>
    </row>
    <row r="153" spans="9:9" ht="15" x14ac:dyDescent="0.25">
      <c r="I153"/>
    </row>
    <row r="154" spans="9:9" ht="15" x14ac:dyDescent="0.25">
      <c r="I154"/>
    </row>
    <row r="155" spans="9:9" ht="15" x14ac:dyDescent="0.25">
      <c r="I155"/>
    </row>
    <row r="156" spans="9:9" ht="15" x14ac:dyDescent="0.25">
      <c r="I156"/>
    </row>
    <row r="157" spans="9:9" ht="15" x14ac:dyDescent="0.25">
      <c r="I157"/>
    </row>
    <row r="158" spans="9:9" ht="15" x14ac:dyDescent="0.25">
      <c r="I158"/>
    </row>
    <row r="159" spans="9:9" ht="15" x14ac:dyDescent="0.25">
      <c r="I159"/>
    </row>
    <row r="160" spans="9:9" ht="15" x14ac:dyDescent="0.25">
      <c r="I160"/>
    </row>
    <row r="161" spans="9:9" ht="15" x14ac:dyDescent="0.25">
      <c r="I161"/>
    </row>
    <row r="162" spans="9:9" ht="15" x14ac:dyDescent="0.25">
      <c r="I162"/>
    </row>
    <row r="163" spans="9:9" ht="15" x14ac:dyDescent="0.25">
      <c r="I163"/>
    </row>
    <row r="164" spans="9:9" ht="15" x14ac:dyDescent="0.25">
      <c r="I164"/>
    </row>
    <row r="165" spans="9:9" ht="15" x14ac:dyDescent="0.25">
      <c r="I165"/>
    </row>
    <row r="166" spans="9:9" ht="15" x14ac:dyDescent="0.25">
      <c r="I166"/>
    </row>
    <row r="167" spans="9:9" ht="15" x14ac:dyDescent="0.25">
      <c r="I167"/>
    </row>
    <row r="168" spans="9:9" ht="15" x14ac:dyDescent="0.25">
      <c r="I168"/>
    </row>
    <row r="169" spans="9:9" ht="15" x14ac:dyDescent="0.25">
      <c r="I169"/>
    </row>
    <row r="170" spans="9:9" ht="15" x14ac:dyDescent="0.25">
      <c r="I170"/>
    </row>
    <row r="171" spans="9:9" ht="15" x14ac:dyDescent="0.25">
      <c r="I171"/>
    </row>
    <row r="172" spans="9:9" ht="15" x14ac:dyDescent="0.25">
      <c r="I172"/>
    </row>
    <row r="173" spans="9:9" ht="15" x14ac:dyDescent="0.25">
      <c r="I173"/>
    </row>
    <row r="174" spans="9:9" ht="15" x14ac:dyDescent="0.25">
      <c r="I174"/>
    </row>
    <row r="175" spans="9:9" ht="15" x14ac:dyDescent="0.25">
      <c r="I175"/>
    </row>
    <row r="176" spans="9:9" ht="15" x14ac:dyDescent="0.25">
      <c r="I176"/>
    </row>
    <row r="177" spans="9:9" ht="15" x14ac:dyDescent="0.25">
      <c r="I177"/>
    </row>
    <row r="178" spans="9:9" ht="15" x14ac:dyDescent="0.25">
      <c r="I178"/>
    </row>
    <row r="179" spans="9:9" ht="15" x14ac:dyDescent="0.25">
      <c r="I179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35"/>
  <sheetViews>
    <sheetView topLeftCell="F1" workbookViewId="0"/>
  </sheetViews>
  <sheetFormatPr defaultRowHeight="15" x14ac:dyDescent="0.25"/>
  <cols>
    <col min="5" max="5" width="7.7109375" customWidth="1"/>
    <col min="6" max="6" width="10.7109375" customWidth="1"/>
    <col min="7" max="7" width="12.85546875" customWidth="1"/>
    <col min="8" max="8" width="32.140625" bestFit="1" customWidth="1"/>
    <col min="9" max="36" width="32.140625" customWidth="1"/>
    <col min="37" max="38" width="10.7109375" customWidth="1"/>
    <col min="39" max="40" width="13.140625" customWidth="1"/>
    <col min="41" max="42" width="10.5703125" customWidth="1"/>
    <col min="43" max="44" width="10.7109375" customWidth="1"/>
    <col min="45" max="48" width="28.42578125" customWidth="1"/>
    <col min="49" max="50" width="5.7109375" customWidth="1"/>
    <col min="51" max="52" width="18.42578125" customWidth="1"/>
    <col min="53" max="54" width="14" customWidth="1"/>
    <col min="55" max="56" width="11.42578125" customWidth="1"/>
    <col min="57" max="58" width="10.7109375" customWidth="1"/>
    <col min="59" max="59" width="14.85546875" customWidth="1"/>
    <col min="60" max="60" width="7.5703125" customWidth="1"/>
    <col min="61" max="61" width="12" customWidth="1"/>
    <col min="62" max="62" width="10.7109375" customWidth="1"/>
    <col min="63" max="64" width="12.7109375" customWidth="1"/>
    <col min="65" max="65" width="11.28515625" customWidth="1"/>
    <col min="66" max="69" width="10.7109375" customWidth="1"/>
    <col min="70" max="70" width="13.140625" customWidth="1"/>
    <col min="71" max="71" width="13.85546875" customWidth="1"/>
    <col min="72" max="72" width="13.42578125" customWidth="1"/>
    <col min="73" max="73" width="12.7109375" customWidth="1"/>
    <col min="74" max="74" width="17.140625" customWidth="1"/>
    <col min="75" max="75" width="19.28515625" customWidth="1"/>
    <col min="76" max="76" width="10.7109375" customWidth="1"/>
    <col min="77" max="78" width="18.5703125" customWidth="1"/>
    <col min="79" max="79" width="13.140625" customWidth="1"/>
    <col min="80" max="80" width="17.5703125" customWidth="1"/>
    <col min="81" max="81" width="10.7109375" customWidth="1"/>
    <col min="303" max="303" width="7.7109375" customWidth="1"/>
    <col min="304" max="304" width="10.7109375" customWidth="1"/>
    <col min="305" max="305" width="12.85546875" customWidth="1"/>
    <col min="306" max="306" width="10.7109375" customWidth="1"/>
    <col min="307" max="307" width="13.140625" customWidth="1"/>
    <col min="308" max="308" width="10.5703125" customWidth="1"/>
    <col min="309" max="309" width="10.7109375" customWidth="1"/>
    <col min="310" max="310" width="28.42578125" customWidth="1"/>
    <col min="311" max="311" width="5.7109375" customWidth="1"/>
    <col min="312" max="312" width="18.42578125" customWidth="1"/>
    <col min="313" max="313" width="14" customWidth="1"/>
    <col min="314" max="314" width="11.42578125" customWidth="1"/>
    <col min="315" max="315" width="10.7109375" customWidth="1"/>
    <col min="316" max="316" width="14.85546875" customWidth="1"/>
    <col min="317" max="317" width="7.5703125" customWidth="1"/>
    <col min="318" max="318" width="12" customWidth="1"/>
    <col min="319" max="319" width="10.7109375" customWidth="1"/>
    <col min="320" max="320" width="12.7109375" customWidth="1"/>
    <col min="321" max="321" width="11.28515625" customWidth="1"/>
    <col min="322" max="325" width="10.7109375" customWidth="1"/>
    <col min="326" max="326" width="13.140625" customWidth="1"/>
    <col min="327" max="327" width="13.85546875" customWidth="1"/>
    <col min="328" max="328" width="13.42578125" customWidth="1"/>
    <col min="329" max="329" width="12.7109375" customWidth="1"/>
    <col min="330" max="330" width="17.140625" customWidth="1"/>
    <col min="331" max="331" width="19.28515625" customWidth="1"/>
    <col min="332" max="332" width="10.7109375" customWidth="1"/>
    <col min="333" max="334" width="18.5703125" customWidth="1"/>
    <col min="335" max="335" width="13.140625" customWidth="1"/>
    <col min="336" max="336" width="17.5703125" customWidth="1"/>
    <col min="337" max="337" width="10.7109375" customWidth="1"/>
    <col min="559" max="559" width="7.7109375" customWidth="1"/>
    <col min="560" max="560" width="10.7109375" customWidth="1"/>
    <col min="561" max="561" width="12.85546875" customWidth="1"/>
    <col min="562" max="562" width="10.7109375" customWidth="1"/>
    <col min="563" max="563" width="13.140625" customWidth="1"/>
    <col min="564" max="564" width="10.5703125" customWidth="1"/>
    <col min="565" max="565" width="10.7109375" customWidth="1"/>
    <col min="566" max="566" width="28.42578125" customWidth="1"/>
    <col min="567" max="567" width="5.7109375" customWidth="1"/>
    <col min="568" max="568" width="18.42578125" customWidth="1"/>
    <col min="569" max="569" width="14" customWidth="1"/>
    <col min="570" max="570" width="11.42578125" customWidth="1"/>
    <col min="571" max="571" width="10.7109375" customWidth="1"/>
    <col min="572" max="572" width="14.85546875" customWidth="1"/>
    <col min="573" max="573" width="7.5703125" customWidth="1"/>
    <col min="574" max="574" width="12" customWidth="1"/>
    <col min="575" max="575" width="10.7109375" customWidth="1"/>
    <col min="576" max="576" width="12.7109375" customWidth="1"/>
    <col min="577" max="577" width="11.28515625" customWidth="1"/>
    <col min="578" max="581" width="10.7109375" customWidth="1"/>
    <col min="582" max="582" width="13.140625" customWidth="1"/>
    <col min="583" max="583" width="13.85546875" customWidth="1"/>
    <col min="584" max="584" width="13.42578125" customWidth="1"/>
    <col min="585" max="585" width="12.7109375" customWidth="1"/>
    <col min="586" max="586" width="17.140625" customWidth="1"/>
    <col min="587" max="587" width="19.28515625" customWidth="1"/>
    <col min="588" max="588" width="10.7109375" customWidth="1"/>
    <col min="589" max="590" width="18.5703125" customWidth="1"/>
    <col min="591" max="591" width="13.140625" customWidth="1"/>
    <col min="592" max="592" width="17.5703125" customWidth="1"/>
    <col min="593" max="593" width="10.7109375" customWidth="1"/>
    <col min="815" max="815" width="7.7109375" customWidth="1"/>
    <col min="816" max="816" width="10.7109375" customWidth="1"/>
    <col min="817" max="817" width="12.85546875" customWidth="1"/>
    <col min="818" max="818" width="10.7109375" customWidth="1"/>
    <col min="819" max="819" width="13.140625" customWidth="1"/>
    <col min="820" max="820" width="10.5703125" customWidth="1"/>
    <col min="821" max="821" width="10.7109375" customWidth="1"/>
    <col min="822" max="822" width="28.42578125" customWidth="1"/>
    <col min="823" max="823" width="5.7109375" customWidth="1"/>
    <col min="824" max="824" width="18.42578125" customWidth="1"/>
    <col min="825" max="825" width="14" customWidth="1"/>
    <col min="826" max="826" width="11.42578125" customWidth="1"/>
    <col min="827" max="827" width="10.7109375" customWidth="1"/>
    <col min="828" max="828" width="14.85546875" customWidth="1"/>
    <col min="829" max="829" width="7.5703125" customWidth="1"/>
    <col min="830" max="830" width="12" customWidth="1"/>
    <col min="831" max="831" width="10.7109375" customWidth="1"/>
    <col min="832" max="832" width="12.7109375" customWidth="1"/>
    <col min="833" max="833" width="11.28515625" customWidth="1"/>
    <col min="834" max="837" width="10.7109375" customWidth="1"/>
    <col min="838" max="838" width="13.140625" customWidth="1"/>
    <col min="839" max="839" width="13.85546875" customWidth="1"/>
    <col min="840" max="840" width="13.42578125" customWidth="1"/>
    <col min="841" max="841" width="12.7109375" customWidth="1"/>
    <col min="842" max="842" width="17.140625" customWidth="1"/>
    <col min="843" max="843" width="19.28515625" customWidth="1"/>
    <col min="844" max="844" width="10.7109375" customWidth="1"/>
    <col min="845" max="846" width="18.5703125" customWidth="1"/>
    <col min="847" max="847" width="13.140625" customWidth="1"/>
    <col min="848" max="848" width="17.5703125" customWidth="1"/>
    <col min="849" max="849" width="10.7109375" customWidth="1"/>
    <col min="1071" max="1071" width="7.7109375" customWidth="1"/>
    <col min="1072" max="1072" width="10.7109375" customWidth="1"/>
    <col min="1073" max="1073" width="12.85546875" customWidth="1"/>
    <col min="1074" max="1074" width="10.7109375" customWidth="1"/>
    <col min="1075" max="1075" width="13.140625" customWidth="1"/>
    <col min="1076" max="1076" width="10.5703125" customWidth="1"/>
    <col min="1077" max="1077" width="10.7109375" customWidth="1"/>
    <col min="1078" max="1078" width="28.42578125" customWidth="1"/>
    <col min="1079" max="1079" width="5.7109375" customWidth="1"/>
    <col min="1080" max="1080" width="18.42578125" customWidth="1"/>
    <col min="1081" max="1081" width="14" customWidth="1"/>
    <col min="1082" max="1082" width="11.42578125" customWidth="1"/>
    <col min="1083" max="1083" width="10.7109375" customWidth="1"/>
    <col min="1084" max="1084" width="14.85546875" customWidth="1"/>
    <col min="1085" max="1085" width="7.5703125" customWidth="1"/>
    <col min="1086" max="1086" width="12" customWidth="1"/>
    <col min="1087" max="1087" width="10.7109375" customWidth="1"/>
    <col min="1088" max="1088" width="12.7109375" customWidth="1"/>
    <col min="1089" max="1089" width="11.28515625" customWidth="1"/>
    <col min="1090" max="1093" width="10.7109375" customWidth="1"/>
    <col min="1094" max="1094" width="13.140625" customWidth="1"/>
    <col min="1095" max="1095" width="13.85546875" customWidth="1"/>
    <col min="1096" max="1096" width="13.42578125" customWidth="1"/>
    <col min="1097" max="1097" width="12.7109375" customWidth="1"/>
    <col min="1098" max="1098" width="17.140625" customWidth="1"/>
    <col min="1099" max="1099" width="19.28515625" customWidth="1"/>
    <col min="1100" max="1100" width="10.7109375" customWidth="1"/>
    <col min="1101" max="1102" width="18.5703125" customWidth="1"/>
    <col min="1103" max="1103" width="13.140625" customWidth="1"/>
    <col min="1104" max="1104" width="17.5703125" customWidth="1"/>
    <col min="1105" max="1105" width="10.7109375" customWidth="1"/>
    <col min="1327" max="1327" width="7.7109375" customWidth="1"/>
    <col min="1328" max="1328" width="10.7109375" customWidth="1"/>
    <col min="1329" max="1329" width="12.85546875" customWidth="1"/>
    <col min="1330" max="1330" width="10.7109375" customWidth="1"/>
    <col min="1331" max="1331" width="13.140625" customWidth="1"/>
    <col min="1332" max="1332" width="10.5703125" customWidth="1"/>
    <col min="1333" max="1333" width="10.7109375" customWidth="1"/>
    <col min="1334" max="1334" width="28.42578125" customWidth="1"/>
    <col min="1335" max="1335" width="5.7109375" customWidth="1"/>
    <col min="1336" max="1336" width="18.42578125" customWidth="1"/>
    <col min="1337" max="1337" width="14" customWidth="1"/>
    <col min="1338" max="1338" width="11.42578125" customWidth="1"/>
    <col min="1339" max="1339" width="10.7109375" customWidth="1"/>
    <col min="1340" max="1340" width="14.85546875" customWidth="1"/>
    <col min="1341" max="1341" width="7.5703125" customWidth="1"/>
    <col min="1342" max="1342" width="12" customWidth="1"/>
    <col min="1343" max="1343" width="10.7109375" customWidth="1"/>
    <col min="1344" max="1344" width="12.7109375" customWidth="1"/>
    <col min="1345" max="1345" width="11.28515625" customWidth="1"/>
    <col min="1346" max="1349" width="10.7109375" customWidth="1"/>
    <col min="1350" max="1350" width="13.140625" customWidth="1"/>
    <col min="1351" max="1351" width="13.85546875" customWidth="1"/>
    <col min="1352" max="1352" width="13.42578125" customWidth="1"/>
    <col min="1353" max="1353" width="12.7109375" customWidth="1"/>
    <col min="1354" max="1354" width="17.140625" customWidth="1"/>
    <col min="1355" max="1355" width="19.28515625" customWidth="1"/>
    <col min="1356" max="1356" width="10.7109375" customWidth="1"/>
    <col min="1357" max="1358" width="18.5703125" customWidth="1"/>
    <col min="1359" max="1359" width="13.140625" customWidth="1"/>
    <col min="1360" max="1360" width="17.5703125" customWidth="1"/>
    <col min="1361" max="1361" width="10.7109375" customWidth="1"/>
    <col min="1583" max="1583" width="7.7109375" customWidth="1"/>
    <col min="1584" max="1584" width="10.7109375" customWidth="1"/>
    <col min="1585" max="1585" width="12.85546875" customWidth="1"/>
    <col min="1586" max="1586" width="10.7109375" customWidth="1"/>
    <col min="1587" max="1587" width="13.140625" customWidth="1"/>
    <col min="1588" max="1588" width="10.5703125" customWidth="1"/>
    <col min="1589" max="1589" width="10.7109375" customWidth="1"/>
    <col min="1590" max="1590" width="28.42578125" customWidth="1"/>
    <col min="1591" max="1591" width="5.7109375" customWidth="1"/>
    <col min="1592" max="1592" width="18.42578125" customWidth="1"/>
    <col min="1593" max="1593" width="14" customWidth="1"/>
    <col min="1594" max="1594" width="11.42578125" customWidth="1"/>
    <col min="1595" max="1595" width="10.7109375" customWidth="1"/>
    <col min="1596" max="1596" width="14.85546875" customWidth="1"/>
    <col min="1597" max="1597" width="7.5703125" customWidth="1"/>
    <col min="1598" max="1598" width="12" customWidth="1"/>
    <col min="1599" max="1599" width="10.7109375" customWidth="1"/>
    <col min="1600" max="1600" width="12.7109375" customWidth="1"/>
    <col min="1601" max="1601" width="11.28515625" customWidth="1"/>
    <col min="1602" max="1605" width="10.7109375" customWidth="1"/>
    <col min="1606" max="1606" width="13.140625" customWidth="1"/>
    <col min="1607" max="1607" width="13.85546875" customWidth="1"/>
    <col min="1608" max="1608" width="13.42578125" customWidth="1"/>
    <col min="1609" max="1609" width="12.7109375" customWidth="1"/>
    <col min="1610" max="1610" width="17.140625" customWidth="1"/>
    <col min="1611" max="1611" width="19.28515625" customWidth="1"/>
    <col min="1612" max="1612" width="10.7109375" customWidth="1"/>
    <col min="1613" max="1614" width="18.5703125" customWidth="1"/>
    <col min="1615" max="1615" width="13.140625" customWidth="1"/>
    <col min="1616" max="1616" width="17.5703125" customWidth="1"/>
    <col min="1617" max="1617" width="10.7109375" customWidth="1"/>
    <col min="1839" max="1839" width="7.7109375" customWidth="1"/>
    <col min="1840" max="1840" width="10.7109375" customWidth="1"/>
    <col min="1841" max="1841" width="12.85546875" customWidth="1"/>
    <col min="1842" max="1842" width="10.7109375" customWidth="1"/>
    <col min="1843" max="1843" width="13.140625" customWidth="1"/>
    <col min="1844" max="1844" width="10.5703125" customWidth="1"/>
    <col min="1845" max="1845" width="10.7109375" customWidth="1"/>
    <col min="1846" max="1846" width="28.42578125" customWidth="1"/>
    <col min="1847" max="1847" width="5.7109375" customWidth="1"/>
    <col min="1848" max="1848" width="18.42578125" customWidth="1"/>
    <col min="1849" max="1849" width="14" customWidth="1"/>
    <col min="1850" max="1850" width="11.42578125" customWidth="1"/>
    <col min="1851" max="1851" width="10.7109375" customWidth="1"/>
    <col min="1852" max="1852" width="14.85546875" customWidth="1"/>
    <col min="1853" max="1853" width="7.5703125" customWidth="1"/>
    <col min="1854" max="1854" width="12" customWidth="1"/>
    <col min="1855" max="1855" width="10.7109375" customWidth="1"/>
    <col min="1856" max="1856" width="12.7109375" customWidth="1"/>
    <col min="1857" max="1857" width="11.28515625" customWidth="1"/>
    <col min="1858" max="1861" width="10.7109375" customWidth="1"/>
    <col min="1862" max="1862" width="13.140625" customWidth="1"/>
    <col min="1863" max="1863" width="13.85546875" customWidth="1"/>
    <col min="1864" max="1864" width="13.42578125" customWidth="1"/>
    <col min="1865" max="1865" width="12.7109375" customWidth="1"/>
    <col min="1866" max="1866" width="17.140625" customWidth="1"/>
    <col min="1867" max="1867" width="19.28515625" customWidth="1"/>
    <col min="1868" max="1868" width="10.7109375" customWidth="1"/>
    <col min="1869" max="1870" width="18.5703125" customWidth="1"/>
    <col min="1871" max="1871" width="13.140625" customWidth="1"/>
    <col min="1872" max="1872" width="17.5703125" customWidth="1"/>
    <col min="1873" max="1873" width="10.7109375" customWidth="1"/>
    <col min="2095" max="2095" width="7.7109375" customWidth="1"/>
    <col min="2096" max="2096" width="10.7109375" customWidth="1"/>
    <col min="2097" max="2097" width="12.85546875" customWidth="1"/>
    <col min="2098" max="2098" width="10.7109375" customWidth="1"/>
    <col min="2099" max="2099" width="13.140625" customWidth="1"/>
    <col min="2100" max="2100" width="10.5703125" customWidth="1"/>
    <col min="2101" max="2101" width="10.7109375" customWidth="1"/>
    <col min="2102" max="2102" width="28.42578125" customWidth="1"/>
    <col min="2103" max="2103" width="5.7109375" customWidth="1"/>
    <col min="2104" max="2104" width="18.42578125" customWidth="1"/>
    <col min="2105" max="2105" width="14" customWidth="1"/>
    <col min="2106" max="2106" width="11.42578125" customWidth="1"/>
    <col min="2107" max="2107" width="10.7109375" customWidth="1"/>
    <col min="2108" max="2108" width="14.85546875" customWidth="1"/>
    <col min="2109" max="2109" width="7.5703125" customWidth="1"/>
    <col min="2110" max="2110" width="12" customWidth="1"/>
    <col min="2111" max="2111" width="10.7109375" customWidth="1"/>
    <col min="2112" max="2112" width="12.7109375" customWidth="1"/>
    <col min="2113" max="2113" width="11.28515625" customWidth="1"/>
    <col min="2114" max="2117" width="10.7109375" customWidth="1"/>
    <col min="2118" max="2118" width="13.140625" customWidth="1"/>
    <col min="2119" max="2119" width="13.85546875" customWidth="1"/>
    <col min="2120" max="2120" width="13.42578125" customWidth="1"/>
    <col min="2121" max="2121" width="12.7109375" customWidth="1"/>
    <col min="2122" max="2122" width="17.140625" customWidth="1"/>
    <col min="2123" max="2123" width="19.28515625" customWidth="1"/>
    <col min="2124" max="2124" width="10.7109375" customWidth="1"/>
    <col min="2125" max="2126" width="18.5703125" customWidth="1"/>
    <col min="2127" max="2127" width="13.140625" customWidth="1"/>
    <col min="2128" max="2128" width="17.5703125" customWidth="1"/>
    <col min="2129" max="2129" width="10.7109375" customWidth="1"/>
    <col min="2351" max="2351" width="7.7109375" customWidth="1"/>
    <col min="2352" max="2352" width="10.7109375" customWidth="1"/>
    <col min="2353" max="2353" width="12.85546875" customWidth="1"/>
    <col min="2354" max="2354" width="10.7109375" customWidth="1"/>
    <col min="2355" max="2355" width="13.140625" customWidth="1"/>
    <col min="2356" max="2356" width="10.5703125" customWidth="1"/>
    <col min="2357" max="2357" width="10.7109375" customWidth="1"/>
    <col min="2358" max="2358" width="28.42578125" customWidth="1"/>
    <col min="2359" max="2359" width="5.7109375" customWidth="1"/>
    <col min="2360" max="2360" width="18.42578125" customWidth="1"/>
    <col min="2361" max="2361" width="14" customWidth="1"/>
    <col min="2362" max="2362" width="11.42578125" customWidth="1"/>
    <col min="2363" max="2363" width="10.7109375" customWidth="1"/>
    <col min="2364" max="2364" width="14.85546875" customWidth="1"/>
    <col min="2365" max="2365" width="7.5703125" customWidth="1"/>
    <col min="2366" max="2366" width="12" customWidth="1"/>
    <col min="2367" max="2367" width="10.7109375" customWidth="1"/>
    <col min="2368" max="2368" width="12.7109375" customWidth="1"/>
    <col min="2369" max="2369" width="11.28515625" customWidth="1"/>
    <col min="2370" max="2373" width="10.7109375" customWidth="1"/>
    <col min="2374" max="2374" width="13.140625" customWidth="1"/>
    <col min="2375" max="2375" width="13.85546875" customWidth="1"/>
    <col min="2376" max="2376" width="13.42578125" customWidth="1"/>
    <col min="2377" max="2377" width="12.7109375" customWidth="1"/>
    <col min="2378" max="2378" width="17.140625" customWidth="1"/>
    <col min="2379" max="2379" width="19.28515625" customWidth="1"/>
    <col min="2380" max="2380" width="10.7109375" customWidth="1"/>
    <col min="2381" max="2382" width="18.5703125" customWidth="1"/>
    <col min="2383" max="2383" width="13.140625" customWidth="1"/>
    <col min="2384" max="2384" width="17.5703125" customWidth="1"/>
    <col min="2385" max="2385" width="10.7109375" customWidth="1"/>
    <col min="2607" max="2607" width="7.7109375" customWidth="1"/>
    <col min="2608" max="2608" width="10.7109375" customWidth="1"/>
    <col min="2609" max="2609" width="12.85546875" customWidth="1"/>
    <col min="2610" max="2610" width="10.7109375" customWidth="1"/>
    <col min="2611" max="2611" width="13.140625" customWidth="1"/>
    <col min="2612" max="2612" width="10.5703125" customWidth="1"/>
    <col min="2613" max="2613" width="10.7109375" customWidth="1"/>
    <col min="2614" max="2614" width="28.42578125" customWidth="1"/>
    <col min="2615" max="2615" width="5.7109375" customWidth="1"/>
    <col min="2616" max="2616" width="18.42578125" customWidth="1"/>
    <col min="2617" max="2617" width="14" customWidth="1"/>
    <col min="2618" max="2618" width="11.42578125" customWidth="1"/>
    <col min="2619" max="2619" width="10.7109375" customWidth="1"/>
    <col min="2620" max="2620" width="14.85546875" customWidth="1"/>
    <col min="2621" max="2621" width="7.5703125" customWidth="1"/>
    <col min="2622" max="2622" width="12" customWidth="1"/>
    <col min="2623" max="2623" width="10.7109375" customWidth="1"/>
    <col min="2624" max="2624" width="12.7109375" customWidth="1"/>
    <col min="2625" max="2625" width="11.28515625" customWidth="1"/>
    <col min="2626" max="2629" width="10.7109375" customWidth="1"/>
    <col min="2630" max="2630" width="13.140625" customWidth="1"/>
    <col min="2631" max="2631" width="13.85546875" customWidth="1"/>
    <col min="2632" max="2632" width="13.42578125" customWidth="1"/>
    <col min="2633" max="2633" width="12.7109375" customWidth="1"/>
    <col min="2634" max="2634" width="17.140625" customWidth="1"/>
    <col min="2635" max="2635" width="19.28515625" customWidth="1"/>
    <col min="2636" max="2636" width="10.7109375" customWidth="1"/>
    <col min="2637" max="2638" width="18.5703125" customWidth="1"/>
    <col min="2639" max="2639" width="13.140625" customWidth="1"/>
    <col min="2640" max="2640" width="17.5703125" customWidth="1"/>
    <col min="2641" max="2641" width="10.7109375" customWidth="1"/>
    <col min="2863" max="2863" width="7.7109375" customWidth="1"/>
    <col min="2864" max="2864" width="10.7109375" customWidth="1"/>
    <col min="2865" max="2865" width="12.85546875" customWidth="1"/>
    <col min="2866" max="2866" width="10.7109375" customWidth="1"/>
    <col min="2867" max="2867" width="13.140625" customWidth="1"/>
    <col min="2868" max="2868" width="10.5703125" customWidth="1"/>
    <col min="2869" max="2869" width="10.7109375" customWidth="1"/>
    <col min="2870" max="2870" width="28.42578125" customWidth="1"/>
    <col min="2871" max="2871" width="5.7109375" customWidth="1"/>
    <col min="2872" max="2872" width="18.42578125" customWidth="1"/>
    <col min="2873" max="2873" width="14" customWidth="1"/>
    <col min="2874" max="2874" width="11.42578125" customWidth="1"/>
    <col min="2875" max="2875" width="10.7109375" customWidth="1"/>
    <col min="2876" max="2876" width="14.85546875" customWidth="1"/>
    <col min="2877" max="2877" width="7.5703125" customWidth="1"/>
    <col min="2878" max="2878" width="12" customWidth="1"/>
    <col min="2879" max="2879" width="10.7109375" customWidth="1"/>
    <col min="2880" max="2880" width="12.7109375" customWidth="1"/>
    <col min="2881" max="2881" width="11.28515625" customWidth="1"/>
    <col min="2882" max="2885" width="10.7109375" customWidth="1"/>
    <col min="2886" max="2886" width="13.140625" customWidth="1"/>
    <col min="2887" max="2887" width="13.85546875" customWidth="1"/>
    <col min="2888" max="2888" width="13.42578125" customWidth="1"/>
    <col min="2889" max="2889" width="12.7109375" customWidth="1"/>
    <col min="2890" max="2890" width="17.140625" customWidth="1"/>
    <col min="2891" max="2891" width="19.28515625" customWidth="1"/>
    <col min="2892" max="2892" width="10.7109375" customWidth="1"/>
    <col min="2893" max="2894" width="18.5703125" customWidth="1"/>
    <col min="2895" max="2895" width="13.140625" customWidth="1"/>
    <col min="2896" max="2896" width="17.5703125" customWidth="1"/>
    <col min="2897" max="2897" width="10.7109375" customWidth="1"/>
    <col min="3119" max="3119" width="7.7109375" customWidth="1"/>
    <col min="3120" max="3120" width="10.7109375" customWidth="1"/>
    <col min="3121" max="3121" width="12.85546875" customWidth="1"/>
    <col min="3122" max="3122" width="10.7109375" customWidth="1"/>
    <col min="3123" max="3123" width="13.140625" customWidth="1"/>
    <col min="3124" max="3124" width="10.5703125" customWidth="1"/>
    <col min="3125" max="3125" width="10.7109375" customWidth="1"/>
    <col min="3126" max="3126" width="28.42578125" customWidth="1"/>
    <col min="3127" max="3127" width="5.7109375" customWidth="1"/>
    <col min="3128" max="3128" width="18.42578125" customWidth="1"/>
    <col min="3129" max="3129" width="14" customWidth="1"/>
    <col min="3130" max="3130" width="11.42578125" customWidth="1"/>
    <col min="3131" max="3131" width="10.7109375" customWidth="1"/>
    <col min="3132" max="3132" width="14.85546875" customWidth="1"/>
    <col min="3133" max="3133" width="7.5703125" customWidth="1"/>
    <col min="3134" max="3134" width="12" customWidth="1"/>
    <col min="3135" max="3135" width="10.7109375" customWidth="1"/>
    <col min="3136" max="3136" width="12.7109375" customWidth="1"/>
    <col min="3137" max="3137" width="11.28515625" customWidth="1"/>
    <col min="3138" max="3141" width="10.7109375" customWidth="1"/>
    <col min="3142" max="3142" width="13.140625" customWidth="1"/>
    <col min="3143" max="3143" width="13.85546875" customWidth="1"/>
    <col min="3144" max="3144" width="13.42578125" customWidth="1"/>
    <col min="3145" max="3145" width="12.7109375" customWidth="1"/>
    <col min="3146" max="3146" width="17.140625" customWidth="1"/>
    <col min="3147" max="3147" width="19.28515625" customWidth="1"/>
    <col min="3148" max="3148" width="10.7109375" customWidth="1"/>
    <col min="3149" max="3150" width="18.5703125" customWidth="1"/>
    <col min="3151" max="3151" width="13.140625" customWidth="1"/>
    <col min="3152" max="3152" width="17.5703125" customWidth="1"/>
    <col min="3153" max="3153" width="10.7109375" customWidth="1"/>
    <col min="3375" max="3375" width="7.7109375" customWidth="1"/>
    <col min="3376" max="3376" width="10.7109375" customWidth="1"/>
    <col min="3377" max="3377" width="12.85546875" customWidth="1"/>
    <col min="3378" max="3378" width="10.7109375" customWidth="1"/>
    <col min="3379" max="3379" width="13.140625" customWidth="1"/>
    <col min="3380" max="3380" width="10.5703125" customWidth="1"/>
    <col min="3381" max="3381" width="10.7109375" customWidth="1"/>
    <col min="3382" max="3382" width="28.42578125" customWidth="1"/>
    <col min="3383" max="3383" width="5.7109375" customWidth="1"/>
    <col min="3384" max="3384" width="18.42578125" customWidth="1"/>
    <col min="3385" max="3385" width="14" customWidth="1"/>
    <col min="3386" max="3386" width="11.42578125" customWidth="1"/>
    <col min="3387" max="3387" width="10.7109375" customWidth="1"/>
    <col min="3388" max="3388" width="14.85546875" customWidth="1"/>
    <col min="3389" max="3389" width="7.5703125" customWidth="1"/>
    <col min="3390" max="3390" width="12" customWidth="1"/>
    <col min="3391" max="3391" width="10.7109375" customWidth="1"/>
    <col min="3392" max="3392" width="12.7109375" customWidth="1"/>
    <col min="3393" max="3393" width="11.28515625" customWidth="1"/>
    <col min="3394" max="3397" width="10.7109375" customWidth="1"/>
    <col min="3398" max="3398" width="13.140625" customWidth="1"/>
    <col min="3399" max="3399" width="13.85546875" customWidth="1"/>
    <col min="3400" max="3400" width="13.42578125" customWidth="1"/>
    <col min="3401" max="3401" width="12.7109375" customWidth="1"/>
    <col min="3402" max="3402" width="17.140625" customWidth="1"/>
    <col min="3403" max="3403" width="19.28515625" customWidth="1"/>
    <col min="3404" max="3404" width="10.7109375" customWidth="1"/>
    <col min="3405" max="3406" width="18.5703125" customWidth="1"/>
    <col min="3407" max="3407" width="13.140625" customWidth="1"/>
    <col min="3408" max="3408" width="17.5703125" customWidth="1"/>
    <col min="3409" max="3409" width="10.7109375" customWidth="1"/>
    <col min="3631" max="3631" width="7.7109375" customWidth="1"/>
    <col min="3632" max="3632" width="10.7109375" customWidth="1"/>
    <col min="3633" max="3633" width="12.85546875" customWidth="1"/>
    <col min="3634" max="3634" width="10.7109375" customWidth="1"/>
    <col min="3635" max="3635" width="13.140625" customWidth="1"/>
    <col min="3636" max="3636" width="10.5703125" customWidth="1"/>
    <col min="3637" max="3637" width="10.7109375" customWidth="1"/>
    <col min="3638" max="3638" width="28.42578125" customWidth="1"/>
    <col min="3639" max="3639" width="5.7109375" customWidth="1"/>
    <col min="3640" max="3640" width="18.42578125" customWidth="1"/>
    <col min="3641" max="3641" width="14" customWidth="1"/>
    <col min="3642" max="3642" width="11.42578125" customWidth="1"/>
    <col min="3643" max="3643" width="10.7109375" customWidth="1"/>
    <col min="3644" max="3644" width="14.85546875" customWidth="1"/>
    <col min="3645" max="3645" width="7.5703125" customWidth="1"/>
    <col min="3646" max="3646" width="12" customWidth="1"/>
    <col min="3647" max="3647" width="10.7109375" customWidth="1"/>
    <col min="3648" max="3648" width="12.7109375" customWidth="1"/>
    <col min="3649" max="3649" width="11.28515625" customWidth="1"/>
    <col min="3650" max="3653" width="10.7109375" customWidth="1"/>
    <col min="3654" max="3654" width="13.140625" customWidth="1"/>
    <col min="3655" max="3655" width="13.85546875" customWidth="1"/>
    <col min="3656" max="3656" width="13.42578125" customWidth="1"/>
    <col min="3657" max="3657" width="12.7109375" customWidth="1"/>
    <col min="3658" max="3658" width="17.140625" customWidth="1"/>
    <col min="3659" max="3659" width="19.28515625" customWidth="1"/>
    <col min="3660" max="3660" width="10.7109375" customWidth="1"/>
    <col min="3661" max="3662" width="18.5703125" customWidth="1"/>
    <col min="3663" max="3663" width="13.140625" customWidth="1"/>
    <col min="3664" max="3664" width="17.5703125" customWidth="1"/>
    <col min="3665" max="3665" width="10.7109375" customWidth="1"/>
    <col min="3887" max="3887" width="7.7109375" customWidth="1"/>
    <col min="3888" max="3888" width="10.7109375" customWidth="1"/>
    <col min="3889" max="3889" width="12.85546875" customWidth="1"/>
    <col min="3890" max="3890" width="10.7109375" customWidth="1"/>
    <col min="3891" max="3891" width="13.140625" customWidth="1"/>
    <col min="3892" max="3892" width="10.5703125" customWidth="1"/>
    <col min="3893" max="3893" width="10.7109375" customWidth="1"/>
    <col min="3894" max="3894" width="28.42578125" customWidth="1"/>
    <col min="3895" max="3895" width="5.7109375" customWidth="1"/>
    <col min="3896" max="3896" width="18.42578125" customWidth="1"/>
    <col min="3897" max="3897" width="14" customWidth="1"/>
    <col min="3898" max="3898" width="11.42578125" customWidth="1"/>
    <col min="3899" max="3899" width="10.7109375" customWidth="1"/>
    <col min="3900" max="3900" width="14.85546875" customWidth="1"/>
    <col min="3901" max="3901" width="7.5703125" customWidth="1"/>
    <col min="3902" max="3902" width="12" customWidth="1"/>
    <col min="3903" max="3903" width="10.7109375" customWidth="1"/>
    <col min="3904" max="3904" width="12.7109375" customWidth="1"/>
    <col min="3905" max="3905" width="11.28515625" customWidth="1"/>
    <col min="3906" max="3909" width="10.7109375" customWidth="1"/>
    <col min="3910" max="3910" width="13.140625" customWidth="1"/>
    <col min="3911" max="3911" width="13.85546875" customWidth="1"/>
    <col min="3912" max="3912" width="13.42578125" customWidth="1"/>
    <col min="3913" max="3913" width="12.7109375" customWidth="1"/>
    <col min="3914" max="3914" width="17.140625" customWidth="1"/>
    <col min="3915" max="3915" width="19.28515625" customWidth="1"/>
    <col min="3916" max="3916" width="10.7109375" customWidth="1"/>
    <col min="3917" max="3918" width="18.5703125" customWidth="1"/>
    <col min="3919" max="3919" width="13.140625" customWidth="1"/>
    <col min="3920" max="3920" width="17.5703125" customWidth="1"/>
    <col min="3921" max="3921" width="10.7109375" customWidth="1"/>
    <col min="4143" max="4143" width="7.7109375" customWidth="1"/>
    <col min="4144" max="4144" width="10.7109375" customWidth="1"/>
    <col min="4145" max="4145" width="12.85546875" customWidth="1"/>
    <col min="4146" max="4146" width="10.7109375" customWidth="1"/>
    <col min="4147" max="4147" width="13.140625" customWidth="1"/>
    <col min="4148" max="4148" width="10.5703125" customWidth="1"/>
    <col min="4149" max="4149" width="10.7109375" customWidth="1"/>
    <col min="4150" max="4150" width="28.42578125" customWidth="1"/>
    <col min="4151" max="4151" width="5.7109375" customWidth="1"/>
    <col min="4152" max="4152" width="18.42578125" customWidth="1"/>
    <col min="4153" max="4153" width="14" customWidth="1"/>
    <col min="4154" max="4154" width="11.42578125" customWidth="1"/>
    <col min="4155" max="4155" width="10.7109375" customWidth="1"/>
    <col min="4156" max="4156" width="14.85546875" customWidth="1"/>
    <col min="4157" max="4157" width="7.5703125" customWidth="1"/>
    <col min="4158" max="4158" width="12" customWidth="1"/>
    <col min="4159" max="4159" width="10.7109375" customWidth="1"/>
    <col min="4160" max="4160" width="12.7109375" customWidth="1"/>
    <col min="4161" max="4161" width="11.28515625" customWidth="1"/>
    <col min="4162" max="4165" width="10.7109375" customWidth="1"/>
    <col min="4166" max="4166" width="13.140625" customWidth="1"/>
    <col min="4167" max="4167" width="13.85546875" customWidth="1"/>
    <col min="4168" max="4168" width="13.42578125" customWidth="1"/>
    <col min="4169" max="4169" width="12.7109375" customWidth="1"/>
    <col min="4170" max="4170" width="17.140625" customWidth="1"/>
    <col min="4171" max="4171" width="19.28515625" customWidth="1"/>
    <col min="4172" max="4172" width="10.7109375" customWidth="1"/>
    <col min="4173" max="4174" width="18.5703125" customWidth="1"/>
    <col min="4175" max="4175" width="13.140625" customWidth="1"/>
    <col min="4176" max="4176" width="17.5703125" customWidth="1"/>
    <col min="4177" max="4177" width="10.7109375" customWidth="1"/>
    <col min="4399" max="4399" width="7.7109375" customWidth="1"/>
    <col min="4400" max="4400" width="10.7109375" customWidth="1"/>
    <col min="4401" max="4401" width="12.85546875" customWidth="1"/>
    <col min="4402" max="4402" width="10.7109375" customWidth="1"/>
    <col min="4403" max="4403" width="13.140625" customWidth="1"/>
    <col min="4404" max="4404" width="10.5703125" customWidth="1"/>
    <col min="4405" max="4405" width="10.7109375" customWidth="1"/>
    <col min="4406" max="4406" width="28.42578125" customWidth="1"/>
    <col min="4407" max="4407" width="5.7109375" customWidth="1"/>
    <col min="4408" max="4408" width="18.42578125" customWidth="1"/>
    <col min="4409" max="4409" width="14" customWidth="1"/>
    <col min="4410" max="4410" width="11.42578125" customWidth="1"/>
    <col min="4411" max="4411" width="10.7109375" customWidth="1"/>
    <col min="4412" max="4412" width="14.85546875" customWidth="1"/>
    <col min="4413" max="4413" width="7.5703125" customWidth="1"/>
    <col min="4414" max="4414" width="12" customWidth="1"/>
    <col min="4415" max="4415" width="10.7109375" customWidth="1"/>
    <col min="4416" max="4416" width="12.7109375" customWidth="1"/>
    <col min="4417" max="4417" width="11.28515625" customWidth="1"/>
    <col min="4418" max="4421" width="10.7109375" customWidth="1"/>
    <col min="4422" max="4422" width="13.140625" customWidth="1"/>
    <col min="4423" max="4423" width="13.85546875" customWidth="1"/>
    <col min="4424" max="4424" width="13.42578125" customWidth="1"/>
    <col min="4425" max="4425" width="12.7109375" customWidth="1"/>
    <col min="4426" max="4426" width="17.140625" customWidth="1"/>
    <col min="4427" max="4427" width="19.28515625" customWidth="1"/>
    <col min="4428" max="4428" width="10.7109375" customWidth="1"/>
    <col min="4429" max="4430" width="18.5703125" customWidth="1"/>
    <col min="4431" max="4431" width="13.140625" customWidth="1"/>
    <col min="4432" max="4432" width="17.5703125" customWidth="1"/>
    <col min="4433" max="4433" width="10.7109375" customWidth="1"/>
    <col min="4655" max="4655" width="7.7109375" customWidth="1"/>
    <col min="4656" max="4656" width="10.7109375" customWidth="1"/>
    <col min="4657" max="4657" width="12.85546875" customWidth="1"/>
    <col min="4658" max="4658" width="10.7109375" customWidth="1"/>
    <col min="4659" max="4659" width="13.140625" customWidth="1"/>
    <col min="4660" max="4660" width="10.5703125" customWidth="1"/>
    <col min="4661" max="4661" width="10.7109375" customWidth="1"/>
    <col min="4662" max="4662" width="28.42578125" customWidth="1"/>
    <col min="4663" max="4663" width="5.7109375" customWidth="1"/>
    <col min="4664" max="4664" width="18.42578125" customWidth="1"/>
    <col min="4665" max="4665" width="14" customWidth="1"/>
    <col min="4666" max="4666" width="11.42578125" customWidth="1"/>
    <col min="4667" max="4667" width="10.7109375" customWidth="1"/>
    <col min="4668" max="4668" width="14.85546875" customWidth="1"/>
    <col min="4669" max="4669" width="7.5703125" customWidth="1"/>
    <col min="4670" max="4670" width="12" customWidth="1"/>
    <col min="4671" max="4671" width="10.7109375" customWidth="1"/>
    <col min="4672" max="4672" width="12.7109375" customWidth="1"/>
    <col min="4673" max="4673" width="11.28515625" customWidth="1"/>
    <col min="4674" max="4677" width="10.7109375" customWidth="1"/>
    <col min="4678" max="4678" width="13.140625" customWidth="1"/>
    <col min="4679" max="4679" width="13.85546875" customWidth="1"/>
    <col min="4680" max="4680" width="13.42578125" customWidth="1"/>
    <col min="4681" max="4681" width="12.7109375" customWidth="1"/>
    <col min="4682" max="4682" width="17.140625" customWidth="1"/>
    <col min="4683" max="4683" width="19.28515625" customWidth="1"/>
    <col min="4684" max="4684" width="10.7109375" customWidth="1"/>
    <col min="4685" max="4686" width="18.5703125" customWidth="1"/>
    <col min="4687" max="4687" width="13.140625" customWidth="1"/>
    <col min="4688" max="4688" width="17.5703125" customWidth="1"/>
    <col min="4689" max="4689" width="10.7109375" customWidth="1"/>
    <col min="4911" max="4911" width="7.7109375" customWidth="1"/>
    <col min="4912" max="4912" width="10.7109375" customWidth="1"/>
    <col min="4913" max="4913" width="12.85546875" customWidth="1"/>
    <col min="4914" max="4914" width="10.7109375" customWidth="1"/>
    <col min="4915" max="4915" width="13.140625" customWidth="1"/>
    <col min="4916" max="4916" width="10.5703125" customWidth="1"/>
    <col min="4917" max="4917" width="10.7109375" customWidth="1"/>
    <col min="4918" max="4918" width="28.42578125" customWidth="1"/>
    <col min="4919" max="4919" width="5.7109375" customWidth="1"/>
    <col min="4920" max="4920" width="18.42578125" customWidth="1"/>
    <col min="4921" max="4921" width="14" customWidth="1"/>
    <col min="4922" max="4922" width="11.42578125" customWidth="1"/>
    <col min="4923" max="4923" width="10.7109375" customWidth="1"/>
    <col min="4924" max="4924" width="14.85546875" customWidth="1"/>
    <col min="4925" max="4925" width="7.5703125" customWidth="1"/>
    <col min="4926" max="4926" width="12" customWidth="1"/>
    <col min="4927" max="4927" width="10.7109375" customWidth="1"/>
    <col min="4928" max="4928" width="12.7109375" customWidth="1"/>
    <col min="4929" max="4929" width="11.28515625" customWidth="1"/>
    <col min="4930" max="4933" width="10.7109375" customWidth="1"/>
    <col min="4934" max="4934" width="13.140625" customWidth="1"/>
    <col min="4935" max="4935" width="13.85546875" customWidth="1"/>
    <col min="4936" max="4936" width="13.42578125" customWidth="1"/>
    <col min="4937" max="4937" width="12.7109375" customWidth="1"/>
    <col min="4938" max="4938" width="17.140625" customWidth="1"/>
    <col min="4939" max="4939" width="19.28515625" customWidth="1"/>
    <col min="4940" max="4940" width="10.7109375" customWidth="1"/>
    <col min="4941" max="4942" width="18.5703125" customWidth="1"/>
    <col min="4943" max="4943" width="13.140625" customWidth="1"/>
    <col min="4944" max="4944" width="17.5703125" customWidth="1"/>
    <col min="4945" max="4945" width="10.7109375" customWidth="1"/>
    <col min="5167" max="5167" width="7.7109375" customWidth="1"/>
    <col min="5168" max="5168" width="10.7109375" customWidth="1"/>
    <col min="5169" max="5169" width="12.85546875" customWidth="1"/>
    <col min="5170" max="5170" width="10.7109375" customWidth="1"/>
    <col min="5171" max="5171" width="13.140625" customWidth="1"/>
    <col min="5172" max="5172" width="10.5703125" customWidth="1"/>
    <col min="5173" max="5173" width="10.7109375" customWidth="1"/>
    <col min="5174" max="5174" width="28.42578125" customWidth="1"/>
    <col min="5175" max="5175" width="5.7109375" customWidth="1"/>
    <col min="5176" max="5176" width="18.42578125" customWidth="1"/>
    <col min="5177" max="5177" width="14" customWidth="1"/>
    <col min="5178" max="5178" width="11.42578125" customWidth="1"/>
    <col min="5179" max="5179" width="10.7109375" customWidth="1"/>
    <col min="5180" max="5180" width="14.85546875" customWidth="1"/>
    <col min="5181" max="5181" width="7.5703125" customWidth="1"/>
    <col min="5182" max="5182" width="12" customWidth="1"/>
    <col min="5183" max="5183" width="10.7109375" customWidth="1"/>
    <col min="5184" max="5184" width="12.7109375" customWidth="1"/>
    <col min="5185" max="5185" width="11.28515625" customWidth="1"/>
    <col min="5186" max="5189" width="10.7109375" customWidth="1"/>
    <col min="5190" max="5190" width="13.140625" customWidth="1"/>
    <col min="5191" max="5191" width="13.85546875" customWidth="1"/>
    <col min="5192" max="5192" width="13.42578125" customWidth="1"/>
    <col min="5193" max="5193" width="12.7109375" customWidth="1"/>
    <col min="5194" max="5194" width="17.140625" customWidth="1"/>
    <col min="5195" max="5195" width="19.28515625" customWidth="1"/>
    <col min="5196" max="5196" width="10.7109375" customWidth="1"/>
    <col min="5197" max="5198" width="18.5703125" customWidth="1"/>
    <col min="5199" max="5199" width="13.140625" customWidth="1"/>
    <col min="5200" max="5200" width="17.5703125" customWidth="1"/>
    <col min="5201" max="5201" width="10.7109375" customWidth="1"/>
    <col min="5423" max="5423" width="7.7109375" customWidth="1"/>
    <col min="5424" max="5424" width="10.7109375" customWidth="1"/>
    <col min="5425" max="5425" width="12.85546875" customWidth="1"/>
    <col min="5426" max="5426" width="10.7109375" customWidth="1"/>
    <col min="5427" max="5427" width="13.140625" customWidth="1"/>
    <col min="5428" max="5428" width="10.5703125" customWidth="1"/>
    <col min="5429" max="5429" width="10.7109375" customWidth="1"/>
    <col min="5430" max="5430" width="28.42578125" customWidth="1"/>
    <col min="5431" max="5431" width="5.7109375" customWidth="1"/>
    <col min="5432" max="5432" width="18.42578125" customWidth="1"/>
    <col min="5433" max="5433" width="14" customWidth="1"/>
    <col min="5434" max="5434" width="11.42578125" customWidth="1"/>
    <col min="5435" max="5435" width="10.7109375" customWidth="1"/>
    <col min="5436" max="5436" width="14.85546875" customWidth="1"/>
    <col min="5437" max="5437" width="7.5703125" customWidth="1"/>
    <col min="5438" max="5438" width="12" customWidth="1"/>
    <col min="5439" max="5439" width="10.7109375" customWidth="1"/>
    <col min="5440" max="5440" width="12.7109375" customWidth="1"/>
    <col min="5441" max="5441" width="11.28515625" customWidth="1"/>
    <col min="5442" max="5445" width="10.7109375" customWidth="1"/>
    <col min="5446" max="5446" width="13.140625" customWidth="1"/>
    <col min="5447" max="5447" width="13.85546875" customWidth="1"/>
    <col min="5448" max="5448" width="13.42578125" customWidth="1"/>
    <col min="5449" max="5449" width="12.7109375" customWidth="1"/>
    <col min="5450" max="5450" width="17.140625" customWidth="1"/>
    <col min="5451" max="5451" width="19.28515625" customWidth="1"/>
    <col min="5452" max="5452" width="10.7109375" customWidth="1"/>
    <col min="5453" max="5454" width="18.5703125" customWidth="1"/>
    <col min="5455" max="5455" width="13.140625" customWidth="1"/>
    <col min="5456" max="5456" width="17.5703125" customWidth="1"/>
    <col min="5457" max="5457" width="10.7109375" customWidth="1"/>
    <col min="5679" max="5679" width="7.7109375" customWidth="1"/>
    <col min="5680" max="5680" width="10.7109375" customWidth="1"/>
    <col min="5681" max="5681" width="12.85546875" customWidth="1"/>
    <col min="5682" max="5682" width="10.7109375" customWidth="1"/>
    <col min="5683" max="5683" width="13.140625" customWidth="1"/>
    <col min="5684" max="5684" width="10.5703125" customWidth="1"/>
    <col min="5685" max="5685" width="10.7109375" customWidth="1"/>
    <col min="5686" max="5686" width="28.42578125" customWidth="1"/>
    <col min="5687" max="5687" width="5.7109375" customWidth="1"/>
    <col min="5688" max="5688" width="18.42578125" customWidth="1"/>
    <col min="5689" max="5689" width="14" customWidth="1"/>
    <col min="5690" max="5690" width="11.42578125" customWidth="1"/>
    <col min="5691" max="5691" width="10.7109375" customWidth="1"/>
    <col min="5692" max="5692" width="14.85546875" customWidth="1"/>
    <col min="5693" max="5693" width="7.5703125" customWidth="1"/>
    <col min="5694" max="5694" width="12" customWidth="1"/>
    <col min="5695" max="5695" width="10.7109375" customWidth="1"/>
    <col min="5696" max="5696" width="12.7109375" customWidth="1"/>
    <col min="5697" max="5697" width="11.28515625" customWidth="1"/>
    <col min="5698" max="5701" width="10.7109375" customWidth="1"/>
    <col min="5702" max="5702" width="13.140625" customWidth="1"/>
    <col min="5703" max="5703" width="13.85546875" customWidth="1"/>
    <col min="5704" max="5704" width="13.42578125" customWidth="1"/>
    <col min="5705" max="5705" width="12.7109375" customWidth="1"/>
    <col min="5706" max="5706" width="17.140625" customWidth="1"/>
    <col min="5707" max="5707" width="19.28515625" customWidth="1"/>
    <col min="5708" max="5708" width="10.7109375" customWidth="1"/>
    <col min="5709" max="5710" width="18.5703125" customWidth="1"/>
    <col min="5711" max="5711" width="13.140625" customWidth="1"/>
    <col min="5712" max="5712" width="17.5703125" customWidth="1"/>
    <col min="5713" max="5713" width="10.7109375" customWidth="1"/>
    <col min="5935" max="5935" width="7.7109375" customWidth="1"/>
    <col min="5936" max="5936" width="10.7109375" customWidth="1"/>
    <col min="5937" max="5937" width="12.85546875" customWidth="1"/>
    <col min="5938" max="5938" width="10.7109375" customWidth="1"/>
    <col min="5939" max="5939" width="13.140625" customWidth="1"/>
    <col min="5940" max="5940" width="10.5703125" customWidth="1"/>
    <col min="5941" max="5941" width="10.7109375" customWidth="1"/>
    <col min="5942" max="5942" width="28.42578125" customWidth="1"/>
    <col min="5943" max="5943" width="5.7109375" customWidth="1"/>
    <col min="5944" max="5944" width="18.42578125" customWidth="1"/>
    <col min="5945" max="5945" width="14" customWidth="1"/>
    <col min="5946" max="5946" width="11.42578125" customWidth="1"/>
    <col min="5947" max="5947" width="10.7109375" customWidth="1"/>
    <col min="5948" max="5948" width="14.85546875" customWidth="1"/>
    <col min="5949" max="5949" width="7.5703125" customWidth="1"/>
    <col min="5950" max="5950" width="12" customWidth="1"/>
    <col min="5951" max="5951" width="10.7109375" customWidth="1"/>
    <col min="5952" max="5952" width="12.7109375" customWidth="1"/>
    <col min="5953" max="5953" width="11.28515625" customWidth="1"/>
    <col min="5954" max="5957" width="10.7109375" customWidth="1"/>
    <col min="5958" max="5958" width="13.140625" customWidth="1"/>
    <col min="5959" max="5959" width="13.85546875" customWidth="1"/>
    <col min="5960" max="5960" width="13.42578125" customWidth="1"/>
    <col min="5961" max="5961" width="12.7109375" customWidth="1"/>
    <col min="5962" max="5962" width="17.140625" customWidth="1"/>
    <col min="5963" max="5963" width="19.28515625" customWidth="1"/>
    <col min="5964" max="5964" width="10.7109375" customWidth="1"/>
    <col min="5965" max="5966" width="18.5703125" customWidth="1"/>
    <col min="5967" max="5967" width="13.140625" customWidth="1"/>
    <col min="5968" max="5968" width="17.5703125" customWidth="1"/>
    <col min="5969" max="5969" width="10.7109375" customWidth="1"/>
    <col min="6191" max="6191" width="7.7109375" customWidth="1"/>
    <col min="6192" max="6192" width="10.7109375" customWidth="1"/>
    <col min="6193" max="6193" width="12.85546875" customWidth="1"/>
    <col min="6194" max="6194" width="10.7109375" customWidth="1"/>
    <col min="6195" max="6195" width="13.140625" customWidth="1"/>
    <col min="6196" max="6196" width="10.5703125" customWidth="1"/>
    <col min="6197" max="6197" width="10.7109375" customWidth="1"/>
    <col min="6198" max="6198" width="28.42578125" customWidth="1"/>
    <col min="6199" max="6199" width="5.7109375" customWidth="1"/>
    <col min="6200" max="6200" width="18.42578125" customWidth="1"/>
    <col min="6201" max="6201" width="14" customWidth="1"/>
    <col min="6202" max="6202" width="11.42578125" customWidth="1"/>
    <col min="6203" max="6203" width="10.7109375" customWidth="1"/>
    <col min="6204" max="6204" width="14.85546875" customWidth="1"/>
    <col min="6205" max="6205" width="7.5703125" customWidth="1"/>
    <col min="6206" max="6206" width="12" customWidth="1"/>
    <col min="6207" max="6207" width="10.7109375" customWidth="1"/>
    <col min="6208" max="6208" width="12.7109375" customWidth="1"/>
    <col min="6209" max="6209" width="11.28515625" customWidth="1"/>
    <col min="6210" max="6213" width="10.7109375" customWidth="1"/>
    <col min="6214" max="6214" width="13.140625" customWidth="1"/>
    <col min="6215" max="6215" width="13.85546875" customWidth="1"/>
    <col min="6216" max="6216" width="13.42578125" customWidth="1"/>
    <col min="6217" max="6217" width="12.7109375" customWidth="1"/>
    <col min="6218" max="6218" width="17.140625" customWidth="1"/>
    <col min="6219" max="6219" width="19.28515625" customWidth="1"/>
    <col min="6220" max="6220" width="10.7109375" customWidth="1"/>
    <col min="6221" max="6222" width="18.5703125" customWidth="1"/>
    <col min="6223" max="6223" width="13.140625" customWidth="1"/>
    <col min="6224" max="6224" width="17.5703125" customWidth="1"/>
    <col min="6225" max="6225" width="10.7109375" customWidth="1"/>
    <col min="6447" max="6447" width="7.7109375" customWidth="1"/>
    <col min="6448" max="6448" width="10.7109375" customWidth="1"/>
    <col min="6449" max="6449" width="12.85546875" customWidth="1"/>
    <col min="6450" max="6450" width="10.7109375" customWidth="1"/>
    <col min="6451" max="6451" width="13.140625" customWidth="1"/>
    <col min="6452" max="6452" width="10.5703125" customWidth="1"/>
    <col min="6453" max="6453" width="10.7109375" customWidth="1"/>
    <col min="6454" max="6454" width="28.42578125" customWidth="1"/>
    <col min="6455" max="6455" width="5.7109375" customWidth="1"/>
    <col min="6456" max="6456" width="18.42578125" customWidth="1"/>
    <col min="6457" max="6457" width="14" customWidth="1"/>
    <col min="6458" max="6458" width="11.42578125" customWidth="1"/>
    <col min="6459" max="6459" width="10.7109375" customWidth="1"/>
    <col min="6460" max="6460" width="14.85546875" customWidth="1"/>
    <col min="6461" max="6461" width="7.5703125" customWidth="1"/>
    <col min="6462" max="6462" width="12" customWidth="1"/>
    <col min="6463" max="6463" width="10.7109375" customWidth="1"/>
    <col min="6464" max="6464" width="12.7109375" customWidth="1"/>
    <col min="6465" max="6465" width="11.28515625" customWidth="1"/>
    <col min="6466" max="6469" width="10.7109375" customWidth="1"/>
    <col min="6470" max="6470" width="13.140625" customWidth="1"/>
    <col min="6471" max="6471" width="13.85546875" customWidth="1"/>
    <col min="6472" max="6472" width="13.42578125" customWidth="1"/>
    <col min="6473" max="6473" width="12.7109375" customWidth="1"/>
    <col min="6474" max="6474" width="17.140625" customWidth="1"/>
    <col min="6475" max="6475" width="19.28515625" customWidth="1"/>
    <col min="6476" max="6476" width="10.7109375" customWidth="1"/>
    <col min="6477" max="6478" width="18.5703125" customWidth="1"/>
    <col min="6479" max="6479" width="13.140625" customWidth="1"/>
    <col min="6480" max="6480" width="17.5703125" customWidth="1"/>
    <col min="6481" max="6481" width="10.7109375" customWidth="1"/>
    <col min="6703" max="6703" width="7.7109375" customWidth="1"/>
    <col min="6704" max="6704" width="10.7109375" customWidth="1"/>
    <col min="6705" max="6705" width="12.85546875" customWidth="1"/>
    <col min="6706" max="6706" width="10.7109375" customWidth="1"/>
    <col min="6707" max="6707" width="13.140625" customWidth="1"/>
    <col min="6708" max="6708" width="10.5703125" customWidth="1"/>
    <col min="6709" max="6709" width="10.7109375" customWidth="1"/>
    <col min="6710" max="6710" width="28.42578125" customWidth="1"/>
    <col min="6711" max="6711" width="5.7109375" customWidth="1"/>
    <col min="6712" max="6712" width="18.42578125" customWidth="1"/>
    <col min="6713" max="6713" width="14" customWidth="1"/>
    <col min="6714" max="6714" width="11.42578125" customWidth="1"/>
    <col min="6715" max="6715" width="10.7109375" customWidth="1"/>
    <col min="6716" max="6716" width="14.85546875" customWidth="1"/>
    <col min="6717" max="6717" width="7.5703125" customWidth="1"/>
    <col min="6718" max="6718" width="12" customWidth="1"/>
    <col min="6719" max="6719" width="10.7109375" customWidth="1"/>
    <col min="6720" max="6720" width="12.7109375" customWidth="1"/>
    <col min="6721" max="6721" width="11.28515625" customWidth="1"/>
    <col min="6722" max="6725" width="10.7109375" customWidth="1"/>
    <col min="6726" max="6726" width="13.140625" customWidth="1"/>
    <col min="6727" max="6727" width="13.85546875" customWidth="1"/>
    <col min="6728" max="6728" width="13.42578125" customWidth="1"/>
    <col min="6729" max="6729" width="12.7109375" customWidth="1"/>
    <col min="6730" max="6730" width="17.140625" customWidth="1"/>
    <col min="6731" max="6731" width="19.28515625" customWidth="1"/>
    <col min="6732" max="6732" width="10.7109375" customWidth="1"/>
    <col min="6733" max="6734" width="18.5703125" customWidth="1"/>
    <col min="6735" max="6735" width="13.140625" customWidth="1"/>
    <col min="6736" max="6736" width="17.5703125" customWidth="1"/>
    <col min="6737" max="6737" width="10.7109375" customWidth="1"/>
    <col min="6959" max="6959" width="7.7109375" customWidth="1"/>
    <col min="6960" max="6960" width="10.7109375" customWidth="1"/>
    <col min="6961" max="6961" width="12.85546875" customWidth="1"/>
    <col min="6962" max="6962" width="10.7109375" customWidth="1"/>
    <col min="6963" max="6963" width="13.140625" customWidth="1"/>
    <col min="6964" max="6964" width="10.5703125" customWidth="1"/>
    <col min="6965" max="6965" width="10.7109375" customWidth="1"/>
    <col min="6966" max="6966" width="28.42578125" customWidth="1"/>
    <col min="6967" max="6967" width="5.7109375" customWidth="1"/>
    <col min="6968" max="6968" width="18.42578125" customWidth="1"/>
    <col min="6969" max="6969" width="14" customWidth="1"/>
    <col min="6970" max="6970" width="11.42578125" customWidth="1"/>
    <col min="6971" max="6971" width="10.7109375" customWidth="1"/>
    <col min="6972" max="6972" width="14.85546875" customWidth="1"/>
    <col min="6973" max="6973" width="7.5703125" customWidth="1"/>
    <col min="6974" max="6974" width="12" customWidth="1"/>
    <col min="6975" max="6975" width="10.7109375" customWidth="1"/>
    <col min="6976" max="6976" width="12.7109375" customWidth="1"/>
    <col min="6977" max="6977" width="11.28515625" customWidth="1"/>
    <col min="6978" max="6981" width="10.7109375" customWidth="1"/>
    <col min="6982" max="6982" width="13.140625" customWidth="1"/>
    <col min="6983" max="6983" width="13.85546875" customWidth="1"/>
    <col min="6984" max="6984" width="13.42578125" customWidth="1"/>
    <col min="6985" max="6985" width="12.7109375" customWidth="1"/>
    <col min="6986" max="6986" width="17.140625" customWidth="1"/>
    <col min="6987" max="6987" width="19.28515625" customWidth="1"/>
    <col min="6988" max="6988" width="10.7109375" customWidth="1"/>
    <col min="6989" max="6990" width="18.5703125" customWidth="1"/>
    <col min="6991" max="6991" width="13.140625" customWidth="1"/>
    <col min="6992" max="6992" width="17.5703125" customWidth="1"/>
    <col min="6993" max="6993" width="10.7109375" customWidth="1"/>
    <col min="7215" max="7215" width="7.7109375" customWidth="1"/>
    <col min="7216" max="7216" width="10.7109375" customWidth="1"/>
    <col min="7217" max="7217" width="12.85546875" customWidth="1"/>
    <col min="7218" max="7218" width="10.7109375" customWidth="1"/>
    <col min="7219" max="7219" width="13.140625" customWidth="1"/>
    <col min="7220" max="7220" width="10.5703125" customWidth="1"/>
    <col min="7221" max="7221" width="10.7109375" customWidth="1"/>
    <col min="7222" max="7222" width="28.42578125" customWidth="1"/>
    <col min="7223" max="7223" width="5.7109375" customWidth="1"/>
    <col min="7224" max="7224" width="18.42578125" customWidth="1"/>
    <col min="7225" max="7225" width="14" customWidth="1"/>
    <col min="7226" max="7226" width="11.42578125" customWidth="1"/>
    <col min="7227" max="7227" width="10.7109375" customWidth="1"/>
    <col min="7228" max="7228" width="14.85546875" customWidth="1"/>
    <col min="7229" max="7229" width="7.5703125" customWidth="1"/>
    <col min="7230" max="7230" width="12" customWidth="1"/>
    <col min="7231" max="7231" width="10.7109375" customWidth="1"/>
    <col min="7232" max="7232" width="12.7109375" customWidth="1"/>
    <col min="7233" max="7233" width="11.28515625" customWidth="1"/>
    <col min="7234" max="7237" width="10.7109375" customWidth="1"/>
    <col min="7238" max="7238" width="13.140625" customWidth="1"/>
    <col min="7239" max="7239" width="13.85546875" customWidth="1"/>
    <col min="7240" max="7240" width="13.42578125" customWidth="1"/>
    <col min="7241" max="7241" width="12.7109375" customWidth="1"/>
    <col min="7242" max="7242" width="17.140625" customWidth="1"/>
    <col min="7243" max="7243" width="19.28515625" customWidth="1"/>
    <col min="7244" max="7244" width="10.7109375" customWidth="1"/>
    <col min="7245" max="7246" width="18.5703125" customWidth="1"/>
    <col min="7247" max="7247" width="13.140625" customWidth="1"/>
    <col min="7248" max="7248" width="17.5703125" customWidth="1"/>
    <col min="7249" max="7249" width="10.7109375" customWidth="1"/>
    <col min="7471" max="7471" width="7.7109375" customWidth="1"/>
    <col min="7472" max="7472" width="10.7109375" customWidth="1"/>
    <col min="7473" max="7473" width="12.85546875" customWidth="1"/>
    <col min="7474" max="7474" width="10.7109375" customWidth="1"/>
    <col min="7475" max="7475" width="13.140625" customWidth="1"/>
    <col min="7476" max="7476" width="10.5703125" customWidth="1"/>
    <col min="7477" max="7477" width="10.7109375" customWidth="1"/>
    <col min="7478" max="7478" width="28.42578125" customWidth="1"/>
    <col min="7479" max="7479" width="5.7109375" customWidth="1"/>
    <col min="7480" max="7480" width="18.42578125" customWidth="1"/>
    <col min="7481" max="7481" width="14" customWidth="1"/>
    <col min="7482" max="7482" width="11.42578125" customWidth="1"/>
    <col min="7483" max="7483" width="10.7109375" customWidth="1"/>
    <col min="7484" max="7484" width="14.85546875" customWidth="1"/>
    <col min="7485" max="7485" width="7.5703125" customWidth="1"/>
    <col min="7486" max="7486" width="12" customWidth="1"/>
    <col min="7487" max="7487" width="10.7109375" customWidth="1"/>
    <col min="7488" max="7488" width="12.7109375" customWidth="1"/>
    <col min="7489" max="7489" width="11.28515625" customWidth="1"/>
    <col min="7490" max="7493" width="10.7109375" customWidth="1"/>
    <col min="7494" max="7494" width="13.140625" customWidth="1"/>
    <col min="7495" max="7495" width="13.85546875" customWidth="1"/>
    <col min="7496" max="7496" width="13.42578125" customWidth="1"/>
    <col min="7497" max="7497" width="12.7109375" customWidth="1"/>
    <col min="7498" max="7498" width="17.140625" customWidth="1"/>
    <col min="7499" max="7499" width="19.28515625" customWidth="1"/>
    <col min="7500" max="7500" width="10.7109375" customWidth="1"/>
    <col min="7501" max="7502" width="18.5703125" customWidth="1"/>
    <col min="7503" max="7503" width="13.140625" customWidth="1"/>
    <col min="7504" max="7504" width="17.5703125" customWidth="1"/>
    <col min="7505" max="7505" width="10.7109375" customWidth="1"/>
    <col min="7727" max="7727" width="7.7109375" customWidth="1"/>
    <col min="7728" max="7728" width="10.7109375" customWidth="1"/>
    <col min="7729" max="7729" width="12.85546875" customWidth="1"/>
    <col min="7730" max="7730" width="10.7109375" customWidth="1"/>
    <col min="7731" max="7731" width="13.140625" customWidth="1"/>
    <col min="7732" max="7732" width="10.5703125" customWidth="1"/>
    <col min="7733" max="7733" width="10.7109375" customWidth="1"/>
    <col min="7734" max="7734" width="28.42578125" customWidth="1"/>
    <col min="7735" max="7735" width="5.7109375" customWidth="1"/>
    <col min="7736" max="7736" width="18.42578125" customWidth="1"/>
    <col min="7737" max="7737" width="14" customWidth="1"/>
    <col min="7738" max="7738" width="11.42578125" customWidth="1"/>
    <col min="7739" max="7739" width="10.7109375" customWidth="1"/>
    <col min="7740" max="7740" width="14.85546875" customWidth="1"/>
    <col min="7741" max="7741" width="7.5703125" customWidth="1"/>
    <col min="7742" max="7742" width="12" customWidth="1"/>
    <col min="7743" max="7743" width="10.7109375" customWidth="1"/>
    <col min="7744" max="7744" width="12.7109375" customWidth="1"/>
    <col min="7745" max="7745" width="11.28515625" customWidth="1"/>
    <col min="7746" max="7749" width="10.7109375" customWidth="1"/>
    <col min="7750" max="7750" width="13.140625" customWidth="1"/>
    <col min="7751" max="7751" width="13.85546875" customWidth="1"/>
    <col min="7752" max="7752" width="13.42578125" customWidth="1"/>
    <col min="7753" max="7753" width="12.7109375" customWidth="1"/>
    <col min="7754" max="7754" width="17.140625" customWidth="1"/>
    <col min="7755" max="7755" width="19.28515625" customWidth="1"/>
    <col min="7756" max="7756" width="10.7109375" customWidth="1"/>
    <col min="7757" max="7758" width="18.5703125" customWidth="1"/>
    <col min="7759" max="7759" width="13.140625" customWidth="1"/>
    <col min="7760" max="7760" width="17.5703125" customWidth="1"/>
    <col min="7761" max="7761" width="10.7109375" customWidth="1"/>
    <col min="7983" max="7983" width="7.7109375" customWidth="1"/>
    <col min="7984" max="7984" width="10.7109375" customWidth="1"/>
    <col min="7985" max="7985" width="12.85546875" customWidth="1"/>
    <col min="7986" max="7986" width="10.7109375" customWidth="1"/>
    <col min="7987" max="7987" width="13.140625" customWidth="1"/>
    <col min="7988" max="7988" width="10.5703125" customWidth="1"/>
    <col min="7989" max="7989" width="10.7109375" customWidth="1"/>
    <col min="7990" max="7990" width="28.42578125" customWidth="1"/>
    <col min="7991" max="7991" width="5.7109375" customWidth="1"/>
    <col min="7992" max="7992" width="18.42578125" customWidth="1"/>
    <col min="7993" max="7993" width="14" customWidth="1"/>
    <col min="7994" max="7994" width="11.42578125" customWidth="1"/>
    <col min="7995" max="7995" width="10.7109375" customWidth="1"/>
    <col min="7996" max="7996" width="14.85546875" customWidth="1"/>
    <col min="7997" max="7997" width="7.5703125" customWidth="1"/>
    <col min="7998" max="7998" width="12" customWidth="1"/>
    <col min="7999" max="7999" width="10.7109375" customWidth="1"/>
    <col min="8000" max="8000" width="12.7109375" customWidth="1"/>
    <col min="8001" max="8001" width="11.28515625" customWidth="1"/>
    <col min="8002" max="8005" width="10.7109375" customWidth="1"/>
    <col min="8006" max="8006" width="13.140625" customWidth="1"/>
    <col min="8007" max="8007" width="13.85546875" customWidth="1"/>
    <col min="8008" max="8008" width="13.42578125" customWidth="1"/>
    <col min="8009" max="8009" width="12.7109375" customWidth="1"/>
    <col min="8010" max="8010" width="17.140625" customWidth="1"/>
    <col min="8011" max="8011" width="19.28515625" customWidth="1"/>
    <col min="8012" max="8012" width="10.7109375" customWidth="1"/>
    <col min="8013" max="8014" width="18.5703125" customWidth="1"/>
    <col min="8015" max="8015" width="13.140625" customWidth="1"/>
    <col min="8016" max="8016" width="17.5703125" customWidth="1"/>
    <col min="8017" max="8017" width="10.7109375" customWidth="1"/>
    <col min="8239" max="8239" width="7.7109375" customWidth="1"/>
    <col min="8240" max="8240" width="10.7109375" customWidth="1"/>
    <col min="8241" max="8241" width="12.85546875" customWidth="1"/>
    <col min="8242" max="8242" width="10.7109375" customWidth="1"/>
    <col min="8243" max="8243" width="13.140625" customWidth="1"/>
    <col min="8244" max="8244" width="10.5703125" customWidth="1"/>
    <col min="8245" max="8245" width="10.7109375" customWidth="1"/>
    <col min="8246" max="8246" width="28.42578125" customWidth="1"/>
    <col min="8247" max="8247" width="5.7109375" customWidth="1"/>
    <col min="8248" max="8248" width="18.42578125" customWidth="1"/>
    <col min="8249" max="8249" width="14" customWidth="1"/>
    <col min="8250" max="8250" width="11.42578125" customWidth="1"/>
    <col min="8251" max="8251" width="10.7109375" customWidth="1"/>
    <col min="8252" max="8252" width="14.85546875" customWidth="1"/>
    <col min="8253" max="8253" width="7.5703125" customWidth="1"/>
    <col min="8254" max="8254" width="12" customWidth="1"/>
    <col min="8255" max="8255" width="10.7109375" customWidth="1"/>
    <col min="8256" max="8256" width="12.7109375" customWidth="1"/>
    <col min="8257" max="8257" width="11.28515625" customWidth="1"/>
    <col min="8258" max="8261" width="10.7109375" customWidth="1"/>
    <col min="8262" max="8262" width="13.140625" customWidth="1"/>
    <col min="8263" max="8263" width="13.85546875" customWidth="1"/>
    <col min="8264" max="8264" width="13.42578125" customWidth="1"/>
    <col min="8265" max="8265" width="12.7109375" customWidth="1"/>
    <col min="8266" max="8266" width="17.140625" customWidth="1"/>
    <col min="8267" max="8267" width="19.28515625" customWidth="1"/>
    <col min="8268" max="8268" width="10.7109375" customWidth="1"/>
    <col min="8269" max="8270" width="18.5703125" customWidth="1"/>
    <col min="8271" max="8271" width="13.140625" customWidth="1"/>
    <col min="8272" max="8272" width="17.5703125" customWidth="1"/>
    <col min="8273" max="8273" width="10.7109375" customWidth="1"/>
    <col min="8495" max="8495" width="7.7109375" customWidth="1"/>
    <col min="8496" max="8496" width="10.7109375" customWidth="1"/>
    <col min="8497" max="8497" width="12.85546875" customWidth="1"/>
    <col min="8498" max="8498" width="10.7109375" customWidth="1"/>
    <col min="8499" max="8499" width="13.140625" customWidth="1"/>
    <col min="8500" max="8500" width="10.5703125" customWidth="1"/>
    <col min="8501" max="8501" width="10.7109375" customWidth="1"/>
    <col min="8502" max="8502" width="28.42578125" customWidth="1"/>
    <col min="8503" max="8503" width="5.7109375" customWidth="1"/>
    <col min="8504" max="8504" width="18.42578125" customWidth="1"/>
    <col min="8505" max="8505" width="14" customWidth="1"/>
    <col min="8506" max="8506" width="11.42578125" customWidth="1"/>
    <col min="8507" max="8507" width="10.7109375" customWidth="1"/>
    <col min="8508" max="8508" width="14.85546875" customWidth="1"/>
    <col min="8509" max="8509" width="7.5703125" customWidth="1"/>
    <col min="8510" max="8510" width="12" customWidth="1"/>
    <col min="8511" max="8511" width="10.7109375" customWidth="1"/>
    <col min="8512" max="8512" width="12.7109375" customWidth="1"/>
    <col min="8513" max="8513" width="11.28515625" customWidth="1"/>
    <col min="8514" max="8517" width="10.7109375" customWidth="1"/>
    <col min="8518" max="8518" width="13.140625" customWidth="1"/>
    <col min="8519" max="8519" width="13.85546875" customWidth="1"/>
    <col min="8520" max="8520" width="13.42578125" customWidth="1"/>
    <col min="8521" max="8521" width="12.7109375" customWidth="1"/>
    <col min="8522" max="8522" width="17.140625" customWidth="1"/>
    <col min="8523" max="8523" width="19.28515625" customWidth="1"/>
    <col min="8524" max="8524" width="10.7109375" customWidth="1"/>
    <col min="8525" max="8526" width="18.5703125" customWidth="1"/>
    <col min="8527" max="8527" width="13.140625" customWidth="1"/>
    <col min="8528" max="8528" width="17.5703125" customWidth="1"/>
    <col min="8529" max="8529" width="10.7109375" customWidth="1"/>
    <col min="8751" max="8751" width="7.7109375" customWidth="1"/>
    <col min="8752" max="8752" width="10.7109375" customWidth="1"/>
    <col min="8753" max="8753" width="12.85546875" customWidth="1"/>
    <col min="8754" max="8754" width="10.7109375" customWidth="1"/>
    <col min="8755" max="8755" width="13.140625" customWidth="1"/>
    <col min="8756" max="8756" width="10.5703125" customWidth="1"/>
    <col min="8757" max="8757" width="10.7109375" customWidth="1"/>
    <col min="8758" max="8758" width="28.42578125" customWidth="1"/>
    <col min="8759" max="8759" width="5.7109375" customWidth="1"/>
    <col min="8760" max="8760" width="18.42578125" customWidth="1"/>
    <col min="8761" max="8761" width="14" customWidth="1"/>
    <col min="8762" max="8762" width="11.42578125" customWidth="1"/>
    <col min="8763" max="8763" width="10.7109375" customWidth="1"/>
    <col min="8764" max="8764" width="14.85546875" customWidth="1"/>
    <col min="8765" max="8765" width="7.5703125" customWidth="1"/>
    <col min="8766" max="8766" width="12" customWidth="1"/>
    <col min="8767" max="8767" width="10.7109375" customWidth="1"/>
    <col min="8768" max="8768" width="12.7109375" customWidth="1"/>
    <col min="8769" max="8769" width="11.28515625" customWidth="1"/>
    <col min="8770" max="8773" width="10.7109375" customWidth="1"/>
    <col min="8774" max="8774" width="13.140625" customWidth="1"/>
    <col min="8775" max="8775" width="13.85546875" customWidth="1"/>
    <col min="8776" max="8776" width="13.42578125" customWidth="1"/>
    <col min="8777" max="8777" width="12.7109375" customWidth="1"/>
    <col min="8778" max="8778" width="17.140625" customWidth="1"/>
    <col min="8779" max="8779" width="19.28515625" customWidth="1"/>
    <col min="8780" max="8780" width="10.7109375" customWidth="1"/>
    <col min="8781" max="8782" width="18.5703125" customWidth="1"/>
    <col min="8783" max="8783" width="13.140625" customWidth="1"/>
    <col min="8784" max="8784" width="17.5703125" customWidth="1"/>
    <col min="8785" max="8785" width="10.7109375" customWidth="1"/>
    <col min="9007" max="9007" width="7.7109375" customWidth="1"/>
    <col min="9008" max="9008" width="10.7109375" customWidth="1"/>
    <col min="9009" max="9009" width="12.85546875" customWidth="1"/>
    <col min="9010" max="9010" width="10.7109375" customWidth="1"/>
    <col min="9011" max="9011" width="13.140625" customWidth="1"/>
    <col min="9012" max="9012" width="10.5703125" customWidth="1"/>
    <col min="9013" max="9013" width="10.7109375" customWidth="1"/>
    <col min="9014" max="9014" width="28.42578125" customWidth="1"/>
    <col min="9015" max="9015" width="5.7109375" customWidth="1"/>
    <col min="9016" max="9016" width="18.42578125" customWidth="1"/>
    <col min="9017" max="9017" width="14" customWidth="1"/>
    <col min="9018" max="9018" width="11.42578125" customWidth="1"/>
    <col min="9019" max="9019" width="10.7109375" customWidth="1"/>
    <col min="9020" max="9020" width="14.85546875" customWidth="1"/>
    <col min="9021" max="9021" width="7.5703125" customWidth="1"/>
    <col min="9022" max="9022" width="12" customWidth="1"/>
    <col min="9023" max="9023" width="10.7109375" customWidth="1"/>
    <col min="9024" max="9024" width="12.7109375" customWidth="1"/>
    <col min="9025" max="9025" width="11.28515625" customWidth="1"/>
    <col min="9026" max="9029" width="10.7109375" customWidth="1"/>
    <col min="9030" max="9030" width="13.140625" customWidth="1"/>
    <col min="9031" max="9031" width="13.85546875" customWidth="1"/>
    <col min="9032" max="9032" width="13.42578125" customWidth="1"/>
    <col min="9033" max="9033" width="12.7109375" customWidth="1"/>
    <col min="9034" max="9034" width="17.140625" customWidth="1"/>
    <col min="9035" max="9035" width="19.28515625" customWidth="1"/>
    <col min="9036" max="9036" width="10.7109375" customWidth="1"/>
    <col min="9037" max="9038" width="18.5703125" customWidth="1"/>
    <col min="9039" max="9039" width="13.140625" customWidth="1"/>
    <col min="9040" max="9040" width="17.5703125" customWidth="1"/>
    <col min="9041" max="9041" width="10.7109375" customWidth="1"/>
    <col min="9263" max="9263" width="7.7109375" customWidth="1"/>
    <col min="9264" max="9264" width="10.7109375" customWidth="1"/>
    <col min="9265" max="9265" width="12.85546875" customWidth="1"/>
    <col min="9266" max="9266" width="10.7109375" customWidth="1"/>
    <col min="9267" max="9267" width="13.140625" customWidth="1"/>
    <col min="9268" max="9268" width="10.5703125" customWidth="1"/>
    <col min="9269" max="9269" width="10.7109375" customWidth="1"/>
    <col min="9270" max="9270" width="28.42578125" customWidth="1"/>
    <col min="9271" max="9271" width="5.7109375" customWidth="1"/>
    <col min="9272" max="9272" width="18.42578125" customWidth="1"/>
    <col min="9273" max="9273" width="14" customWidth="1"/>
    <col min="9274" max="9274" width="11.42578125" customWidth="1"/>
    <col min="9275" max="9275" width="10.7109375" customWidth="1"/>
    <col min="9276" max="9276" width="14.85546875" customWidth="1"/>
    <col min="9277" max="9277" width="7.5703125" customWidth="1"/>
    <col min="9278" max="9278" width="12" customWidth="1"/>
    <col min="9279" max="9279" width="10.7109375" customWidth="1"/>
    <col min="9280" max="9280" width="12.7109375" customWidth="1"/>
    <col min="9281" max="9281" width="11.28515625" customWidth="1"/>
    <col min="9282" max="9285" width="10.7109375" customWidth="1"/>
    <col min="9286" max="9286" width="13.140625" customWidth="1"/>
    <col min="9287" max="9287" width="13.85546875" customWidth="1"/>
    <col min="9288" max="9288" width="13.42578125" customWidth="1"/>
    <col min="9289" max="9289" width="12.7109375" customWidth="1"/>
    <col min="9290" max="9290" width="17.140625" customWidth="1"/>
    <col min="9291" max="9291" width="19.28515625" customWidth="1"/>
    <col min="9292" max="9292" width="10.7109375" customWidth="1"/>
    <col min="9293" max="9294" width="18.5703125" customWidth="1"/>
    <col min="9295" max="9295" width="13.140625" customWidth="1"/>
    <col min="9296" max="9296" width="17.5703125" customWidth="1"/>
    <col min="9297" max="9297" width="10.7109375" customWidth="1"/>
    <col min="9519" max="9519" width="7.7109375" customWidth="1"/>
    <col min="9520" max="9520" width="10.7109375" customWidth="1"/>
    <col min="9521" max="9521" width="12.85546875" customWidth="1"/>
    <col min="9522" max="9522" width="10.7109375" customWidth="1"/>
    <col min="9523" max="9523" width="13.140625" customWidth="1"/>
    <col min="9524" max="9524" width="10.5703125" customWidth="1"/>
    <col min="9525" max="9525" width="10.7109375" customWidth="1"/>
    <col min="9526" max="9526" width="28.42578125" customWidth="1"/>
    <col min="9527" max="9527" width="5.7109375" customWidth="1"/>
    <col min="9528" max="9528" width="18.42578125" customWidth="1"/>
    <col min="9529" max="9529" width="14" customWidth="1"/>
    <col min="9530" max="9530" width="11.42578125" customWidth="1"/>
    <col min="9531" max="9531" width="10.7109375" customWidth="1"/>
    <col min="9532" max="9532" width="14.85546875" customWidth="1"/>
    <col min="9533" max="9533" width="7.5703125" customWidth="1"/>
    <col min="9534" max="9534" width="12" customWidth="1"/>
    <col min="9535" max="9535" width="10.7109375" customWidth="1"/>
    <col min="9536" max="9536" width="12.7109375" customWidth="1"/>
    <col min="9537" max="9537" width="11.28515625" customWidth="1"/>
    <col min="9538" max="9541" width="10.7109375" customWidth="1"/>
    <col min="9542" max="9542" width="13.140625" customWidth="1"/>
    <col min="9543" max="9543" width="13.85546875" customWidth="1"/>
    <col min="9544" max="9544" width="13.42578125" customWidth="1"/>
    <col min="9545" max="9545" width="12.7109375" customWidth="1"/>
    <col min="9546" max="9546" width="17.140625" customWidth="1"/>
    <col min="9547" max="9547" width="19.28515625" customWidth="1"/>
    <col min="9548" max="9548" width="10.7109375" customWidth="1"/>
    <col min="9549" max="9550" width="18.5703125" customWidth="1"/>
    <col min="9551" max="9551" width="13.140625" customWidth="1"/>
    <col min="9552" max="9552" width="17.5703125" customWidth="1"/>
    <col min="9553" max="9553" width="10.7109375" customWidth="1"/>
    <col min="9775" max="9775" width="7.7109375" customWidth="1"/>
    <col min="9776" max="9776" width="10.7109375" customWidth="1"/>
    <col min="9777" max="9777" width="12.85546875" customWidth="1"/>
    <col min="9778" max="9778" width="10.7109375" customWidth="1"/>
    <col min="9779" max="9779" width="13.140625" customWidth="1"/>
    <col min="9780" max="9780" width="10.5703125" customWidth="1"/>
    <col min="9781" max="9781" width="10.7109375" customWidth="1"/>
    <col min="9782" max="9782" width="28.42578125" customWidth="1"/>
    <col min="9783" max="9783" width="5.7109375" customWidth="1"/>
    <col min="9784" max="9784" width="18.42578125" customWidth="1"/>
    <col min="9785" max="9785" width="14" customWidth="1"/>
    <col min="9786" max="9786" width="11.42578125" customWidth="1"/>
    <col min="9787" max="9787" width="10.7109375" customWidth="1"/>
    <col min="9788" max="9788" width="14.85546875" customWidth="1"/>
    <col min="9789" max="9789" width="7.5703125" customWidth="1"/>
    <col min="9790" max="9790" width="12" customWidth="1"/>
    <col min="9791" max="9791" width="10.7109375" customWidth="1"/>
    <col min="9792" max="9792" width="12.7109375" customWidth="1"/>
    <col min="9793" max="9793" width="11.28515625" customWidth="1"/>
    <col min="9794" max="9797" width="10.7109375" customWidth="1"/>
    <col min="9798" max="9798" width="13.140625" customWidth="1"/>
    <col min="9799" max="9799" width="13.85546875" customWidth="1"/>
    <col min="9800" max="9800" width="13.42578125" customWidth="1"/>
    <col min="9801" max="9801" width="12.7109375" customWidth="1"/>
    <col min="9802" max="9802" width="17.140625" customWidth="1"/>
    <col min="9803" max="9803" width="19.28515625" customWidth="1"/>
    <col min="9804" max="9804" width="10.7109375" customWidth="1"/>
    <col min="9805" max="9806" width="18.5703125" customWidth="1"/>
    <col min="9807" max="9807" width="13.140625" customWidth="1"/>
    <col min="9808" max="9808" width="17.5703125" customWidth="1"/>
    <col min="9809" max="9809" width="10.7109375" customWidth="1"/>
    <col min="10031" max="10031" width="7.7109375" customWidth="1"/>
    <col min="10032" max="10032" width="10.7109375" customWidth="1"/>
    <col min="10033" max="10033" width="12.85546875" customWidth="1"/>
    <col min="10034" max="10034" width="10.7109375" customWidth="1"/>
    <col min="10035" max="10035" width="13.140625" customWidth="1"/>
    <col min="10036" max="10036" width="10.5703125" customWidth="1"/>
    <col min="10037" max="10037" width="10.7109375" customWidth="1"/>
    <col min="10038" max="10038" width="28.42578125" customWidth="1"/>
    <col min="10039" max="10039" width="5.7109375" customWidth="1"/>
    <col min="10040" max="10040" width="18.42578125" customWidth="1"/>
    <col min="10041" max="10041" width="14" customWidth="1"/>
    <col min="10042" max="10042" width="11.42578125" customWidth="1"/>
    <col min="10043" max="10043" width="10.7109375" customWidth="1"/>
    <col min="10044" max="10044" width="14.85546875" customWidth="1"/>
    <col min="10045" max="10045" width="7.5703125" customWidth="1"/>
    <col min="10046" max="10046" width="12" customWidth="1"/>
    <col min="10047" max="10047" width="10.7109375" customWidth="1"/>
    <col min="10048" max="10048" width="12.7109375" customWidth="1"/>
    <col min="10049" max="10049" width="11.28515625" customWidth="1"/>
    <col min="10050" max="10053" width="10.7109375" customWidth="1"/>
    <col min="10054" max="10054" width="13.140625" customWidth="1"/>
    <col min="10055" max="10055" width="13.85546875" customWidth="1"/>
    <col min="10056" max="10056" width="13.42578125" customWidth="1"/>
    <col min="10057" max="10057" width="12.7109375" customWidth="1"/>
    <col min="10058" max="10058" width="17.140625" customWidth="1"/>
    <col min="10059" max="10059" width="19.28515625" customWidth="1"/>
    <col min="10060" max="10060" width="10.7109375" customWidth="1"/>
    <col min="10061" max="10062" width="18.5703125" customWidth="1"/>
    <col min="10063" max="10063" width="13.140625" customWidth="1"/>
    <col min="10064" max="10064" width="17.5703125" customWidth="1"/>
    <col min="10065" max="10065" width="10.7109375" customWidth="1"/>
    <col min="10287" max="10287" width="7.7109375" customWidth="1"/>
    <col min="10288" max="10288" width="10.7109375" customWidth="1"/>
    <col min="10289" max="10289" width="12.85546875" customWidth="1"/>
    <col min="10290" max="10290" width="10.7109375" customWidth="1"/>
    <col min="10291" max="10291" width="13.140625" customWidth="1"/>
    <col min="10292" max="10292" width="10.5703125" customWidth="1"/>
    <col min="10293" max="10293" width="10.7109375" customWidth="1"/>
    <col min="10294" max="10294" width="28.42578125" customWidth="1"/>
    <col min="10295" max="10295" width="5.7109375" customWidth="1"/>
    <col min="10296" max="10296" width="18.42578125" customWidth="1"/>
    <col min="10297" max="10297" width="14" customWidth="1"/>
    <col min="10298" max="10298" width="11.42578125" customWidth="1"/>
    <col min="10299" max="10299" width="10.7109375" customWidth="1"/>
    <col min="10300" max="10300" width="14.85546875" customWidth="1"/>
    <col min="10301" max="10301" width="7.5703125" customWidth="1"/>
    <col min="10302" max="10302" width="12" customWidth="1"/>
    <col min="10303" max="10303" width="10.7109375" customWidth="1"/>
    <col min="10304" max="10304" width="12.7109375" customWidth="1"/>
    <col min="10305" max="10305" width="11.28515625" customWidth="1"/>
    <col min="10306" max="10309" width="10.7109375" customWidth="1"/>
    <col min="10310" max="10310" width="13.140625" customWidth="1"/>
    <col min="10311" max="10311" width="13.85546875" customWidth="1"/>
    <col min="10312" max="10312" width="13.42578125" customWidth="1"/>
    <col min="10313" max="10313" width="12.7109375" customWidth="1"/>
    <col min="10314" max="10314" width="17.140625" customWidth="1"/>
    <col min="10315" max="10315" width="19.28515625" customWidth="1"/>
    <col min="10316" max="10316" width="10.7109375" customWidth="1"/>
    <col min="10317" max="10318" width="18.5703125" customWidth="1"/>
    <col min="10319" max="10319" width="13.140625" customWidth="1"/>
    <col min="10320" max="10320" width="17.5703125" customWidth="1"/>
    <col min="10321" max="10321" width="10.7109375" customWidth="1"/>
    <col min="10543" max="10543" width="7.7109375" customWidth="1"/>
    <col min="10544" max="10544" width="10.7109375" customWidth="1"/>
    <col min="10545" max="10545" width="12.85546875" customWidth="1"/>
    <col min="10546" max="10546" width="10.7109375" customWidth="1"/>
    <col min="10547" max="10547" width="13.140625" customWidth="1"/>
    <col min="10548" max="10548" width="10.5703125" customWidth="1"/>
    <col min="10549" max="10549" width="10.7109375" customWidth="1"/>
    <col min="10550" max="10550" width="28.42578125" customWidth="1"/>
    <col min="10551" max="10551" width="5.7109375" customWidth="1"/>
    <col min="10552" max="10552" width="18.42578125" customWidth="1"/>
    <col min="10553" max="10553" width="14" customWidth="1"/>
    <col min="10554" max="10554" width="11.42578125" customWidth="1"/>
    <col min="10555" max="10555" width="10.7109375" customWidth="1"/>
    <col min="10556" max="10556" width="14.85546875" customWidth="1"/>
    <col min="10557" max="10557" width="7.5703125" customWidth="1"/>
    <col min="10558" max="10558" width="12" customWidth="1"/>
    <col min="10559" max="10559" width="10.7109375" customWidth="1"/>
    <col min="10560" max="10560" width="12.7109375" customWidth="1"/>
    <col min="10561" max="10561" width="11.28515625" customWidth="1"/>
    <col min="10562" max="10565" width="10.7109375" customWidth="1"/>
    <col min="10566" max="10566" width="13.140625" customWidth="1"/>
    <col min="10567" max="10567" width="13.85546875" customWidth="1"/>
    <col min="10568" max="10568" width="13.42578125" customWidth="1"/>
    <col min="10569" max="10569" width="12.7109375" customWidth="1"/>
    <col min="10570" max="10570" width="17.140625" customWidth="1"/>
    <col min="10571" max="10571" width="19.28515625" customWidth="1"/>
    <col min="10572" max="10572" width="10.7109375" customWidth="1"/>
    <col min="10573" max="10574" width="18.5703125" customWidth="1"/>
    <col min="10575" max="10575" width="13.140625" customWidth="1"/>
    <col min="10576" max="10576" width="17.5703125" customWidth="1"/>
    <col min="10577" max="10577" width="10.7109375" customWidth="1"/>
    <col min="10799" max="10799" width="7.7109375" customWidth="1"/>
    <col min="10800" max="10800" width="10.7109375" customWidth="1"/>
    <col min="10801" max="10801" width="12.85546875" customWidth="1"/>
    <col min="10802" max="10802" width="10.7109375" customWidth="1"/>
    <col min="10803" max="10803" width="13.140625" customWidth="1"/>
    <col min="10804" max="10804" width="10.5703125" customWidth="1"/>
    <col min="10805" max="10805" width="10.7109375" customWidth="1"/>
    <col min="10806" max="10806" width="28.42578125" customWidth="1"/>
    <col min="10807" max="10807" width="5.7109375" customWidth="1"/>
    <col min="10808" max="10808" width="18.42578125" customWidth="1"/>
    <col min="10809" max="10809" width="14" customWidth="1"/>
    <col min="10810" max="10810" width="11.42578125" customWidth="1"/>
    <col min="10811" max="10811" width="10.7109375" customWidth="1"/>
    <col min="10812" max="10812" width="14.85546875" customWidth="1"/>
    <col min="10813" max="10813" width="7.5703125" customWidth="1"/>
    <col min="10814" max="10814" width="12" customWidth="1"/>
    <col min="10815" max="10815" width="10.7109375" customWidth="1"/>
    <col min="10816" max="10816" width="12.7109375" customWidth="1"/>
    <col min="10817" max="10817" width="11.28515625" customWidth="1"/>
    <col min="10818" max="10821" width="10.7109375" customWidth="1"/>
    <col min="10822" max="10822" width="13.140625" customWidth="1"/>
    <col min="10823" max="10823" width="13.85546875" customWidth="1"/>
    <col min="10824" max="10824" width="13.42578125" customWidth="1"/>
    <col min="10825" max="10825" width="12.7109375" customWidth="1"/>
    <col min="10826" max="10826" width="17.140625" customWidth="1"/>
    <col min="10827" max="10827" width="19.28515625" customWidth="1"/>
    <col min="10828" max="10828" width="10.7109375" customWidth="1"/>
    <col min="10829" max="10830" width="18.5703125" customWidth="1"/>
    <col min="10831" max="10831" width="13.140625" customWidth="1"/>
    <col min="10832" max="10832" width="17.5703125" customWidth="1"/>
    <col min="10833" max="10833" width="10.7109375" customWidth="1"/>
    <col min="11055" max="11055" width="7.7109375" customWidth="1"/>
    <col min="11056" max="11056" width="10.7109375" customWidth="1"/>
    <col min="11057" max="11057" width="12.85546875" customWidth="1"/>
    <col min="11058" max="11058" width="10.7109375" customWidth="1"/>
    <col min="11059" max="11059" width="13.140625" customWidth="1"/>
    <col min="11060" max="11060" width="10.5703125" customWidth="1"/>
    <col min="11061" max="11061" width="10.7109375" customWidth="1"/>
    <col min="11062" max="11062" width="28.42578125" customWidth="1"/>
    <col min="11063" max="11063" width="5.7109375" customWidth="1"/>
    <col min="11064" max="11064" width="18.42578125" customWidth="1"/>
    <col min="11065" max="11065" width="14" customWidth="1"/>
    <col min="11066" max="11066" width="11.42578125" customWidth="1"/>
    <col min="11067" max="11067" width="10.7109375" customWidth="1"/>
    <col min="11068" max="11068" width="14.85546875" customWidth="1"/>
    <col min="11069" max="11069" width="7.5703125" customWidth="1"/>
    <col min="11070" max="11070" width="12" customWidth="1"/>
    <col min="11071" max="11071" width="10.7109375" customWidth="1"/>
    <col min="11072" max="11072" width="12.7109375" customWidth="1"/>
    <col min="11073" max="11073" width="11.28515625" customWidth="1"/>
    <col min="11074" max="11077" width="10.7109375" customWidth="1"/>
    <col min="11078" max="11078" width="13.140625" customWidth="1"/>
    <col min="11079" max="11079" width="13.85546875" customWidth="1"/>
    <col min="11080" max="11080" width="13.42578125" customWidth="1"/>
    <col min="11081" max="11081" width="12.7109375" customWidth="1"/>
    <col min="11082" max="11082" width="17.140625" customWidth="1"/>
    <col min="11083" max="11083" width="19.28515625" customWidth="1"/>
    <col min="11084" max="11084" width="10.7109375" customWidth="1"/>
    <col min="11085" max="11086" width="18.5703125" customWidth="1"/>
    <col min="11087" max="11087" width="13.140625" customWidth="1"/>
    <col min="11088" max="11088" width="17.5703125" customWidth="1"/>
    <col min="11089" max="11089" width="10.7109375" customWidth="1"/>
    <col min="11311" max="11311" width="7.7109375" customWidth="1"/>
    <col min="11312" max="11312" width="10.7109375" customWidth="1"/>
    <col min="11313" max="11313" width="12.85546875" customWidth="1"/>
    <col min="11314" max="11314" width="10.7109375" customWidth="1"/>
    <col min="11315" max="11315" width="13.140625" customWidth="1"/>
    <col min="11316" max="11316" width="10.5703125" customWidth="1"/>
    <col min="11317" max="11317" width="10.7109375" customWidth="1"/>
    <col min="11318" max="11318" width="28.42578125" customWidth="1"/>
    <col min="11319" max="11319" width="5.7109375" customWidth="1"/>
    <col min="11320" max="11320" width="18.42578125" customWidth="1"/>
    <col min="11321" max="11321" width="14" customWidth="1"/>
    <col min="11322" max="11322" width="11.42578125" customWidth="1"/>
    <col min="11323" max="11323" width="10.7109375" customWidth="1"/>
    <col min="11324" max="11324" width="14.85546875" customWidth="1"/>
    <col min="11325" max="11325" width="7.5703125" customWidth="1"/>
    <col min="11326" max="11326" width="12" customWidth="1"/>
    <col min="11327" max="11327" width="10.7109375" customWidth="1"/>
    <col min="11328" max="11328" width="12.7109375" customWidth="1"/>
    <col min="11329" max="11329" width="11.28515625" customWidth="1"/>
    <col min="11330" max="11333" width="10.7109375" customWidth="1"/>
    <col min="11334" max="11334" width="13.140625" customWidth="1"/>
    <col min="11335" max="11335" width="13.85546875" customWidth="1"/>
    <col min="11336" max="11336" width="13.42578125" customWidth="1"/>
    <col min="11337" max="11337" width="12.7109375" customWidth="1"/>
    <col min="11338" max="11338" width="17.140625" customWidth="1"/>
    <col min="11339" max="11339" width="19.28515625" customWidth="1"/>
    <col min="11340" max="11340" width="10.7109375" customWidth="1"/>
    <col min="11341" max="11342" width="18.5703125" customWidth="1"/>
    <col min="11343" max="11343" width="13.140625" customWidth="1"/>
    <col min="11344" max="11344" width="17.5703125" customWidth="1"/>
    <col min="11345" max="11345" width="10.7109375" customWidth="1"/>
    <col min="11567" max="11567" width="7.7109375" customWidth="1"/>
    <col min="11568" max="11568" width="10.7109375" customWidth="1"/>
    <col min="11569" max="11569" width="12.85546875" customWidth="1"/>
    <col min="11570" max="11570" width="10.7109375" customWidth="1"/>
    <col min="11571" max="11571" width="13.140625" customWidth="1"/>
    <col min="11572" max="11572" width="10.5703125" customWidth="1"/>
    <col min="11573" max="11573" width="10.7109375" customWidth="1"/>
    <col min="11574" max="11574" width="28.42578125" customWidth="1"/>
    <col min="11575" max="11575" width="5.7109375" customWidth="1"/>
    <col min="11576" max="11576" width="18.42578125" customWidth="1"/>
    <col min="11577" max="11577" width="14" customWidth="1"/>
    <col min="11578" max="11578" width="11.42578125" customWidth="1"/>
    <col min="11579" max="11579" width="10.7109375" customWidth="1"/>
    <col min="11580" max="11580" width="14.85546875" customWidth="1"/>
    <col min="11581" max="11581" width="7.5703125" customWidth="1"/>
    <col min="11582" max="11582" width="12" customWidth="1"/>
    <col min="11583" max="11583" width="10.7109375" customWidth="1"/>
    <col min="11584" max="11584" width="12.7109375" customWidth="1"/>
    <col min="11585" max="11585" width="11.28515625" customWidth="1"/>
    <col min="11586" max="11589" width="10.7109375" customWidth="1"/>
    <col min="11590" max="11590" width="13.140625" customWidth="1"/>
    <col min="11591" max="11591" width="13.85546875" customWidth="1"/>
    <col min="11592" max="11592" width="13.42578125" customWidth="1"/>
    <col min="11593" max="11593" width="12.7109375" customWidth="1"/>
    <col min="11594" max="11594" width="17.140625" customWidth="1"/>
    <col min="11595" max="11595" width="19.28515625" customWidth="1"/>
    <col min="11596" max="11596" width="10.7109375" customWidth="1"/>
    <col min="11597" max="11598" width="18.5703125" customWidth="1"/>
    <col min="11599" max="11599" width="13.140625" customWidth="1"/>
    <col min="11600" max="11600" width="17.5703125" customWidth="1"/>
    <col min="11601" max="11601" width="10.7109375" customWidth="1"/>
    <col min="11823" max="11823" width="7.7109375" customWidth="1"/>
    <col min="11824" max="11824" width="10.7109375" customWidth="1"/>
    <col min="11825" max="11825" width="12.85546875" customWidth="1"/>
    <col min="11826" max="11826" width="10.7109375" customWidth="1"/>
    <col min="11827" max="11827" width="13.140625" customWidth="1"/>
    <col min="11828" max="11828" width="10.5703125" customWidth="1"/>
    <col min="11829" max="11829" width="10.7109375" customWidth="1"/>
    <col min="11830" max="11830" width="28.42578125" customWidth="1"/>
    <col min="11831" max="11831" width="5.7109375" customWidth="1"/>
    <col min="11832" max="11832" width="18.42578125" customWidth="1"/>
    <col min="11833" max="11833" width="14" customWidth="1"/>
    <col min="11834" max="11834" width="11.42578125" customWidth="1"/>
    <col min="11835" max="11835" width="10.7109375" customWidth="1"/>
    <col min="11836" max="11836" width="14.85546875" customWidth="1"/>
    <col min="11837" max="11837" width="7.5703125" customWidth="1"/>
    <col min="11838" max="11838" width="12" customWidth="1"/>
    <col min="11839" max="11839" width="10.7109375" customWidth="1"/>
    <col min="11840" max="11840" width="12.7109375" customWidth="1"/>
    <col min="11841" max="11841" width="11.28515625" customWidth="1"/>
    <col min="11842" max="11845" width="10.7109375" customWidth="1"/>
    <col min="11846" max="11846" width="13.140625" customWidth="1"/>
    <col min="11847" max="11847" width="13.85546875" customWidth="1"/>
    <col min="11848" max="11848" width="13.42578125" customWidth="1"/>
    <col min="11849" max="11849" width="12.7109375" customWidth="1"/>
    <col min="11850" max="11850" width="17.140625" customWidth="1"/>
    <col min="11851" max="11851" width="19.28515625" customWidth="1"/>
    <col min="11852" max="11852" width="10.7109375" customWidth="1"/>
    <col min="11853" max="11854" width="18.5703125" customWidth="1"/>
    <col min="11855" max="11855" width="13.140625" customWidth="1"/>
    <col min="11856" max="11856" width="17.5703125" customWidth="1"/>
    <col min="11857" max="11857" width="10.7109375" customWidth="1"/>
    <col min="12079" max="12079" width="7.7109375" customWidth="1"/>
    <col min="12080" max="12080" width="10.7109375" customWidth="1"/>
    <col min="12081" max="12081" width="12.85546875" customWidth="1"/>
    <col min="12082" max="12082" width="10.7109375" customWidth="1"/>
    <col min="12083" max="12083" width="13.140625" customWidth="1"/>
    <col min="12084" max="12084" width="10.5703125" customWidth="1"/>
    <col min="12085" max="12085" width="10.7109375" customWidth="1"/>
    <col min="12086" max="12086" width="28.42578125" customWidth="1"/>
    <col min="12087" max="12087" width="5.7109375" customWidth="1"/>
    <col min="12088" max="12088" width="18.42578125" customWidth="1"/>
    <col min="12089" max="12089" width="14" customWidth="1"/>
    <col min="12090" max="12090" width="11.42578125" customWidth="1"/>
    <col min="12091" max="12091" width="10.7109375" customWidth="1"/>
    <col min="12092" max="12092" width="14.85546875" customWidth="1"/>
    <col min="12093" max="12093" width="7.5703125" customWidth="1"/>
    <col min="12094" max="12094" width="12" customWidth="1"/>
    <col min="12095" max="12095" width="10.7109375" customWidth="1"/>
    <col min="12096" max="12096" width="12.7109375" customWidth="1"/>
    <col min="12097" max="12097" width="11.28515625" customWidth="1"/>
    <col min="12098" max="12101" width="10.7109375" customWidth="1"/>
    <col min="12102" max="12102" width="13.140625" customWidth="1"/>
    <col min="12103" max="12103" width="13.85546875" customWidth="1"/>
    <col min="12104" max="12104" width="13.42578125" customWidth="1"/>
    <col min="12105" max="12105" width="12.7109375" customWidth="1"/>
    <col min="12106" max="12106" width="17.140625" customWidth="1"/>
    <col min="12107" max="12107" width="19.28515625" customWidth="1"/>
    <col min="12108" max="12108" width="10.7109375" customWidth="1"/>
    <col min="12109" max="12110" width="18.5703125" customWidth="1"/>
    <col min="12111" max="12111" width="13.140625" customWidth="1"/>
    <col min="12112" max="12112" width="17.5703125" customWidth="1"/>
    <col min="12113" max="12113" width="10.7109375" customWidth="1"/>
    <col min="12335" max="12335" width="7.7109375" customWidth="1"/>
    <col min="12336" max="12336" width="10.7109375" customWidth="1"/>
    <col min="12337" max="12337" width="12.85546875" customWidth="1"/>
    <col min="12338" max="12338" width="10.7109375" customWidth="1"/>
    <col min="12339" max="12339" width="13.140625" customWidth="1"/>
    <col min="12340" max="12340" width="10.5703125" customWidth="1"/>
    <col min="12341" max="12341" width="10.7109375" customWidth="1"/>
    <col min="12342" max="12342" width="28.42578125" customWidth="1"/>
    <col min="12343" max="12343" width="5.7109375" customWidth="1"/>
    <col min="12344" max="12344" width="18.42578125" customWidth="1"/>
    <col min="12345" max="12345" width="14" customWidth="1"/>
    <col min="12346" max="12346" width="11.42578125" customWidth="1"/>
    <col min="12347" max="12347" width="10.7109375" customWidth="1"/>
    <col min="12348" max="12348" width="14.85546875" customWidth="1"/>
    <col min="12349" max="12349" width="7.5703125" customWidth="1"/>
    <col min="12350" max="12350" width="12" customWidth="1"/>
    <col min="12351" max="12351" width="10.7109375" customWidth="1"/>
    <col min="12352" max="12352" width="12.7109375" customWidth="1"/>
    <col min="12353" max="12353" width="11.28515625" customWidth="1"/>
    <col min="12354" max="12357" width="10.7109375" customWidth="1"/>
    <col min="12358" max="12358" width="13.140625" customWidth="1"/>
    <col min="12359" max="12359" width="13.85546875" customWidth="1"/>
    <col min="12360" max="12360" width="13.42578125" customWidth="1"/>
    <col min="12361" max="12361" width="12.7109375" customWidth="1"/>
    <col min="12362" max="12362" width="17.140625" customWidth="1"/>
    <col min="12363" max="12363" width="19.28515625" customWidth="1"/>
    <col min="12364" max="12364" width="10.7109375" customWidth="1"/>
    <col min="12365" max="12366" width="18.5703125" customWidth="1"/>
    <col min="12367" max="12367" width="13.140625" customWidth="1"/>
    <col min="12368" max="12368" width="17.5703125" customWidth="1"/>
    <col min="12369" max="12369" width="10.7109375" customWidth="1"/>
    <col min="12591" max="12591" width="7.7109375" customWidth="1"/>
    <col min="12592" max="12592" width="10.7109375" customWidth="1"/>
    <col min="12593" max="12593" width="12.85546875" customWidth="1"/>
    <col min="12594" max="12594" width="10.7109375" customWidth="1"/>
    <col min="12595" max="12595" width="13.140625" customWidth="1"/>
    <col min="12596" max="12596" width="10.5703125" customWidth="1"/>
    <col min="12597" max="12597" width="10.7109375" customWidth="1"/>
    <col min="12598" max="12598" width="28.42578125" customWidth="1"/>
    <col min="12599" max="12599" width="5.7109375" customWidth="1"/>
    <col min="12600" max="12600" width="18.42578125" customWidth="1"/>
    <col min="12601" max="12601" width="14" customWidth="1"/>
    <col min="12602" max="12602" width="11.42578125" customWidth="1"/>
    <col min="12603" max="12603" width="10.7109375" customWidth="1"/>
    <col min="12604" max="12604" width="14.85546875" customWidth="1"/>
    <col min="12605" max="12605" width="7.5703125" customWidth="1"/>
    <col min="12606" max="12606" width="12" customWidth="1"/>
    <col min="12607" max="12607" width="10.7109375" customWidth="1"/>
    <col min="12608" max="12608" width="12.7109375" customWidth="1"/>
    <col min="12609" max="12609" width="11.28515625" customWidth="1"/>
    <col min="12610" max="12613" width="10.7109375" customWidth="1"/>
    <col min="12614" max="12614" width="13.140625" customWidth="1"/>
    <col min="12615" max="12615" width="13.85546875" customWidth="1"/>
    <col min="12616" max="12616" width="13.42578125" customWidth="1"/>
    <col min="12617" max="12617" width="12.7109375" customWidth="1"/>
    <col min="12618" max="12618" width="17.140625" customWidth="1"/>
    <col min="12619" max="12619" width="19.28515625" customWidth="1"/>
    <col min="12620" max="12620" width="10.7109375" customWidth="1"/>
    <col min="12621" max="12622" width="18.5703125" customWidth="1"/>
    <col min="12623" max="12623" width="13.140625" customWidth="1"/>
    <col min="12624" max="12624" width="17.5703125" customWidth="1"/>
    <col min="12625" max="12625" width="10.7109375" customWidth="1"/>
    <col min="12847" max="12847" width="7.7109375" customWidth="1"/>
    <col min="12848" max="12848" width="10.7109375" customWidth="1"/>
    <col min="12849" max="12849" width="12.85546875" customWidth="1"/>
    <col min="12850" max="12850" width="10.7109375" customWidth="1"/>
    <col min="12851" max="12851" width="13.140625" customWidth="1"/>
    <col min="12852" max="12852" width="10.5703125" customWidth="1"/>
    <col min="12853" max="12853" width="10.7109375" customWidth="1"/>
    <col min="12854" max="12854" width="28.42578125" customWidth="1"/>
    <col min="12855" max="12855" width="5.7109375" customWidth="1"/>
    <col min="12856" max="12856" width="18.42578125" customWidth="1"/>
    <col min="12857" max="12857" width="14" customWidth="1"/>
    <col min="12858" max="12858" width="11.42578125" customWidth="1"/>
    <col min="12859" max="12859" width="10.7109375" customWidth="1"/>
    <col min="12860" max="12860" width="14.85546875" customWidth="1"/>
    <col min="12861" max="12861" width="7.5703125" customWidth="1"/>
    <col min="12862" max="12862" width="12" customWidth="1"/>
    <col min="12863" max="12863" width="10.7109375" customWidth="1"/>
    <col min="12864" max="12864" width="12.7109375" customWidth="1"/>
    <col min="12865" max="12865" width="11.28515625" customWidth="1"/>
    <col min="12866" max="12869" width="10.7109375" customWidth="1"/>
    <col min="12870" max="12870" width="13.140625" customWidth="1"/>
    <col min="12871" max="12871" width="13.85546875" customWidth="1"/>
    <col min="12872" max="12872" width="13.42578125" customWidth="1"/>
    <col min="12873" max="12873" width="12.7109375" customWidth="1"/>
    <col min="12874" max="12874" width="17.140625" customWidth="1"/>
    <col min="12875" max="12875" width="19.28515625" customWidth="1"/>
    <col min="12876" max="12876" width="10.7109375" customWidth="1"/>
    <col min="12877" max="12878" width="18.5703125" customWidth="1"/>
    <col min="12879" max="12879" width="13.140625" customWidth="1"/>
    <col min="12880" max="12880" width="17.5703125" customWidth="1"/>
    <col min="12881" max="12881" width="10.7109375" customWidth="1"/>
    <col min="13103" max="13103" width="7.7109375" customWidth="1"/>
    <col min="13104" max="13104" width="10.7109375" customWidth="1"/>
    <col min="13105" max="13105" width="12.85546875" customWidth="1"/>
    <col min="13106" max="13106" width="10.7109375" customWidth="1"/>
    <col min="13107" max="13107" width="13.140625" customWidth="1"/>
    <col min="13108" max="13108" width="10.5703125" customWidth="1"/>
    <col min="13109" max="13109" width="10.7109375" customWidth="1"/>
    <col min="13110" max="13110" width="28.42578125" customWidth="1"/>
    <col min="13111" max="13111" width="5.7109375" customWidth="1"/>
    <col min="13112" max="13112" width="18.42578125" customWidth="1"/>
    <col min="13113" max="13113" width="14" customWidth="1"/>
    <col min="13114" max="13114" width="11.42578125" customWidth="1"/>
    <col min="13115" max="13115" width="10.7109375" customWidth="1"/>
    <col min="13116" max="13116" width="14.85546875" customWidth="1"/>
    <col min="13117" max="13117" width="7.5703125" customWidth="1"/>
    <col min="13118" max="13118" width="12" customWidth="1"/>
    <col min="13119" max="13119" width="10.7109375" customWidth="1"/>
    <col min="13120" max="13120" width="12.7109375" customWidth="1"/>
    <col min="13121" max="13121" width="11.28515625" customWidth="1"/>
    <col min="13122" max="13125" width="10.7109375" customWidth="1"/>
    <col min="13126" max="13126" width="13.140625" customWidth="1"/>
    <col min="13127" max="13127" width="13.85546875" customWidth="1"/>
    <col min="13128" max="13128" width="13.42578125" customWidth="1"/>
    <col min="13129" max="13129" width="12.7109375" customWidth="1"/>
    <col min="13130" max="13130" width="17.140625" customWidth="1"/>
    <col min="13131" max="13131" width="19.28515625" customWidth="1"/>
    <col min="13132" max="13132" width="10.7109375" customWidth="1"/>
    <col min="13133" max="13134" width="18.5703125" customWidth="1"/>
    <col min="13135" max="13135" width="13.140625" customWidth="1"/>
    <col min="13136" max="13136" width="17.5703125" customWidth="1"/>
    <col min="13137" max="13137" width="10.7109375" customWidth="1"/>
    <col min="13359" max="13359" width="7.7109375" customWidth="1"/>
    <col min="13360" max="13360" width="10.7109375" customWidth="1"/>
    <col min="13361" max="13361" width="12.85546875" customWidth="1"/>
    <col min="13362" max="13362" width="10.7109375" customWidth="1"/>
    <col min="13363" max="13363" width="13.140625" customWidth="1"/>
    <col min="13364" max="13364" width="10.5703125" customWidth="1"/>
    <col min="13365" max="13365" width="10.7109375" customWidth="1"/>
    <col min="13366" max="13366" width="28.42578125" customWidth="1"/>
    <col min="13367" max="13367" width="5.7109375" customWidth="1"/>
    <col min="13368" max="13368" width="18.42578125" customWidth="1"/>
    <col min="13369" max="13369" width="14" customWidth="1"/>
    <col min="13370" max="13370" width="11.42578125" customWidth="1"/>
    <col min="13371" max="13371" width="10.7109375" customWidth="1"/>
    <col min="13372" max="13372" width="14.85546875" customWidth="1"/>
    <col min="13373" max="13373" width="7.5703125" customWidth="1"/>
    <col min="13374" max="13374" width="12" customWidth="1"/>
    <col min="13375" max="13375" width="10.7109375" customWidth="1"/>
    <col min="13376" max="13376" width="12.7109375" customWidth="1"/>
    <col min="13377" max="13377" width="11.28515625" customWidth="1"/>
    <col min="13378" max="13381" width="10.7109375" customWidth="1"/>
    <col min="13382" max="13382" width="13.140625" customWidth="1"/>
    <col min="13383" max="13383" width="13.85546875" customWidth="1"/>
    <col min="13384" max="13384" width="13.42578125" customWidth="1"/>
    <col min="13385" max="13385" width="12.7109375" customWidth="1"/>
    <col min="13386" max="13386" width="17.140625" customWidth="1"/>
    <col min="13387" max="13387" width="19.28515625" customWidth="1"/>
    <col min="13388" max="13388" width="10.7109375" customWidth="1"/>
    <col min="13389" max="13390" width="18.5703125" customWidth="1"/>
    <col min="13391" max="13391" width="13.140625" customWidth="1"/>
    <col min="13392" max="13392" width="17.5703125" customWidth="1"/>
    <col min="13393" max="13393" width="10.7109375" customWidth="1"/>
    <col min="13615" max="13615" width="7.7109375" customWidth="1"/>
    <col min="13616" max="13616" width="10.7109375" customWidth="1"/>
    <col min="13617" max="13617" width="12.85546875" customWidth="1"/>
    <col min="13618" max="13618" width="10.7109375" customWidth="1"/>
    <col min="13619" max="13619" width="13.140625" customWidth="1"/>
    <col min="13620" max="13620" width="10.5703125" customWidth="1"/>
    <col min="13621" max="13621" width="10.7109375" customWidth="1"/>
    <col min="13622" max="13622" width="28.42578125" customWidth="1"/>
    <col min="13623" max="13623" width="5.7109375" customWidth="1"/>
    <col min="13624" max="13624" width="18.42578125" customWidth="1"/>
    <col min="13625" max="13625" width="14" customWidth="1"/>
    <col min="13626" max="13626" width="11.42578125" customWidth="1"/>
    <col min="13627" max="13627" width="10.7109375" customWidth="1"/>
    <col min="13628" max="13628" width="14.85546875" customWidth="1"/>
    <col min="13629" max="13629" width="7.5703125" customWidth="1"/>
    <col min="13630" max="13630" width="12" customWidth="1"/>
    <col min="13631" max="13631" width="10.7109375" customWidth="1"/>
    <col min="13632" max="13632" width="12.7109375" customWidth="1"/>
    <col min="13633" max="13633" width="11.28515625" customWidth="1"/>
    <col min="13634" max="13637" width="10.7109375" customWidth="1"/>
    <col min="13638" max="13638" width="13.140625" customWidth="1"/>
    <col min="13639" max="13639" width="13.85546875" customWidth="1"/>
    <col min="13640" max="13640" width="13.42578125" customWidth="1"/>
    <col min="13641" max="13641" width="12.7109375" customWidth="1"/>
    <col min="13642" max="13642" width="17.140625" customWidth="1"/>
    <col min="13643" max="13643" width="19.28515625" customWidth="1"/>
    <col min="13644" max="13644" width="10.7109375" customWidth="1"/>
    <col min="13645" max="13646" width="18.5703125" customWidth="1"/>
    <col min="13647" max="13647" width="13.140625" customWidth="1"/>
    <col min="13648" max="13648" width="17.5703125" customWidth="1"/>
    <col min="13649" max="13649" width="10.7109375" customWidth="1"/>
    <col min="13871" max="13871" width="7.7109375" customWidth="1"/>
    <col min="13872" max="13872" width="10.7109375" customWidth="1"/>
    <col min="13873" max="13873" width="12.85546875" customWidth="1"/>
    <col min="13874" max="13874" width="10.7109375" customWidth="1"/>
    <col min="13875" max="13875" width="13.140625" customWidth="1"/>
    <col min="13876" max="13876" width="10.5703125" customWidth="1"/>
    <col min="13877" max="13877" width="10.7109375" customWidth="1"/>
    <col min="13878" max="13878" width="28.42578125" customWidth="1"/>
    <col min="13879" max="13879" width="5.7109375" customWidth="1"/>
    <col min="13880" max="13880" width="18.42578125" customWidth="1"/>
    <col min="13881" max="13881" width="14" customWidth="1"/>
    <col min="13882" max="13882" width="11.42578125" customWidth="1"/>
    <col min="13883" max="13883" width="10.7109375" customWidth="1"/>
    <col min="13884" max="13884" width="14.85546875" customWidth="1"/>
    <col min="13885" max="13885" width="7.5703125" customWidth="1"/>
    <col min="13886" max="13886" width="12" customWidth="1"/>
    <col min="13887" max="13887" width="10.7109375" customWidth="1"/>
    <col min="13888" max="13888" width="12.7109375" customWidth="1"/>
    <col min="13889" max="13889" width="11.28515625" customWidth="1"/>
    <col min="13890" max="13893" width="10.7109375" customWidth="1"/>
    <col min="13894" max="13894" width="13.140625" customWidth="1"/>
    <col min="13895" max="13895" width="13.85546875" customWidth="1"/>
    <col min="13896" max="13896" width="13.42578125" customWidth="1"/>
    <col min="13897" max="13897" width="12.7109375" customWidth="1"/>
    <col min="13898" max="13898" width="17.140625" customWidth="1"/>
    <col min="13899" max="13899" width="19.28515625" customWidth="1"/>
    <col min="13900" max="13900" width="10.7109375" customWidth="1"/>
    <col min="13901" max="13902" width="18.5703125" customWidth="1"/>
    <col min="13903" max="13903" width="13.140625" customWidth="1"/>
    <col min="13904" max="13904" width="17.5703125" customWidth="1"/>
    <col min="13905" max="13905" width="10.7109375" customWidth="1"/>
    <col min="14127" max="14127" width="7.7109375" customWidth="1"/>
    <col min="14128" max="14128" width="10.7109375" customWidth="1"/>
    <col min="14129" max="14129" width="12.85546875" customWidth="1"/>
    <col min="14130" max="14130" width="10.7109375" customWidth="1"/>
    <col min="14131" max="14131" width="13.140625" customWidth="1"/>
    <col min="14132" max="14132" width="10.5703125" customWidth="1"/>
    <col min="14133" max="14133" width="10.7109375" customWidth="1"/>
    <col min="14134" max="14134" width="28.42578125" customWidth="1"/>
    <col min="14135" max="14135" width="5.7109375" customWidth="1"/>
    <col min="14136" max="14136" width="18.42578125" customWidth="1"/>
    <col min="14137" max="14137" width="14" customWidth="1"/>
    <col min="14138" max="14138" width="11.42578125" customWidth="1"/>
    <col min="14139" max="14139" width="10.7109375" customWidth="1"/>
    <col min="14140" max="14140" width="14.85546875" customWidth="1"/>
    <col min="14141" max="14141" width="7.5703125" customWidth="1"/>
    <col min="14142" max="14142" width="12" customWidth="1"/>
    <col min="14143" max="14143" width="10.7109375" customWidth="1"/>
    <col min="14144" max="14144" width="12.7109375" customWidth="1"/>
    <col min="14145" max="14145" width="11.28515625" customWidth="1"/>
    <col min="14146" max="14149" width="10.7109375" customWidth="1"/>
    <col min="14150" max="14150" width="13.140625" customWidth="1"/>
    <col min="14151" max="14151" width="13.85546875" customWidth="1"/>
    <col min="14152" max="14152" width="13.42578125" customWidth="1"/>
    <col min="14153" max="14153" width="12.7109375" customWidth="1"/>
    <col min="14154" max="14154" width="17.140625" customWidth="1"/>
    <col min="14155" max="14155" width="19.28515625" customWidth="1"/>
    <col min="14156" max="14156" width="10.7109375" customWidth="1"/>
    <col min="14157" max="14158" width="18.5703125" customWidth="1"/>
    <col min="14159" max="14159" width="13.140625" customWidth="1"/>
    <col min="14160" max="14160" width="17.5703125" customWidth="1"/>
    <col min="14161" max="14161" width="10.7109375" customWidth="1"/>
    <col min="14383" max="14383" width="7.7109375" customWidth="1"/>
    <col min="14384" max="14384" width="10.7109375" customWidth="1"/>
    <col min="14385" max="14385" width="12.85546875" customWidth="1"/>
    <col min="14386" max="14386" width="10.7109375" customWidth="1"/>
    <col min="14387" max="14387" width="13.140625" customWidth="1"/>
    <col min="14388" max="14388" width="10.5703125" customWidth="1"/>
    <col min="14389" max="14389" width="10.7109375" customWidth="1"/>
    <col min="14390" max="14390" width="28.42578125" customWidth="1"/>
    <col min="14391" max="14391" width="5.7109375" customWidth="1"/>
    <col min="14392" max="14392" width="18.42578125" customWidth="1"/>
    <col min="14393" max="14393" width="14" customWidth="1"/>
    <col min="14394" max="14394" width="11.42578125" customWidth="1"/>
    <col min="14395" max="14395" width="10.7109375" customWidth="1"/>
    <col min="14396" max="14396" width="14.85546875" customWidth="1"/>
    <col min="14397" max="14397" width="7.5703125" customWidth="1"/>
    <col min="14398" max="14398" width="12" customWidth="1"/>
    <col min="14399" max="14399" width="10.7109375" customWidth="1"/>
    <col min="14400" max="14400" width="12.7109375" customWidth="1"/>
    <col min="14401" max="14401" width="11.28515625" customWidth="1"/>
    <col min="14402" max="14405" width="10.7109375" customWidth="1"/>
    <col min="14406" max="14406" width="13.140625" customWidth="1"/>
    <col min="14407" max="14407" width="13.85546875" customWidth="1"/>
    <col min="14408" max="14408" width="13.42578125" customWidth="1"/>
    <col min="14409" max="14409" width="12.7109375" customWidth="1"/>
    <col min="14410" max="14410" width="17.140625" customWidth="1"/>
    <col min="14411" max="14411" width="19.28515625" customWidth="1"/>
    <col min="14412" max="14412" width="10.7109375" customWidth="1"/>
    <col min="14413" max="14414" width="18.5703125" customWidth="1"/>
    <col min="14415" max="14415" width="13.140625" customWidth="1"/>
    <col min="14416" max="14416" width="17.5703125" customWidth="1"/>
    <col min="14417" max="14417" width="10.7109375" customWidth="1"/>
    <col min="14639" max="14639" width="7.7109375" customWidth="1"/>
    <col min="14640" max="14640" width="10.7109375" customWidth="1"/>
    <col min="14641" max="14641" width="12.85546875" customWidth="1"/>
    <col min="14642" max="14642" width="10.7109375" customWidth="1"/>
    <col min="14643" max="14643" width="13.140625" customWidth="1"/>
    <col min="14644" max="14644" width="10.5703125" customWidth="1"/>
    <col min="14645" max="14645" width="10.7109375" customWidth="1"/>
    <col min="14646" max="14646" width="28.42578125" customWidth="1"/>
    <col min="14647" max="14647" width="5.7109375" customWidth="1"/>
    <col min="14648" max="14648" width="18.42578125" customWidth="1"/>
    <col min="14649" max="14649" width="14" customWidth="1"/>
    <col min="14650" max="14650" width="11.42578125" customWidth="1"/>
    <col min="14651" max="14651" width="10.7109375" customWidth="1"/>
    <col min="14652" max="14652" width="14.85546875" customWidth="1"/>
    <col min="14653" max="14653" width="7.5703125" customWidth="1"/>
    <col min="14654" max="14654" width="12" customWidth="1"/>
    <col min="14655" max="14655" width="10.7109375" customWidth="1"/>
    <col min="14656" max="14656" width="12.7109375" customWidth="1"/>
    <col min="14657" max="14657" width="11.28515625" customWidth="1"/>
    <col min="14658" max="14661" width="10.7109375" customWidth="1"/>
    <col min="14662" max="14662" width="13.140625" customWidth="1"/>
    <col min="14663" max="14663" width="13.85546875" customWidth="1"/>
    <col min="14664" max="14664" width="13.42578125" customWidth="1"/>
    <col min="14665" max="14665" width="12.7109375" customWidth="1"/>
    <col min="14666" max="14666" width="17.140625" customWidth="1"/>
    <col min="14667" max="14667" width="19.28515625" customWidth="1"/>
    <col min="14668" max="14668" width="10.7109375" customWidth="1"/>
    <col min="14669" max="14670" width="18.5703125" customWidth="1"/>
    <col min="14671" max="14671" width="13.140625" customWidth="1"/>
    <col min="14672" max="14672" width="17.5703125" customWidth="1"/>
    <col min="14673" max="14673" width="10.7109375" customWidth="1"/>
    <col min="14895" max="14895" width="7.7109375" customWidth="1"/>
    <col min="14896" max="14896" width="10.7109375" customWidth="1"/>
    <col min="14897" max="14897" width="12.85546875" customWidth="1"/>
    <col min="14898" max="14898" width="10.7109375" customWidth="1"/>
    <col min="14899" max="14899" width="13.140625" customWidth="1"/>
    <col min="14900" max="14900" width="10.5703125" customWidth="1"/>
    <col min="14901" max="14901" width="10.7109375" customWidth="1"/>
    <col min="14902" max="14902" width="28.42578125" customWidth="1"/>
    <col min="14903" max="14903" width="5.7109375" customWidth="1"/>
    <col min="14904" max="14904" width="18.42578125" customWidth="1"/>
    <col min="14905" max="14905" width="14" customWidth="1"/>
    <col min="14906" max="14906" width="11.42578125" customWidth="1"/>
    <col min="14907" max="14907" width="10.7109375" customWidth="1"/>
    <col min="14908" max="14908" width="14.85546875" customWidth="1"/>
    <col min="14909" max="14909" width="7.5703125" customWidth="1"/>
    <col min="14910" max="14910" width="12" customWidth="1"/>
    <col min="14911" max="14911" width="10.7109375" customWidth="1"/>
    <col min="14912" max="14912" width="12.7109375" customWidth="1"/>
    <col min="14913" max="14913" width="11.28515625" customWidth="1"/>
    <col min="14914" max="14917" width="10.7109375" customWidth="1"/>
    <col min="14918" max="14918" width="13.140625" customWidth="1"/>
    <col min="14919" max="14919" width="13.85546875" customWidth="1"/>
    <col min="14920" max="14920" width="13.42578125" customWidth="1"/>
    <col min="14921" max="14921" width="12.7109375" customWidth="1"/>
    <col min="14922" max="14922" width="17.140625" customWidth="1"/>
    <col min="14923" max="14923" width="19.28515625" customWidth="1"/>
    <col min="14924" max="14924" width="10.7109375" customWidth="1"/>
    <col min="14925" max="14926" width="18.5703125" customWidth="1"/>
    <col min="14927" max="14927" width="13.140625" customWidth="1"/>
    <col min="14928" max="14928" width="17.5703125" customWidth="1"/>
    <col min="14929" max="14929" width="10.7109375" customWidth="1"/>
    <col min="15151" max="15151" width="7.7109375" customWidth="1"/>
    <col min="15152" max="15152" width="10.7109375" customWidth="1"/>
    <col min="15153" max="15153" width="12.85546875" customWidth="1"/>
    <col min="15154" max="15154" width="10.7109375" customWidth="1"/>
    <col min="15155" max="15155" width="13.140625" customWidth="1"/>
    <col min="15156" max="15156" width="10.5703125" customWidth="1"/>
    <col min="15157" max="15157" width="10.7109375" customWidth="1"/>
    <col min="15158" max="15158" width="28.42578125" customWidth="1"/>
    <col min="15159" max="15159" width="5.7109375" customWidth="1"/>
    <col min="15160" max="15160" width="18.42578125" customWidth="1"/>
    <col min="15161" max="15161" width="14" customWidth="1"/>
    <col min="15162" max="15162" width="11.42578125" customWidth="1"/>
    <col min="15163" max="15163" width="10.7109375" customWidth="1"/>
    <col min="15164" max="15164" width="14.85546875" customWidth="1"/>
    <col min="15165" max="15165" width="7.5703125" customWidth="1"/>
    <col min="15166" max="15166" width="12" customWidth="1"/>
    <col min="15167" max="15167" width="10.7109375" customWidth="1"/>
    <col min="15168" max="15168" width="12.7109375" customWidth="1"/>
    <col min="15169" max="15169" width="11.28515625" customWidth="1"/>
    <col min="15170" max="15173" width="10.7109375" customWidth="1"/>
    <col min="15174" max="15174" width="13.140625" customWidth="1"/>
    <col min="15175" max="15175" width="13.85546875" customWidth="1"/>
    <col min="15176" max="15176" width="13.42578125" customWidth="1"/>
    <col min="15177" max="15177" width="12.7109375" customWidth="1"/>
    <col min="15178" max="15178" width="17.140625" customWidth="1"/>
    <col min="15179" max="15179" width="19.28515625" customWidth="1"/>
    <col min="15180" max="15180" width="10.7109375" customWidth="1"/>
    <col min="15181" max="15182" width="18.5703125" customWidth="1"/>
    <col min="15183" max="15183" width="13.140625" customWidth="1"/>
    <col min="15184" max="15184" width="17.5703125" customWidth="1"/>
    <col min="15185" max="15185" width="10.7109375" customWidth="1"/>
    <col min="15407" max="15407" width="7.7109375" customWidth="1"/>
    <col min="15408" max="15408" width="10.7109375" customWidth="1"/>
    <col min="15409" max="15409" width="12.85546875" customWidth="1"/>
    <col min="15410" max="15410" width="10.7109375" customWidth="1"/>
    <col min="15411" max="15411" width="13.140625" customWidth="1"/>
    <col min="15412" max="15412" width="10.5703125" customWidth="1"/>
    <col min="15413" max="15413" width="10.7109375" customWidth="1"/>
    <col min="15414" max="15414" width="28.42578125" customWidth="1"/>
    <col min="15415" max="15415" width="5.7109375" customWidth="1"/>
    <col min="15416" max="15416" width="18.42578125" customWidth="1"/>
    <col min="15417" max="15417" width="14" customWidth="1"/>
    <col min="15418" max="15418" width="11.42578125" customWidth="1"/>
    <col min="15419" max="15419" width="10.7109375" customWidth="1"/>
    <col min="15420" max="15420" width="14.85546875" customWidth="1"/>
    <col min="15421" max="15421" width="7.5703125" customWidth="1"/>
    <col min="15422" max="15422" width="12" customWidth="1"/>
    <col min="15423" max="15423" width="10.7109375" customWidth="1"/>
    <col min="15424" max="15424" width="12.7109375" customWidth="1"/>
    <col min="15425" max="15425" width="11.28515625" customWidth="1"/>
    <col min="15426" max="15429" width="10.7109375" customWidth="1"/>
    <col min="15430" max="15430" width="13.140625" customWidth="1"/>
    <col min="15431" max="15431" width="13.85546875" customWidth="1"/>
    <col min="15432" max="15432" width="13.42578125" customWidth="1"/>
    <col min="15433" max="15433" width="12.7109375" customWidth="1"/>
    <col min="15434" max="15434" width="17.140625" customWidth="1"/>
    <col min="15435" max="15435" width="19.28515625" customWidth="1"/>
    <col min="15436" max="15436" width="10.7109375" customWidth="1"/>
    <col min="15437" max="15438" width="18.5703125" customWidth="1"/>
    <col min="15439" max="15439" width="13.140625" customWidth="1"/>
    <col min="15440" max="15440" width="17.5703125" customWidth="1"/>
    <col min="15441" max="15441" width="10.7109375" customWidth="1"/>
    <col min="15663" max="15663" width="7.7109375" customWidth="1"/>
    <col min="15664" max="15664" width="10.7109375" customWidth="1"/>
    <col min="15665" max="15665" width="12.85546875" customWidth="1"/>
    <col min="15666" max="15666" width="10.7109375" customWidth="1"/>
    <col min="15667" max="15667" width="13.140625" customWidth="1"/>
    <col min="15668" max="15668" width="10.5703125" customWidth="1"/>
    <col min="15669" max="15669" width="10.7109375" customWidth="1"/>
    <col min="15670" max="15670" width="28.42578125" customWidth="1"/>
    <col min="15671" max="15671" width="5.7109375" customWidth="1"/>
    <col min="15672" max="15672" width="18.42578125" customWidth="1"/>
    <col min="15673" max="15673" width="14" customWidth="1"/>
    <col min="15674" max="15674" width="11.42578125" customWidth="1"/>
    <col min="15675" max="15675" width="10.7109375" customWidth="1"/>
    <col min="15676" max="15676" width="14.85546875" customWidth="1"/>
    <col min="15677" max="15677" width="7.5703125" customWidth="1"/>
    <col min="15678" max="15678" width="12" customWidth="1"/>
    <col min="15679" max="15679" width="10.7109375" customWidth="1"/>
    <col min="15680" max="15680" width="12.7109375" customWidth="1"/>
    <col min="15681" max="15681" width="11.28515625" customWidth="1"/>
    <col min="15682" max="15685" width="10.7109375" customWidth="1"/>
    <col min="15686" max="15686" width="13.140625" customWidth="1"/>
    <col min="15687" max="15687" width="13.85546875" customWidth="1"/>
    <col min="15688" max="15688" width="13.42578125" customWidth="1"/>
    <col min="15689" max="15689" width="12.7109375" customWidth="1"/>
    <col min="15690" max="15690" width="17.140625" customWidth="1"/>
    <col min="15691" max="15691" width="19.28515625" customWidth="1"/>
    <col min="15692" max="15692" width="10.7109375" customWidth="1"/>
    <col min="15693" max="15694" width="18.5703125" customWidth="1"/>
    <col min="15695" max="15695" width="13.140625" customWidth="1"/>
    <col min="15696" max="15696" width="17.5703125" customWidth="1"/>
    <col min="15697" max="15697" width="10.7109375" customWidth="1"/>
    <col min="15919" max="15919" width="7.7109375" customWidth="1"/>
    <col min="15920" max="15920" width="10.7109375" customWidth="1"/>
    <col min="15921" max="15921" width="12.85546875" customWidth="1"/>
    <col min="15922" max="15922" width="10.7109375" customWidth="1"/>
    <col min="15923" max="15923" width="13.140625" customWidth="1"/>
    <col min="15924" max="15924" width="10.5703125" customWidth="1"/>
    <col min="15925" max="15925" width="10.7109375" customWidth="1"/>
    <col min="15926" max="15926" width="28.42578125" customWidth="1"/>
    <col min="15927" max="15927" width="5.7109375" customWidth="1"/>
    <col min="15928" max="15928" width="18.42578125" customWidth="1"/>
    <col min="15929" max="15929" width="14" customWidth="1"/>
    <col min="15930" max="15930" width="11.42578125" customWidth="1"/>
    <col min="15931" max="15931" width="10.7109375" customWidth="1"/>
    <col min="15932" max="15932" width="14.85546875" customWidth="1"/>
    <col min="15933" max="15933" width="7.5703125" customWidth="1"/>
    <col min="15934" max="15934" width="12" customWidth="1"/>
    <col min="15935" max="15935" width="10.7109375" customWidth="1"/>
    <col min="15936" max="15936" width="12.7109375" customWidth="1"/>
    <col min="15937" max="15937" width="11.28515625" customWidth="1"/>
    <col min="15938" max="15941" width="10.7109375" customWidth="1"/>
    <col min="15942" max="15942" width="13.140625" customWidth="1"/>
    <col min="15943" max="15943" width="13.85546875" customWidth="1"/>
    <col min="15944" max="15944" width="13.42578125" customWidth="1"/>
    <col min="15945" max="15945" width="12.7109375" customWidth="1"/>
    <col min="15946" max="15946" width="17.140625" customWidth="1"/>
    <col min="15947" max="15947" width="19.28515625" customWidth="1"/>
    <col min="15948" max="15948" width="10.7109375" customWidth="1"/>
    <col min="15949" max="15950" width="18.5703125" customWidth="1"/>
    <col min="15951" max="15951" width="13.140625" customWidth="1"/>
    <col min="15952" max="15952" width="17.5703125" customWidth="1"/>
    <col min="15953" max="15953" width="10.7109375" customWidth="1"/>
    <col min="16175" max="16175" width="7.7109375" customWidth="1"/>
    <col min="16176" max="16176" width="10.7109375" customWidth="1"/>
    <col min="16177" max="16177" width="12.85546875" customWidth="1"/>
    <col min="16178" max="16178" width="10.7109375" customWidth="1"/>
    <col min="16179" max="16179" width="13.140625" customWidth="1"/>
    <col min="16180" max="16180" width="10.5703125" customWidth="1"/>
    <col min="16181" max="16181" width="10.7109375" customWidth="1"/>
    <col min="16182" max="16182" width="28.42578125" customWidth="1"/>
    <col min="16183" max="16183" width="5.7109375" customWidth="1"/>
    <col min="16184" max="16184" width="18.42578125" customWidth="1"/>
    <col min="16185" max="16185" width="14" customWidth="1"/>
    <col min="16186" max="16186" width="11.42578125" customWidth="1"/>
    <col min="16187" max="16187" width="10.7109375" customWidth="1"/>
    <col min="16188" max="16188" width="14.85546875" customWidth="1"/>
    <col min="16189" max="16189" width="7.5703125" customWidth="1"/>
    <col min="16190" max="16190" width="12" customWidth="1"/>
    <col min="16191" max="16191" width="10.7109375" customWidth="1"/>
    <col min="16192" max="16192" width="12.7109375" customWidth="1"/>
    <col min="16193" max="16193" width="11.28515625" customWidth="1"/>
    <col min="16194" max="16197" width="10.7109375" customWidth="1"/>
    <col min="16198" max="16198" width="13.140625" customWidth="1"/>
    <col min="16199" max="16199" width="13.85546875" customWidth="1"/>
    <col min="16200" max="16200" width="13.42578125" customWidth="1"/>
    <col min="16201" max="16201" width="12.7109375" customWidth="1"/>
    <col min="16202" max="16202" width="17.140625" customWidth="1"/>
    <col min="16203" max="16203" width="19.28515625" customWidth="1"/>
    <col min="16204" max="16204" width="10.7109375" customWidth="1"/>
    <col min="16205" max="16206" width="18.5703125" customWidth="1"/>
    <col min="16207" max="16207" width="13.140625" customWidth="1"/>
    <col min="16208" max="16208" width="17.5703125" customWidth="1"/>
    <col min="16209" max="16209" width="10.7109375" customWidth="1"/>
  </cols>
  <sheetData>
    <row r="1" ht="12.95" customHeight="1" x14ac:dyDescent="0.25"/>
    <row r="2" ht="15.95" customHeight="1" x14ac:dyDescent="0.25"/>
    <row r="3" ht="15.95" customHeight="1" x14ac:dyDescent="0.25"/>
    <row r="4" ht="15.95" customHeight="1" x14ac:dyDescent="0.25"/>
    <row r="5" ht="15.95" customHeight="1" x14ac:dyDescent="0.25"/>
    <row r="6" ht="15.95" customHeight="1" x14ac:dyDescent="0.25"/>
    <row r="7" ht="15.95" customHeight="1" x14ac:dyDescent="0.25"/>
    <row r="8" ht="15.95" customHeight="1" x14ac:dyDescent="0.25"/>
    <row r="9" ht="15.95" customHeight="1" x14ac:dyDescent="0.25"/>
    <row r="10" ht="15.95" customHeight="1" x14ac:dyDescent="0.25"/>
    <row r="11" ht="15.95" customHeight="1" x14ac:dyDescent="0.25"/>
    <row r="12" ht="15.95" customHeight="1" x14ac:dyDescent="0.25"/>
    <row r="13" ht="15.95" customHeight="1" x14ac:dyDescent="0.25"/>
    <row r="14" ht="15.95" customHeight="1" x14ac:dyDescent="0.25"/>
    <row r="15" ht="15.95" customHeight="1" x14ac:dyDescent="0.25"/>
    <row r="16" ht="15.95" customHeight="1" x14ac:dyDescent="0.25"/>
    <row r="17" ht="15.95" customHeight="1" x14ac:dyDescent="0.25"/>
    <row r="18" ht="15.95" customHeight="1" x14ac:dyDescent="0.25"/>
    <row r="19" ht="15.95" customHeight="1" x14ac:dyDescent="0.25"/>
    <row r="20" ht="15.95" customHeight="1" x14ac:dyDescent="0.25"/>
    <row r="21" ht="15.95" customHeight="1" x14ac:dyDescent="0.25"/>
    <row r="22" ht="15.95" customHeight="1" x14ac:dyDescent="0.25"/>
    <row r="23" ht="15.95" customHeight="1" x14ac:dyDescent="0.25"/>
    <row r="24" ht="15.95" customHeight="1" x14ac:dyDescent="0.25"/>
    <row r="25" ht="15.95" customHeight="1" x14ac:dyDescent="0.25"/>
    <row r="26" ht="15.95" customHeight="1" x14ac:dyDescent="0.25"/>
    <row r="27" ht="15.95" customHeight="1" x14ac:dyDescent="0.25"/>
    <row r="28" ht="15.95" customHeight="1" x14ac:dyDescent="0.25"/>
    <row r="29" ht="15.95" customHeight="1" x14ac:dyDescent="0.25"/>
    <row r="30" ht="15.95" customHeight="1" x14ac:dyDescent="0.25"/>
    <row r="31" ht="15.95" customHeight="1" x14ac:dyDescent="0.25"/>
    <row r="32" ht="15.95" customHeight="1" x14ac:dyDescent="0.25"/>
    <row r="33" ht="15.95" customHeight="1" x14ac:dyDescent="0.25"/>
    <row r="34" ht="15.95" customHeight="1" x14ac:dyDescent="0.25"/>
    <row r="35" ht="15.95" customHeight="1" x14ac:dyDescent="0.25"/>
    <row r="36" ht="15.95" customHeight="1" x14ac:dyDescent="0.25"/>
    <row r="37" ht="15.95" customHeight="1" x14ac:dyDescent="0.25"/>
    <row r="38" ht="15.95" customHeight="1" x14ac:dyDescent="0.25"/>
    <row r="39" ht="15.95" customHeight="1" x14ac:dyDescent="0.25"/>
    <row r="40" ht="15.95" customHeight="1" x14ac:dyDescent="0.25"/>
    <row r="41" ht="15.95" customHeight="1" x14ac:dyDescent="0.25"/>
    <row r="42" ht="15.95" customHeight="1" x14ac:dyDescent="0.25"/>
    <row r="43" ht="15.95" customHeight="1" x14ac:dyDescent="0.25"/>
    <row r="44" ht="15.95" customHeight="1" x14ac:dyDescent="0.25"/>
    <row r="45" ht="15.95" customHeight="1" x14ac:dyDescent="0.25"/>
    <row r="46" ht="15.95" customHeight="1" x14ac:dyDescent="0.25"/>
    <row r="47" ht="15.95" customHeight="1" x14ac:dyDescent="0.25"/>
    <row r="48" ht="15.95" customHeight="1" x14ac:dyDescent="0.25"/>
    <row r="49" ht="15.95" customHeight="1" x14ac:dyDescent="0.25"/>
    <row r="50" ht="15.95" customHeight="1" x14ac:dyDescent="0.25"/>
    <row r="51" ht="15.95" customHeight="1" x14ac:dyDescent="0.25"/>
    <row r="52" ht="15.95" customHeight="1" x14ac:dyDescent="0.25"/>
    <row r="53" ht="15.95" customHeight="1" x14ac:dyDescent="0.25"/>
    <row r="54" ht="15.95" customHeight="1" x14ac:dyDescent="0.25"/>
    <row r="55" ht="15.95" customHeight="1" x14ac:dyDescent="0.25"/>
    <row r="56" ht="15.95" customHeight="1" x14ac:dyDescent="0.25"/>
    <row r="57" ht="15.95" customHeight="1" x14ac:dyDescent="0.25"/>
    <row r="58" ht="15.95" customHeight="1" x14ac:dyDescent="0.25"/>
    <row r="59" ht="15.95" customHeight="1" x14ac:dyDescent="0.25"/>
    <row r="60" ht="15.95" customHeight="1" x14ac:dyDescent="0.25"/>
    <row r="61" ht="15.95" customHeight="1" x14ac:dyDescent="0.25"/>
    <row r="62" ht="15.95" customHeight="1" x14ac:dyDescent="0.25"/>
    <row r="63" ht="15.95" customHeight="1" x14ac:dyDescent="0.25"/>
    <row r="64" ht="15.95" customHeight="1" x14ac:dyDescent="0.25"/>
    <row r="65" ht="15.95" customHeight="1" x14ac:dyDescent="0.25"/>
    <row r="66" ht="15.95" customHeight="1" x14ac:dyDescent="0.25"/>
    <row r="67" ht="15.95" customHeight="1" x14ac:dyDescent="0.25"/>
    <row r="68" ht="15.95" customHeight="1" x14ac:dyDescent="0.25"/>
    <row r="69" ht="15.95" customHeight="1" x14ac:dyDescent="0.25"/>
    <row r="70" ht="15.95" customHeight="1" x14ac:dyDescent="0.25"/>
    <row r="71" ht="15.95" customHeight="1" x14ac:dyDescent="0.25"/>
    <row r="72" ht="15.95" customHeight="1" x14ac:dyDescent="0.25"/>
    <row r="73" ht="15.95" customHeight="1" x14ac:dyDescent="0.25"/>
    <row r="74" ht="15.95" customHeight="1" x14ac:dyDescent="0.25"/>
    <row r="75" ht="15.95" customHeight="1" x14ac:dyDescent="0.25"/>
    <row r="76" ht="15.95" customHeight="1" x14ac:dyDescent="0.25"/>
    <row r="77" ht="15.95" customHeight="1" x14ac:dyDescent="0.25"/>
    <row r="78" ht="15.95" customHeight="1" x14ac:dyDescent="0.25"/>
    <row r="79" ht="15.95" customHeight="1" x14ac:dyDescent="0.25"/>
    <row r="80" ht="15.95" customHeight="1" x14ac:dyDescent="0.25"/>
    <row r="81" ht="15.95" customHeight="1" x14ac:dyDescent="0.25"/>
    <row r="82" ht="15.95" customHeight="1" x14ac:dyDescent="0.25"/>
    <row r="83" ht="15.95" customHeight="1" x14ac:dyDescent="0.25"/>
    <row r="84" ht="15.95" customHeight="1" x14ac:dyDescent="0.25"/>
    <row r="85" ht="15.95" customHeight="1" x14ac:dyDescent="0.25"/>
    <row r="86" ht="15.95" customHeight="1" x14ac:dyDescent="0.25"/>
    <row r="87" ht="15.95" customHeight="1" x14ac:dyDescent="0.25"/>
    <row r="88" ht="15.95" customHeight="1" x14ac:dyDescent="0.25"/>
    <row r="89" ht="15.95" customHeight="1" x14ac:dyDescent="0.25"/>
    <row r="90" ht="15.95" customHeight="1" x14ac:dyDescent="0.25"/>
    <row r="91" ht="15.95" customHeight="1" x14ac:dyDescent="0.25"/>
    <row r="92" ht="15.95" customHeight="1" x14ac:dyDescent="0.25"/>
    <row r="93" ht="15.95" customHeight="1" x14ac:dyDescent="0.25"/>
    <row r="94" ht="15.95" customHeight="1" x14ac:dyDescent="0.25"/>
    <row r="95" ht="15.95" customHeight="1" x14ac:dyDescent="0.25"/>
    <row r="96" ht="15.95" customHeight="1" x14ac:dyDescent="0.25"/>
    <row r="97" ht="15.95" customHeight="1" x14ac:dyDescent="0.25"/>
    <row r="98" ht="15.95" customHeight="1" x14ac:dyDescent="0.25"/>
    <row r="99" ht="15.95" customHeight="1" x14ac:dyDescent="0.25"/>
    <row r="100" ht="15.95" customHeight="1" x14ac:dyDescent="0.25"/>
    <row r="101" ht="15.95" customHeight="1" x14ac:dyDescent="0.25"/>
    <row r="102" ht="15.95" customHeight="1" x14ac:dyDescent="0.25"/>
    <row r="103" ht="15.95" customHeight="1" x14ac:dyDescent="0.25"/>
    <row r="104" ht="15.95" customHeight="1" x14ac:dyDescent="0.25"/>
    <row r="105" ht="15.95" customHeight="1" x14ac:dyDescent="0.25"/>
    <row r="106" ht="15.95" customHeight="1" x14ac:dyDescent="0.25"/>
    <row r="107" ht="15.95" customHeight="1" x14ac:dyDescent="0.25"/>
    <row r="108" ht="15.95" customHeight="1" x14ac:dyDescent="0.25"/>
    <row r="109" ht="15.95" customHeight="1" x14ac:dyDescent="0.25"/>
    <row r="110" ht="15.95" customHeight="1" x14ac:dyDescent="0.25"/>
    <row r="111" ht="15.95" customHeight="1" x14ac:dyDescent="0.25"/>
    <row r="112" ht="15.95" customHeight="1" x14ac:dyDescent="0.25"/>
    <row r="113" ht="15.95" customHeight="1" x14ac:dyDescent="0.25"/>
    <row r="114" ht="15.95" customHeight="1" x14ac:dyDescent="0.25"/>
    <row r="115" ht="15.95" customHeight="1" x14ac:dyDescent="0.25"/>
    <row r="116" ht="15.95" customHeight="1" x14ac:dyDescent="0.25"/>
    <row r="117" ht="15.95" customHeight="1" x14ac:dyDescent="0.25"/>
    <row r="118" ht="15.95" customHeight="1" x14ac:dyDescent="0.25"/>
    <row r="119" ht="15.95" customHeight="1" x14ac:dyDescent="0.25"/>
    <row r="120" ht="15.95" customHeight="1" x14ac:dyDescent="0.25"/>
    <row r="121" ht="15.95" customHeight="1" x14ac:dyDescent="0.25"/>
    <row r="122" ht="15.95" customHeight="1" x14ac:dyDescent="0.25"/>
    <row r="123" ht="15.95" customHeight="1" x14ac:dyDescent="0.25"/>
    <row r="124" ht="15.95" customHeight="1" x14ac:dyDescent="0.25"/>
    <row r="125" ht="15.95" customHeight="1" x14ac:dyDescent="0.25"/>
    <row r="126" ht="15.95" customHeight="1" x14ac:dyDescent="0.25"/>
    <row r="127" ht="15.95" customHeight="1" x14ac:dyDescent="0.25"/>
    <row r="128" ht="15.95" customHeight="1" x14ac:dyDescent="0.25"/>
    <row r="129" ht="15.95" customHeight="1" x14ac:dyDescent="0.25"/>
    <row r="130" ht="15.95" customHeight="1" x14ac:dyDescent="0.25"/>
    <row r="131" ht="15.95" customHeight="1" x14ac:dyDescent="0.25"/>
    <row r="132" ht="15.95" customHeight="1" x14ac:dyDescent="0.25"/>
    <row r="133" ht="15.95" customHeight="1" x14ac:dyDescent="0.25"/>
    <row r="134" ht="15.95" customHeight="1" x14ac:dyDescent="0.25"/>
    <row r="135" ht="15.95" customHeight="1" x14ac:dyDescent="0.25"/>
    <row r="136" ht="15.95" customHeight="1" x14ac:dyDescent="0.25"/>
    <row r="137" ht="15.95" customHeight="1" x14ac:dyDescent="0.25"/>
    <row r="138" ht="15.95" customHeight="1" x14ac:dyDescent="0.25"/>
    <row r="139" ht="15.95" customHeight="1" x14ac:dyDescent="0.25"/>
    <row r="140" ht="15.95" customHeight="1" x14ac:dyDescent="0.25"/>
    <row r="141" ht="15.95" customHeight="1" x14ac:dyDescent="0.25"/>
    <row r="142" ht="15.95" customHeight="1" x14ac:dyDescent="0.25"/>
    <row r="143" ht="15.95" customHeight="1" x14ac:dyDescent="0.25"/>
    <row r="144" ht="15.95" customHeight="1" x14ac:dyDescent="0.25"/>
    <row r="145" ht="15.95" customHeight="1" x14ac:dyDescent="0.25"/>
    <row r="146" ht="15.95" customHeight="1" x14ac:dyDescent="0.25"/>
    <row r="147" ht="15.95" customHeight="1" x14ac:dyDescent="0.25"/>
    <row r="148" ht="15.95" customHeight="1" x14ac:dyDescent="0.25"/>
    <row r="149" ht="15.95" customHeight="1" x14ac:dyDescent="0.25"/>
    <row r="150" ht="15.95" customHeight="1" x14ac:dyDescent="0.25"/>
    <row r="151" ht="15.95" customHeight="1" x14ac:dyDescent="0.25"/>
    <row r="152" ht="15.95" customHeight="1" x14ac:dyDescent="0.25"/>
    <row r="153" ht="15.95" customHeight="1" x14ac:dyDescent="0.25"/>
    <row r="154" ht="15.95" customHeight="1" x14ac:dyDescent="0.25"/>
    <row r="155" ht="15.95" customHeight="1" x14ac:dyDescent="0.25"/>
    <row r="156" ht="15.95" customHeight="1" x14ac:dyDescent="0.25"/>
    <row r="157" ht="15.95" customHeight="1" x14ac:dyDescent="0.25"/>
    <row r="158" ht="15.95" customHeight="1" x14ac:dyDescent="0.25"/>
    <row r="159" ht="15.95" customHeight="1" x14ac:dyDescent="0.25"/>
    <row r="160" ht="15.95" customHeight="1" x14ac:dyDescent="0.25"/>
    <row r="161" ht="15.95" customHeight="1" x14ac:dyDescent="0.25"/>
    <row r="162" ht="15.95" customHeight="1" x14ac:dyDescent="0.25"/>
    <row r="163" ht="15.95" customHeight="1" x14ac:dyDescent="0.25"/>
    <row r="164" ht="15.95" customHeight="1" x14ac:dyDescent="0.25"/>
    <row r="165" ht="15.95" customHeight="1" x14ac:dyDescent="0.25"/>
    <row r="166" ht="15.95" customHeight="1" x14ac:dyDescent="0.25"/>
    <row r="167" ht="15.95" customHeight="1" x14ac:dyDescent="0.25"/>
    <row r="168" ht="15.95" customHeight="1" x14ac:dyDescent="0.25"/>
    <row r="169" ht="15.95" customHeight="1" x14ac:dyDescent="0.25"/>
    <row r="170" ht="15.95" customHeight="1" x14ac:dyDescent="0.25"/>
    <row r="171" ht="15.95" customHeight="1" x14ac:dyDescent="0.25"/>
    <row r="172" ht="15.95" customHeight="1" x14ac:dyDescent="0.25"/>
    <row r="173" ht="15.95" customHeight="1" x14ac:dyDescent="0.25"/>
    <row r="174" ht="15.95" customHeight="1" x14ac:dyDescent="0.25"/>
    <row r="175" ht="15.95" customHeight="1" x14ac:dyDescent="0.25"/>
    <row r="176" ht="15.95" customHeight="1" x14ac:dyDescent="0.25"/>
    <row r="177" ht="15.95" customHeight="1" x14ac:dyDescent="0.25"/>
    <row r="178" ht="15.95" customHeight="1" x14ac:dyDescent="0.25"/>
    <row r="179" ht="15.95" customHeight="1" x14ac:dyDescent="0.25"/>
    <row r="180" ht="15.95" customHeight="1" x14ac:dyDescent="0.25"/>
    <row r="181" ht="15.95" customHeight="1" x14ac:dyDescent="0.25"/>
    <row r="182" ht="15.95" customHeight="1" x14ac:dyDescent="0.25"/>
    <row r="183" ht="15.95" customHeight="1" x14ac:dyDescent="0.25"/>
    <row r="184" ht="15.95" customHeight="1" x14ac:dyDescent="0.25"/>
    <row r="185" ht="15.95" customHeight="1" x14ac:dyDescent="0.25"/>
    <row r="186" ht="15.95" customHeight="1" x14ac:dyDescent="0.25"/>
    <row r="187" ht="15.95" customHeight="1" x14ac:dyDescent="0.25"/>
    <row r="188" ht="15.95" customHeight="1" x14ac:dyDescent="0.25"/>
    <row r="189" ht="15.95" customHeight="1" x14ac:dyDescent="0.25"/>
    <row r="190" ht="15.95" customHeight="1" x14ac:dyDescent="0.25"/>
    <row r="191" ht="15.95" customHeight="1" x14ac:dyDescent="0.25"/>
    <row r="192" ht="15.95" customHeight="1" x14ac:dyDescent="0.25"/>
    <row r="193" ht="15.95" customHeight="1" x14ac:dyDescent="0.25"/>
    <row r="194" ht="15.95" customHeight="1" x14ac:dyDescent="0.25"/>
    <row r="195" ht="15.95" customHeight="1" x14ac:dyDescent="0.25"/>
    <row r="196" ht="15.95" customHeight="1" x14ac:dyDescent="0.25"/>
    <row r="197" ht="15.95" customHeight="1" x14ac:dyDescent="0.25"/>
    <row r="198" ht="15.95" customHeight="1" x14ac:dyDescent="0.25"/>
    <row r="199" ht="15.95" customHeight="1" x14ac:dyDescent="0.25"/>
    <row r="200" ht="15.95" customHeight="1" x14ac:dyDescent="0.25"/>
    <row r="201" ht="15.95" customHeight="1" x14ac:dyDescent="0.25"/>
    <row r="202" ht="15.95" customHeight="1" x14ac:dyDescent="0.25"/>
    <row r="203" ht="15.95" customHeight="1" x14ac:dyDescent="0.25"/>
    <row r="204" ht="15.95" customHeight="1" x14ac:dyDescent="0.25"/>
    <row r="205" ht="15.95" customHeight="1" x14ac:dyDescent="0.25"/>
    <row r="206" ht="15.95" customHeight="1" x14ac:dyDescent="0.25"/>
    <row r="207" ht="15.95" customHeight="1" x14ac:dyDescent="0.25"/>
    <row r="208" ht="15.95" customHeight="1" x14ac:dyDescent="0.25"/>
    <row r="209" ht="15.95" customHeight="1" x14ac:dyDescent="0.25"/>
    <row r="210" ht="15.95" customHeight="1" x14ac:dyDescent="0.25"/>
    <row r="211" ht="15.95" customHeight="1" x14ac:dyDescent="0.25"/>
    <row r="212" ht="15.95" customHeight="1" x14ac:dyDescent="0.25"/>
    <row r="213" ht="15.95" customHeight="1" x14ac:dyDescent="0.25"/>
    <row r="214" ht="15.95" customHeight="1" x14ac:dyDescent="0.25"/>
    <row r="215" ht="15.95" customHeight="1" x14ac:dyDescent="0.25"/>
    <row r="216" ht="15.95" customHeight="1" x14ac:dyDescent="0.25"/>
    <row r="217" ht="15.95" customHeight="1" x14ac:dyDescent="0.25"/>
    <row r="218" ht="15.95" customHeight="1" x14ac:dyDescent="0.25"/>
    <row r="219" ht="15.95" customHeight="1" x14ac:dyDescent="0.25"/>
    <row r="220" ht="15.95" customHeight="1" x14ac:dyDescent="0.25"/>
    <row r="221" ht="15.95" customHeight="1" x14ac:dyDescent="0.25"/>
    <row r="222" ht="15.95" customHeight="1" x14ac:dyDescent="0.25"/>
    <row r="223" ht="15.95" customHeight="1" x14ac:dyDescent="0.25"/>
    <row r="224" ht="15.95" customHeight="1" x14ac:dyDescent="0.25"/>
    <row r="225" ht="15.95" customHeight="1" x14ac:dyDescent="0.25"/>
    <row r="226" ht="15.95" customHeight="1" x14ac:dyDescent="0.25"/>
    <row r="227" ht="15.95" customHeight="1" x14ac:dyDescent="0.25"/>
    <row r="228" ht="15.95" customHeight="1" x14ac:dyDescent="0.25"/>
    <row r="229" ht="15.95" customHeight="1" x14ac:dyDescent="0.25"/>
    <row r="230" ht="15.95" customHeight="1" x14ac:dyDescent="0.25"/>
    <row r="231" ht="15.95" customHeight="1" x14ac:dyDescent="0.25"/>
    <row r="232" ht="15.95" customHeight="1" x14ac:dyDescent="0.25"/>
    <row r="233" ht="15.95" customHeight="1" x14ac:dyDescent="0.25"/>
    <row r="234" ht="15.95" customHeight="1" x14ac:dyDescent="0.25"/>
    <row r="235" ht="15.95" customHeight="1" x14ac:dyDescent="0.25"/>
    <row r="236" ht="15.95" customHeight="1" x14ac:dyDescent="0.25"/>
    <row r="237" ht="15.95" customHeight="1" x14ac:dyDescent="0.25"/>
    <row r="238" ht="15.95" customHeight="1" x14ac:dyDescent="0.25"/>
    <row r="239" ht="15.95" customHeight="1" x14ac:dyDescent="0.25"/>
    <row r="240" ht="15.95" customHeight="1" x14ac:dyDescent="0.25"/>
    <row r="241" ht="15.95" customHeight="1" x14ac:dyDescent="0.25"/>
    <row r="242" ht="15.95" customHeight="1" x14ac:dyDescent="0.25"/>
    <row r="243" ht="15.95" customHeight="1" x14ac:dyDescent="0.25"/>
    <row r="244" ht="15.95" customHeight="1" x14ac:dyDescent="0.25"/>
    <row r="245" ht="15.95" customHeight="1" x14ac:dyDescent="0.25"/>
    <row r="246" ht="15.95" customHeight="1" x14ac:dyDescent="0.25"/>
    <row r="247" ht="15.95" customHeight="1" x14ac:dyDescent="0.25"/>
    <row r="248" ht="15.95" customHeight="1" x14ac:dyDescent="0.25"/>
    <row r="249" ht="15.95" customHeight="1" x14ac:dyDescent="0.25"/>
    <row r="250" ht="15.95" customHeight="1" x14ac:dyDescent="0.25"/>
    <row r="251" ht="15.95" customHeight="1" x14ac:dyDescent="0.25"/>
    <row r="252" ht="15.95" customHeight="1" x14ac:dyDescent="0.25"/>
    <row r="253" ht="15.95" customHeight="1" x14ac:dyDescent="0.25"/>
    <row r="254" ht="15.95" customHeight="1" x14ac:dyDescent="0.25"/>
    <row r="255" ht="15.95" customHeight="1" x14ac:dyDescent="0.25"/>
    <row r="256" ht="15.95" customHeight="1" x14ac:dyDescent="0.25"/>
    <row r="257" ht="15.95" customHeight="1" x14ac:dyDescent="0.25"/>
    <row r="258" ht="15.95" customHeight="1" x14ac:dyDescent="0.25"/>
    <row r="259" ht="15.95" customHeight="1" x14ac:dyDescent="0.25"/>
    <row r="260" ht="15.95" customHeight="1" x14ac:dyDescent="0.25"/>
    <row r="261" ht="15.95" customHeight="1" x14ac:dyDescent="0.25"/>
    <row r="262" ht="15.95" customHeight="1" x14ac:dyDescent="0.25"/>
    <row r="263" ht="15.95" customHeight="1" x14ac:dyDescent="0.25"/>
    <row r="264" ht="15.95" customHeight="1" x14ac:dyDescent="0.25"/>
    <row r="265" ht="15.95" customHeight="1" x14ac:dyDescent="0.25"/>
    <row r="266" ht="15.95" customHeight="1" x14ac:dyDescent="0.25"/>
    <row r="267" ht="15.95" customHeight="1" x14ac:dyDescent="0.25"/>
    <row r="268" ht="15.95" customHeight="1" x14ac:dyDescent="0.25"/>
    <row r="269" ht="15.95" customHeight="1" x14ac:dyDescent="0.25"/>
    <row r="270" ht="15.95" customHeight="1" x14ac:dyDescent="0.25"/>
    <row r="271" ht="15.95" customHeight="1" x14ac:dyDescent="0.25"/>
    <row r="272" ht="15.95" customHeight="1" x14ac:dyDescent="0.25"/>
    <row r="273" ht="15.95" customHeight="1" x14ac:dyDescent="0.25"/>
    <row r="274" ht="15.95" customHeight="1" x14ac:dyDescent="0.25"/>
    <row r="275" ht="15.95" customHeight="1" x14ac:dyDescent="0.25"/>
    <row r="276" ht="15.95" customHeight="1" x14ac:dyDescent="0.25"/>
    <row r="277" ht="15.95" customHeight="1" x14ac:dyDescent="0.25"/>
    <row r="278" ht="15.95" customHeight="1" x14ac:dyDescent="0.25"/>
    <row r="279" ht="15.95" customHeight="1" x14ac:dyDescent="0.25"/>
    <row r="280" ht="15.95" customHeight="1" x14ac:dyDescent="0.25"/>
    <row r="281" ht="15.95" customHeight="1" x14ac:dyDescent="0.25"/>
    <row r="282" ht="15.95" customHeight="1" x14ac:dyDescent="0.25"/>
    <row r="283" ht="15.95" customHeight="1" x14ac:dyDescent="0.25"/>
    <row r="284" ht="15.95" customHeight="1" x14ac:dyDescent="0.25"/>
    <row r="285" ht="15.95" customHeight="1" x14ac:dyDescent="0.25"/>
    <row r="286" ht="15.95" customHeight="1" x14ac:dyDescent="0.25"/>
    <row r="287" ht="15.95" customHeight="1" x14ac:dyDescent="0.25"/>
    <row r="288" ht="15.95" customHeight="1" x14ac:dyDescent="0.25"/>
    <row r="289" ht="15.95" customHeight="1" x14ac:dyDescent="0.25"/>
    <row r="290" ht="15.95" customHeight="1" x14ac:dyDescent="0.25"/>
    <row r="291" ht="15.95" customHeight="1" x14ac:dyDescent="0.25"/>
    <row r="292" ht="15.95" customHeight="1" x14ac:dyDescent="0.25"/>
    <row r="293" ht="15.95" customHeight="1" x14ac:dyDescent="0.25"/>
    <row r="294" ht="15.95" customHeight="1" x14ac:dyDescent="0.25"/>
    <row r="295" ht="15.95" customHeight="1" x14ac:dyDescent="0.25"/>
    <row r="296" ht="15.95" customHeight="1" x14ac:dyDescent="0.25"/>
    <row r="297" ht="15.95" customHeight="1" x14ac:dyDescent="0.25"/>
    <row r="298" ht="15.95" customHeight="1" x14ac:dyDescent="0.25"/>
    <row r="299" ht="15.95" customHeight="1" x14ac:dyDescent="0.25"/>
    <row r="300" ht="15.95" customHeight="1" x14ac:dyDescent="0.25"/>
    <row r="301" ht="15.95" customHeight="1" x14ac:dyDescent="0.25"/>
    <row r="302" ht="15.95" customHeight="1" x14ac:dyDescent="0.25"/>
    <row r="303" ht="15.95" customHeight="1" x14ac:dyDescent="0.25"/>
    <row r="304" ht="15.95" customHeight="1" x14ac:dyDescent="0.25"/>
    <row r="305" ht="15.95" customHeight="1" x14ac:dyDescent="0.25"/>
    <row r="306" ht="15.95" customHeight="1" x14ac:dyDescent="0.25"/>
    <row r="307" ht="15.95" customHeight="1" x14ac:dyDescent="0.25"/>
    <row r="308" ht="15.95" customHeight="1" x14ac:dyDescent="0.25"/>
    <row r="309" ht="15.95" customHeight="1" x14ac:dyDescent="0.25"/>
    <row r="310" ht="15.95" customHeight="1" x14ac:dyDescent="0.25"/>
    <row r="311" ht="15.95" customHeight="1" x14ac:dyDescent="0.25"/>
    <row r="312" ht="15.95" customHeight="1" x14ac:dyDescent="0.25"/>
    <row r="313" ht="15.95" customHeight="1" x14ac:dyDescent="0.25"/>
    <row r="314" ht="15.95" customHeight="1" x14ac:dyDescent="0.25"/>
    <row r="315" ht="15.95" customHeight="1" x14ac:dyDescent="0.25"/>
    <row r="316" ht="15.95" customHeight="1" x14ac:dyDescent="0.25"/>
    <row r="317" ht="15.95" customHeight="1" x14ac:dyDescent="0.25"/>
    <row r="318" ht="15.95" customHeight="1" x14ac:dyDescent="0.25"/>
    <row r="319" ht="15.95" customHeight="1" x14ac:dyDescent="0.25"/>
    <row r="320" ht="15.95" customHeight="1" x14ac:dyDescent="0.25"/>
    <row r="321" ht="15.95" customHeight="1" x14ac:dyDescent="0.25"/>
    <row r="322" ht="15.95" customHeight="1" x14ac:dyDescent="0.25"/>
    <row r="323" ht="15.95" customHeight="1" x14ac:dyDescent="0.25"/>
    <row r="324" ht="15.95" customHeight="1" x14ac:dyDescent="0.25"/>
    <row r="325" ht="15.95" customHeight="1" x14ac:dyDescent="0.25"/>
    <row r="326" ht="15.95" customHeight="1" x14ac:dyDescent="0.25"/>
    <row r="327" ht="15.95" customHeight="1" x14ac:dyDescent="0.25"/>
    <row r="328" ht="15.95" customHeight="1" x14ac:dyDescent="0.25"/>
    <row r="329" ht="15.95" customHeight="1" x14ac:dyDescent="0.25"/>
    <row r="330" ht="15.95" customHeight="1" x14ac:dyDescent="0.25"/>
    <row r="331" ht="15.95" customHeight="1" x14ac:dyDescent="0.25"/>
    <row r="332" ht="15.95" customHeight="1" x14ac:dyDescent="0.25"/>
    <row r="333" ht="15.95" customHeight="1" x14ac:dyDescent="0.25"/>
    <row r="334" ht="15.95" customHeight="1" x14ac:dyDescent="0.25"/>
    <row r="335" ht="15.95" customHeight="1" x14ac:dyDescent="0.25"/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topLeftCell="Y1" workbookViewId="0"/>
  </sheetViews>
  <sheetFormatPr defaultRowHeight="15" x14ac:dyDescent="0.25"/>
  <cols>
    <col min="1" max="1" width="7.85546875" bestFit="1" customWidth="1"/>
    <col min="2" max="2" width="6" bestFit="1" customWidth="1"/>
    <col min="3" max="3" width="10.140625" bestFit="1" customWidth="1"/>
    <col min="4" max="4" width="9" bestFit="1" customWidth="1"/>
    <col min="5" max="5" width="11.140625" bestFit="1" customWidth="1"/>
    <col min="6" max="6" width="7.5703125" bestFit="1" customWidth="1"/>
    <col min="7" max="7" width="32.140625" bestFit="1" customWidth="1"/>
    <col min="8" max="8" width="9" bestFit="1" customWidth="1"/>
    <col min="9" max="10" width="12.140625" bestFit="1" customWidth="1"/>
    <col min="11" max="11" width="5.85546875" bestFit="1" customWidth="1"/>
    <col min="12" max="12" width="9" bestFit="1" customWidth="1"/>
    <col min="13" max="13" width="3.85546875" bestFit="1" customWidth="1"/>
    <col min="14" max="14" width="10.85546875" bestFit="1" customWidth="1"/>
    <col min="15" max="15" width="9.5703125" bestFit="1" customWidth="1"/>
    <col min="16" max="16" width="5" bestFit="1" customWidth="1"/>
    <col min="17" max="17" width="12.7109375" bestFit="1" customWidth="1"/>
    <col min="18" max="18" width="7.28515625" bestFit="1" customWidth="1"/>
    <col min="19" max="19" width="21.5703125" bestFit="1" customWidth="1"/>
    <col min="20" max="20" width="9" bestFit="1" customWidth="1"/>
    <col min="21" max="21" width="9.7109375" bestFit="1" customWidth="1"/>
    <col min="22" max="22" width="8.85546875" bestFit="1" customWidth="1"/>
    <col min="23" max="23" width="7.140625" bestFit="1" customWidth="1"/>
    <col min="24" max="24" width="10.140625" bestFit="1" customWidth="1"/>
    <col min="25" max="25" width="15" bestFit="1" customWidth="1"/>
    <col min="26" max="26" width="11.5703125" bestFit="1" customWidth="1"/>
    <col min="27" max="27" width="109.42578125" bestFit="1" customWidth="1"/>
    <col min="28" max="28" width="23.140625" bestFit="1" customWidth="1"/>
    <col min="29" max="29" width="15.42578125" bestFit="1" customWidth="1"/>
    <col min="30" max="30" width="9.7109375" bestFit="1" customWidth="1"/>
    <col min="31" max="31" width="9" bestFit="1" customWidth="1"/>
    <col min="32" max="32" width="5.42578125" bestFit="1" customWidth="1"/>
  </cols>
  <sheetData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A7"/>
  <sheetViews>
    <sheetView workbookViewId="0"/>
  </sheetViews>
  <sheetFormatPr defaultRowHeight="15" x14ac:dyDescent="0.25"/>
  <cols>
    <col min="1" max="1" width="7.85546875" customWidth="1"/>
    <col min="2" max="2" width="6" customWidth="1"/>
    <col min="3" max="3" width="10.140625" bestFit="1" customWidth="1"/>
    <col min="4" max="4" width="8.28515625" bestFit="1" customWidth="1"/>
    <col min="5" max="5" width="11.140625" customWidth="1"/>
    <col min="6" max="6" width="7.28515625" bestFit="1" customWidth="1"/>
    <col min="7" max="7" width="31.28515625" bestFit="1" customWidth="1"/>
    <col min="8" max="8" width="9" bestFit="1" customWidth="1"/>
    <col min="9" max="9" width="9.42578125" bestFit="1" customWidth="1"/>
    <col min="10" max="10" width="12.140625" bestFit="1" customWidth="1"/>
    <col min="11" max="11" width="5.85546875" bestFit="1" customWidth="1"/>
    <col min="12" max="12" width="9" bestFit="1" customWidth="1"/>
    <col min="13" max="13" width="3.85546875" bestFit="1" customWidth="1"/>
    <col min="14" max="14" width="10.85546875" bestFit="1" customWidth="1"/>
    <col min="15" max="15" width="9.5703125" customWidth="1"/>
    <col min="16" max="16" width="24.140625" bestFit="1" customWidth="1"/>
    <col min="17" max="17" width="12.7109375" bestFit="1" customWidth="1"/>
    <col min="18" max="18" width="7.28515625" customWidth="1"/>
    <col min="19" max="19" width="20" bestFit="1" customWidth="1"/>
    <col min="20" max="20" width="9" customWidth="1"/>
    <col min="21" max="21" width="5.85546875" bestFit="1" customWidth="1"/>
    <col min="22" max="22" width="8.85546875" bestFit="1" customWidth="1"/>
    <col min="23" max="23" width="7.140625" bestFit="1" customWidth="1"/>
    <col min="24" max="24" width="10.140625" bestFit="1" customWidth="1"/>
    <col min="25" max="25" width="14.85546875" bestFit="1" customWidth="1"/>
    <col min="26" max="26" width="11.5703125" bestFit="1" customWidth="1"/>
    <col min="27" max="27" width="9.7109375" bestFit="1" customWidth="1"/>
    <col min="28" max="28" width="15" bestFit="1" customWidth="1"/>
    <col min="29" max="29" width="15.42578125" bestFit="1" customWidth="1"/>
    <col min="30" max="30" width="7.85546875" bestFit="1" customWidth="1"/>
    <col min="31" max="31" width="9" bestFit="1" customWidth="1"/>
    <col min="32" max="32" width="5.42578125" bestFit="1" customWidth="1"/>
  </cols>
  <sheetData>
    <row r="2" ht="13.5" customHeight="1" x14ac:dyDescent="0.25"/>
    <row r="3" ht="13.5" customHeight="1" x14ac:dyDescent="0.25"/>
    <row r="4" ht="13.5" customHeight="1" x14ac:dyDescent="0.25"/>
    <row r="5" ht="13.5" customHeight="1" x14ac:dyDescent="0.25"/>
    <row r="6" ht="13.5" customHeight="1" x14ac:dyDescent="0.25"/>
    <row r="7" ht="13.5" customHeight="1" x14ac:dyDescent="0.25"/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9"/>
  <sheetViews>
    <sheetView workbookViewId="0">
      <selection activeCell="A3" sqref="A3"/>
    </sheetView>
  </sheetViews>
  <sheetFormatPr defaultRowHeight="15" x14ac:dyDescent="0.25"/>
  <cols>
    <col min="1" max="1" width="19.42578125" customWidth="1"/>
    <col min="2" max="4" width="17.85546875" bestFit="1" customWidth="1"/>
    <col min="5" max="5" width="11.140625" bestFit="1" customWidth="1"/>
    <col min="6" max="6" width="17.7109375" bestFit="1" customWidth="1"/>
    <col min="7" max="8" width="11.140625" bestFit="1" customWidth="1"/>
    <col min="9" max="9" width="9" customWidth="1"/>
    <col min="10" max="10" width="12" bestFit="1" customWidth="1"/>
    <col min="11" max="11" width="11.140625" customWidth="1"/>
  </cols>
  <sheetData>
    <row r="1" spans="1:5" x14ac:dyDescent="0.25">
      <c r="A1" s="23" t="s">
        <v>47</v>
      </c>
      <c r="B1" s="24" t="s">
        <v>134</v>
      </c>
    </row>
    <row r="3" spans="1:5" x14ac:dyDescent="0.25">
      <c r="A3" s="7" t="s">
        <v>46</v>
      </c>
      <c r="B3" s="7" t="s">
        <v>116</v>
      </c>
      <c r="C3" s="74" t="s">
        <v>21</v>
      </c>
      <c r="D3" s="75"/>
      <c r="E3" s="76"/>
    </row>
    <row r="4" spans="1:5" x14ac:dyDescent="0.25">
      <c r="A4" s="72"/>
      <c r="B4" s="6" t="s">
        <v>130</v>
      </c>
      <c r="C4" s="6" t="s">
        <v>133</v>
      </c>
      <c r="D4" s="6" t="s">
        <v>129</v>
      </c>
      <c r="E4" s="8" t="s">
        <v>45</v>
      </c>
    </row>
    <row r="5" spans="1:5" x14ac:dyDescent="0.25">
      <c r="A5" s="7" t="s">
        <v>20</v>
      </c>
      <c r="B5" s="6" t="s">
        <v>48</v>
      </c>
      <c r="C5" s="6" t="s">
        <v>48</v>
      </c>
      <c r="D5" s="6" t="s">
        <v>48</v>
      </c>
      <c r="E5" s="73"/>
    </row>
    <row r="6" spans="1:5" x14ac:dyDescent="0.25">
      <c r="A6" s="6" t="s">
        <v>24</v>
      </c>
      <c r="B6" s="9">
        <v>1</v>
      </c>
      <c r="C6" s="9"/>
      <c r="D6" s="9">
        <v>3</v>
      </c>
      <c r="E6" s="10">
        <v>4</v>
      </c>
    </row>
    <row r="7" spans="1:5" x14ac:dyDescent="0.25">
      <c r="A7" s="11" t="s">
        <v>22</v>
      </c>
      <c r="B7" s="12"/>
      <c r="C7" s="12"/>
      <c r="D7" s="12">
        <v>190</v>
      </c>
      <c r="E7" s="13">
        <v>190</v>
      </c>
    </row>
    <row r="8" spans="1:5" x14ac:dyDescent="0.25">
      <c r="A8" s="11" t="s">
        <v>23</v>
      </c>
      <c r="B8" s="12">
        <v>116</v>
      </c>
      <c r="C8" s="12">
        <v>13</v>
      </c>
      <c r="D8" s="12">
        <v>33</v>
      </c>
      <c r="E8" s="13">
        <v>162</v>
      </c>
    </row>
    <row r="9" spans="1:5" x14ac:dyDescent="0.25">
      <c r="A9" s="14" t="s">
        <v>45</v>
      </c>
      <c r="B9" s="15">
        <v>117</v>
      </c>
      <c r="C9" s="15">
        <v>13</v>
      </c>
      <c r="D9" s="15">
        <v>226</v>
      </c>
      <c r="E9" s="16">
        <v>356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T38"/>
  <sheetViews>
    <sheetView topLeftCell="CV1" zoomScaleNormal="100" workbookViewId="0">
      <selection activeCell="DO2" sqref="DO2:DQ2"/>
    </sheetView>
  </sheetViews>
  <sheetFormatPr defaultColWidth="7.42578125" defaultRowHeight="13.5" customHeight="1" x14ac:dyDescent="0.25"/>
  <cols>
    <col min="1" max="1" width="2.7109375" style="33" bestFit="1" customWidth="1"/>
    <col min="2" max="2" width="75" style="33" bestFit="1" customWidth="1"/>
    <col min="3" max="3" width="11.28515625" style="33" customWidth="1"/>
    <col min="4" max="5" width="10" style="33" customWidth="1"/>
    <col min="6" max="6" width="5.140625" style="33" customWidth="1"/>
    <col min="7" max="7" width="11.28515625" style="33" customWidth="1"/>
    <col min="8" max="9" width="10" style="33" customWidth="1"/>
    <col min="10" max="10" width="5" style="33" customWidth="1"/>
    <col min="11" max="11" width="11.28515625" style="33" customWidth="1"/>
    <col min="12" max="13" width="10" style="33" customWidth="1"/>
    <col min="14" max="14" width="4.85546875" style="33" customWidth="1"/>
    <col min="15" max="15" width="11.28515625" style="33" customWidth="1"/>
    <col min="16" max="17" width="10" style="33" customWidth="1"/>
    <col min="18" max="18" width="7.42578125" style="33" customWidth="1"/>
    <col min="19" max="19" width="11.28515625" style="33" customWidth="1"/>
    <col min="20" max="21" width="10" style="33" customWidth="1"/>
    <col min="22" max="22" width="6.85546875" style="33" customWidth="1"/>
    <col min="23" max="23" width="11.28515625" style="33" customWidth="1"/>
    <col min="24" max="25" width="10" style="33" customWidth="1"/>
    <col min="26" max="26" width="7.42578125" style="33" customWidth="1"/>
    <col min="27" max="27" width="11.28515625" style="33" customWidth="1"/>
    <col min="28" max="29" width="10" style="33" customWidth="1"/>
    <col min="30" max="30" width="6.42578125" style="33" customWidth="1"/>
    <col min="31" max="31" width="11.28515625" style="33" customWidth="1"/>
    <col min="32" max="33" width="10" style="33" customWidth="1"/>
    <col min="34" max="34" width="6.42578125" style="33" customWidth="1"/>
    <col min="35" max="35" width="11.28515625" style="33" customWidth="1"/>
    <col min="36" max="37" width="10" style="33" customWidth="1"/>
    <col min="38" max="38" width="6.140625" style="33" customWidth="1"/>
    <col min="39" max="39" width="11.28515625" style="33" customWidth="1"/>
    <col min="40" max="41" width="10" style="33" customWidth="1"/>
    <col min="42" max="42" width="6.85546875" style="33" customWidth="1"/>
    <col min="43" max="43" width="11.28515625" style="33" customWidth="1"/>
    <col min="44" max="45" width="10" style="33" customWidth="1"/>
    <col min="46" max="46" width="7.28515625" style="33" customWidth="1"/>
    <col min="47" max="47" width="11.28515625" style="33" customWidth="1"/>
    <col min="48" max="49" width="10" style="33" customWidth="1"/>
    <col min="50" max="50" width="7.5703125" style="33" customWidth="1"/>
    <col min="51" max="51" width="11.28515625" style="33" customWidth="1"/>
    <col min="52" max="53" width="10" style="33" customWidth="1"/>
    <col min="54" max="54" width="7.42578125" style="33" customWidth="1"/>
    <col min="55" max="55" width="11.28515625" style="33" customWidth="1"/>
    <col min="56" max="57" width="10" style="33" customWidth="1"/>
    <col min="58" max="58" width="7.42578125" style="33" customWidth="1"/>
    <col min="59" max="59" width="11.28515625" style="33" customWidth="1"/>
    <col min="60" max="61" width="10" style="33" customWidth="1"/>
    <col min="62" max="62" width="7.42578125" style="33" customWidth="1"/>
    <col min="63" max="63" width="11.28515625" style="33" customWidth="1"/>
    <col min="64" max="65" width="10" style="33" customWidth="1"/>
    <col min="66" max="66" width="6.5703125" style="33" customWidth="1"/>
    <col min="67" max="67" width="11.28515625" style="33" customWidth="1"/>
    <col min="68" max="69" width="10" style="33" customWidth="1"/>
    <col min="70" max="70" width="8.28515625" style="33" customWidth="1"/>
    <col min="71" max="71" width="11.28515625" style="33" customWidth="1"/>
    <col min="72" max="73" width="10" style="33" customWidth="1"/>
    <col min="74" max="74" width="2.85546875" style="33" customWidth="1"/>
    <col min="75" max="75" width="11.28515625" style="33" customWidth="1"/>
    <col min="76" max="77" width="10" style="33" customWidth="1"/>
    <col min="78" max="78" width="2.140625" style="33" customWidth="1"/>
    <col min="79" max="79" width="11.28515625" style="33" customWidth="1"/>
    <col min="80" max="81" width="10" style="33" customWidth="1"/>
    <col min="82" max="82" width="7.42578125" style="33" customWidth="1"/>
    <col min="83" max="83" width="11.28515625" style="33" customWidth="1"/>
    <col min="84" max="85" width="10" style="33" customWidth="1"/>
    <col min="86" max="86" width="7.42578125" style="33" customWidth="1"/>
    <col min="87" max="87" width="11.28515625" style="33" customWidth="1"/>
    <col min="88" max="89" width="10" style="33" customWidth="1"/>
    <col min="90" max="90" width="4.42578125" style="33" customWidth="1"/>
    <col min="91" max="91" width="11.28515625" style="33" customWidth="1"/>
    <col min="92" max="93" width="10" style="33" customWidth="1"/>
    <col min="94" max="94" width="3.5703125" style="33" customWidth="1"/>
    <col min="95" max="95" width="11.28515625" style="33" customWidth="1"/>
    <col min="96" max="97" width="10" style="33" customWidth="1"/>
    <col min="98" max="98" width="7.42578125" style="33" customWidth="1"/>
    <col min="99" max="99" width="11.28515625" style="33" customWidth="1"/>
    <col min="100" max="101" width="10" style="33" customWidth="1"/>
    <col min="102" max="102" width="7.42578125" style="33" customWidth="1"/>
    <col min="103" max="103" width="11.28515625" style="33" customWidth="1"/>
    <col min="104" max="105" width="10" style="33" customWidth="1"/>
    <col min="106" max="106" width="7.28515625" style="33" customWidth="1"/>
    <col min="107" max="107" width="11.28515625" style="33" customWidth="1"/>
    <col min="108" max="109" width="10" style="33" customWidth="1"/>
    <col min="110" max="110" width="7.140625" style="33" customWidth="1"/>
    <col min="111" max="111" width="11.28515625" style="33" customWidth="1"/>
    <col min="112" max="113" width="10" style="33" customWidth="1"/>
    <col min="114" max="114" width="6.7109375" style="33" customWidth="1"/>
    <col min="115" max="115" width="11.28515625" style="33" customWidth="1"/>
    <col min="116" max="117" width="10" style="33" customWidth="1"/>
    <col min="118" max="118" width="6.28515625" style="33" customWidth="1"/>
    <col min="119" max="119" width="11.28515625" style="33" customWidth="1"/>
    <col min="120" max="121" width="10" style="33" customWidth="1"/>
    <col min="122" max="122" width="11.28515625" style="33" customWidth="1"/>
    <col min="123" max="124" width="10" style="33" customWidth="1"/>
    <col min="125" max="173" width="7.42578125" style="33" customWidth="1"/>
    <col min="174" max="16384" width="7.42578125" style="33"/>
  </cols>
  <sheetData>
    <row r="1" spans="1:124" ht="13.5" customHeight="1" thickBot="1" x14ac:dyDescent="0.3">
      <c r="A1" s="185" t="s">
        <v>73</v>
      </c>
      <c r="B1" s="186"/>
      <c r="C1" s="186"/>
      <c r="D1" s="186"/>
      <c r="E1" s="186"/>
      <c r="F1" s="187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  <c r="AA1" s="186"/>
      <c r="AB1" s="186"/>
      <c r="AC1" s="186"/>
      <c r="AD1" s="186"/>
      <c r="AE1" s="186"/>
      <c r="AF1" s="186"/>
      <c r="AG1" s="186"/>
      <c r="AH1" s="186"/>
      <c r="AI1" s="186"/>
      <c r="AJ1" s="186"/>
      <c r="AK1" s="186"/>
      <c r="AL1" s="186"/>
      <c r="AM1" s="186"/>
      <c r="AN1" s="186"/>
      <c r="AO1" s="186"/>
      <c r="AP1" s="186"/>
      <c r="AQ1" s="186"/>
      <c r="AR1" s="186"/>
      <c r="AS1" s="186"/>
      <c r="AT1" s="186"/>
      <c r="AU1" s="186"/>
      <c r="AV1" s="186"/>
      <c r="AW1" s="186"/>
      <c r="AX1" s="186"/>
      <c r="AY1" s="186"/>
      <c r="AZ1" s="186"/>
      <c r="BA1" s="186"/>
      <c r="BB1" s="186"/>
      <c r="BC1" s="186"/>
      <c r="BD1" s="186"/>
      <c r="BE1" s="186"/>
      <c r="BF1" s="186"/>
      <c r="BG1" s="186"/>
      <c r="BH1" s="186"/>
      <c r="BI1" s="186"/>
      <c r="BJ1" s="186"/>
      <c r="BK1" s="186"/>
      <c r="BL1" s="186"/>
      <c r="BM1" s="186"/>
      <c r="BN1" s="186"/>
      <c r="BO1" s="186"/>
      <c r="BP1" s="186"/>
      <c r="BQ1" s="186"/>
      <c r="BR1" s="186"/>
      <c r="BS1" s="186"/>
      <c r="BT1" s="186"/>
      <c r="BU1" s="186"/>
      <c r="BV1" s="186"/>
      <c r="BW1" s="186"/>
      <c r="BX1" s="186"/>
      <c r="BY1" s="186"/>
      <c r="BZ1" s="186"/>
      <c r="CA1" s="186"/>
      <c r="CB1" s="186"/>
      <c r="CC1" s="186"/>
      <c r="CD1" s="186"/>
      <c r="CE1" s="186"/>
      <c r="CF1" s="186"/>
      <c r="CG1" s="186"/>
      <c r="CH1" s="186"/>
      <c r="CI1" s="186"/>
      <c r="CJ1" s="186"/>
      <c r="CK1" s="186"/>
      <c r="CL1" s="186"/>
      <c r="CM1" s="186"/>
      <c r="CN1" s="186"/>
      <c r="CO1" s="186"/>
      <c r="CP1" s="186"/>
      <c r="CQ1" s="186"/>
      <c r="CR1" s="186"/>
      <c r="CS1" s="186"/>
      <c r="CT1" s="186"/>
      <c r="CU1" s="186"/>
      <c r="CV1" s="186"/>
      <c r="CW1" s="186"/>
      <c r="CX1" s="186"/>
      <c r="CY1" s="186"/>
      <c r="CZ1" s="186"/>
      <c r="DA1" s="186"/>
      <c r="DB1" s="186"/>
      <c r="DC1" s="186"/>
      <c r="DD1" s="186"/>
      <c r="DE1" s="186"/>
      <c r="DF1" s="186"/>
      <c r="DG1" s="186"/>
      <c r="DH1" s="186"/>
      <c r="DI1" s="186"/>
      <c r="DJ1" s="186"/>
      <c r="DK1" s="186"/>
      <c r="DL1" s="186"/>
      <c r="DM1" s="186"/>
      <c r="DN1" s="186"/>
      <c r="DO1" s="186"/>
      <c r="DP1" s="186"/>
      <c r="DQ1" s="186"/>
      <c r="DR1" s="186"/>
      <c r="DS1" s="186"/>
      <c r="DT1" s="188"/>
    </row>
    <row r="2" spans="1:124" ht="13.5" customHeight="1" thickBot="1" x14ac:dyDescent="0.3">
      <c r="A2" s="189"/>
      <c r="B2" s="189" t="s">
        <v>74</v>
      </c>
      <c r="C2" s="170">
        <f>Mapping!$L$2</f>
        <v>0</v>
      </c>
      <c r="D2" s="171"/>
      <c r="E2" s="171"/>
      <c r="F2" s="85"/>
      <c r="G2" s="170">
        <f>Mapping!$L$3</f>
        <v>0</v>
      </c>
      <c r="H2" s="171"/>
      <c r="I2" s="171"/>
      <c r="J2" s="85"/>
      <c r="K2" s="170">
        <f>Mapping!$L$4</f>
        <v>0</v>
      </c>
      <c r="L2" s="171"/>
      <c r="M2" s="171"/>
      <c r="N2" s="85"/>
      <c r="O2" s="170">
        <f>Mapping!$L$5</f>
        <v>0</v>
      </c>
      <c r="P2" s="171"/>
      <c r="Q2" s="171"/>
      <c r="R2" s="85"/>
      <c r="S2" s="170">
        <f>Mapping!$L$6</f>
        <v>0</v>
      </c>
      <c r="T2" s="171"/>
      <c r="U2" s="172"/>
      <c r="V2" s="85"/>
      <c r="W2" s="170">
        <f>Mapping!$L$7</f>
        <v>0</v>
      </c>
      <c r="X2" s="171"/>
      <c r="Y2" s="172"/>
      <c r="Z2" s="85"/>
      <c r="AA2" s="170">
        <f>Mapping!$L$8</f>
        <v>0</v>
      </c>
      <c r="AB2" s="171"/>
      <c r="AC2" s="172"/>
      <c r="AD2" s="85"/>
      <c r="AE2" s="170">
        <f>Mapping!$L$9</f>
        <v>0</v>
      </c>
      <c r="AF2" s="171"/>
      <c r="AG2" s="172"/>
      <c r="AH2" s="85"/>
      <c r="AI2" s="170">
        <f>Mapping!$L$10</f>
        <v>0</v>
      </c>
      <c r="AJ2" s="171"/>
      <c r="AK2" s="172"/>
      <c r="AL2" s="85"/>
      <c r="AM2" s="170">
        <f>Mapping!$L$11</f>
        <v>0</v>
      </c>
      <c r="AN2" s="171"/>
      <c r="AO2" s="172"/>
      <c r="AP2" s="85"/>
      <c r="AQ2" s="170">
        <f>Mapping!$L$12</f>
        <v>0</v>
      </c>
      <c r="AR2" s="171"/>
      <c r="AS2" s="172"/>
      <c r="AT2" s="85"/>
      <c r="AU2" s="170">
        <f>Mapping!$L$13</f>
        <v>0</v>
      </c>
      <c r="AV2" s="171"/>
      <c r="AW2" s="172"/>
      <c r="AX2" s="85"/>
      <c r="AY2" s="170">
        <f>Mapping!$L$14</f>
        <v>0</v>
      </c>
      <c r="AZ2" s="171"/>
      <c r="BA2" s="172"/>
      <c r="BB2" s="85"/>
      <c r="BC2" s="170">
        <f>Mapping!$L$15</f>
        <v>0</v>
      </c>
      <c r="BD2" s="171"/>
      <c r="BE2" s="172"/>
      <c r="BF2" s="85"/>
      <c r="BG2" s="170">
        <f>Mapping!$L$16</f>
        <v>0</v>
      </c>
      <c r="BH2" s="171"/>
      <c r="BI2" s="172"/>
      <c r="BJ2" s="85"/>
      <c r="BK2" s="170">
        <f>Mapping!$L$17</f>
        <v>0</v>
      </c>
      <c r="BL2" s="171"/>
      <c r="BM2" s="172"/>
      <c r="BN2" s="85"/>
      <c r="BO2" s="170">
        <f>Mapping!$L$18</f>
        <v>0</v>
      </c>
      <c r="BP2" s="171"/>
      <c r="BQ2" s="172"/>
      <c r="BR2" s="85"/>
      <c r="BS2" s="170">
        <f>Mapping!$L$19</f>
        <v>0</v>
      </c>
      <c r="BT2" s="171"/>
      <c r="BU2" s="172"/>
      <c r="BV2" s="85"/>
      <c r="BW2" s="170">
        <f>Mapping!$L$20</f>
        <v>0</v>
      </c>
      <c r="BX2" s="171"/>
      <c r="BY2" s="172"/>
      <c r="BZ2" s="85"/>
      <c r="CA2" s="170">
        <f>Mapping!$L$21</f>
        <v>0</v>
      </c>
      <c r="CB2" s="171"/>
      <c r="CC2" s="172"/>
      <c r="CD2" s="85"/>
      <c r="CE2" s="170">
        <f>Mapping!$L$22</f>
        <v>0</v>
      </c>
      <c r="CF2" s="171"/>
      <c r="CG2" s="172"/>
      <c r="CH2" s="85"/>
      <c r="CI2" s="170">
        <f>Mapping!$L$23</f>
        <v>0</v>
      </c>
      <c r="CJ2" s="171"/>
      <c r="CK2" s="172"/>
      <c r="CL2" s="85"/>
      <c r="CM2" s="170">
        <f>Mapping!$L$24</f>
        <v>0</v>
      </c>
      <c r="CN2" s="171"/>
      <c r="CO2" s="172"/>
      <c r="CP2" s="85"/>
      <c r="CQ2" s="170">
        <f>Mapping!$L$25</f>
        <v>0</v>
      </c>
      <c r="CR2" s="171"/>
      <c r="CS2" s="172"/>
      <c r="CT2" s="85"/>
      <c r="CU2" s="170">
        <f>Mapping!$L$26</f>
        <v>0</v>
      </c>
      <c r="CV2" s="171"/>
      <c r="CW2" s="172"/>
      <c r="CX2" s="85"/>
      <c r="CY2" s="170">
        <f>Mapping!$L$27</f>
        <v>0</v>
      </c>
      <c r="CZ2" s="171"/>
      <c r="DA2" s="172"/>
      <c r="DB2" s="85"/>
      <c r="DC2" s="170">
        <f>Mapping!$L$28</f>
        <v>0</v>
      </c>
      <c r="DD2" s="171"/>
      <c r="DE2" s="172"/>
      <c r="DF2" s="85"/>
      <c r="DG2" s="170">
        <f>Mapping!$L$29</f>
        <v>0</v>
      </c>
      <c r="DH2" s="171"/>
      <c r="DI2" s="172"/>
      <c r="DJ2" s="85"/>
      <c r="DK2" s="170">
        <f>Mapping!$L$30</f>
        <v>0</v>
      </c>
      <c r="DL2" s="171"/>
      <c r="DM2" s="172"/>
      <c r="DN2" s="85"/>
      <c r="DO2" s="185" t="s">
        <v>75</v>
      </c>
      <c r="DP2" s="186"/>
      <c r="DQ2" s="188"/>
      <c r="DR2" s="185" t="s">
        <v>76</v>
      </c>
      <c r="DS2" s="186"/>
      <c r="DT2" s="188"/>
    </row>
    <row r="3" spans="1:124" ht="13.5" customHeight="1" thickBot="1" x14ac:dyDescent="0.3">
      <c r="A3" s="190"/>
      <c r="B3" s="190"/>
      <c r="C3" s="34" t="s">
        <v>77</v>
      </c>
      <c r="D3" s="34" t="s">
        <v>78</v>
      </c>
      <c r="E3" s="35" t="s">
        <v>79</v>
      </c>
      <c r="F3" s="86"/>
      <c r="G3" s="36" t="s">
        <v>77</v>
      </c>
      <c r="H3" s="34" t="s">
        <v>78</v>
      </c>
      <c r="I3" s="35" t="s">
        <v>79</v>
      </c>
      <c r="J3" s="86"/>
      <c r="K3" s="34" t="s">
        <v>77</v>
      </c>
      <c r="L3" s="34" t="s">
        <v>78</v>
      </c>
      <c r="M3" s="35" t="s">
        <v>79</v>
      </c>
      <c r="N3" s="86"/>
      <c r="O3" s="34" t="s">
        <v>77</v>
      </c>
      <c r="P3" s="34" t="s">
        <v>78</v>
      </c>
      <c r="Q3" s="35" t="s">
        <v>79</v>
      </c>
      <c r="R3" s="86"/>
      <c r="S3" s="34" t="s">
        <v>77</v>
      </c>
      <c r="T3" s="34" t="s">
        <v>78</v>
      </c>
      <c r="U3" s="35" t="s">
        <v>79</v>
      </c>
      <c r="V3" s="86"/>
      <c r="W3" s="34" t="s">
        <v>77</v>
      </c>
      <c r="X3" s="34" t="s">
        <v>78</v>
      </c>
      <c r="Y3" s="35" t="s">
        <v>79</v>
      </c>
      <c r="Z3" s="86"/>
      <c r="AA3" s="34" t="s">
        <v>77</v>
      </c>
      <c r="AB3" s="34" t="s">
        <v>78</v>
      </c>
      <c r="AC3" s="35" t="s">
        <v>79</v>
      </c>
      <c r="AD3" s="86"/>
      <c r="AE3" s="34" t="s">
        <v>77</v>
      </c>
      <c r="AF3" s="34" t="s">
        <v>78</v>
      </c>
      <c r="AG3" s="35" t="s">
        <v>79</v>
      </c>
      <c r="AH3" s="86"/>
      <c r="AI3" s="34" t="s">
        <v>77</v>
      </c>
      <c r="AJ3" s="34" t="s">
        <v>78</v>
      </c>
      <c r="AK3" s="35" t="s">
        <v>79</v>
      </c>
      <c r="AL3" s="86"/>
      <c r="AM3" s="34" t="s">
        <v>77</v>
      </c>
      <c r="AN3" s="34" t="s">
        <v>78</v>
      </c>
      <c r="AO3" s="35" t="s">
        <v>79</v>
      </c>
      <c r="AP3" s="86"/>
      <c r="AQ3" s="34" t="s">
        <v>77</v>
      </c>
      <c r="AR3" s="34" t="s">
        <v>78</v>
      </c>
      <c r="AS3" s="35" t="s">
        <v>79</v>
      </c>
      <c r="AT3" s="86"/>
      <c r="AU3" s="34" t="s">
        <v>77</v>
      </c>
      <c r="AV3" s="34" t="s">
        <v>78</v>
      </c>
      <c r="AW3" s="35" t="s">
        <v>79</v>
      </c>
      <c r="AX3" s="86"/>
      <c r="AY3" s="34" t="s">
        <v>77</v>
      </c>
      <c r="AZ3" s="34" t="s">
        <v>78</v>
      </c>
      <c r="BA3" s="35" t="s">
        <v>79</v>
      </c>
      <c r="BB3" s="86"/>
      <c r="BC3" s="34" t="s">
        <v>77</v>
      </c>
      <c r="BD3" s="34" t="s">
        <v>78</v>
      </c>
      <c r="BE3" s="35" t="s">
        <v>79</v>
      </c>
      <c r="BF3" s="86"/>
      <c r="BG3" s="34" t="s">
        <v>77</v>
      </c>
      <c r="BH3" s="34" t="s">
        <v>78</v>
      </c>
      <c r="BI3" s="35" t="s">
        <v>79</v>
      </c>
      <c r="BJ3" s="86"/>
      <c r="BK3" s="34" t="s">
        <v>77</v>
      </c>
      <c r="BL3" s="34" t="s">
        <v>78</v>
      </c>
      <c r="BM3" s="35" t="s">
        <v>79</v>
      </c>
      <c r="BN3" s="86"/>
      <c r="BO3" s="34" t="s">
        <v>77</v>
      </c>
      <c r="BP3" s="34" t="s">
        <v>78</v>
      </c>
      <c r="BQ3" s="35" t="s">
        <v>79</v>
      </c>
      <c r="BR3" s="86"/>
      <c r="BS3" s="34" t="s">
        <v>77</v>
      </c>
      <c r="BT3" s="34" t="s">
        <v>78</v>
      </c>
      <c r="BU3" s="35" t="s">
        <v>79</v>
      </c>
      <c r="BV3" s="86"/>
      <c r="BW3" s="34" t="s">
        <v>77</v>
      </c>
      <c r="BX3" s="34" t="s">
        <v>78</v>
      </c>
      <c r="BY3" s="35" t="s">
        <v>79</v>
      </c>
      <c r="BZ3" s="86"/>
      <c r="CA3" s="34" t="s">
        <v>77</v>
      </c>
      <c r="CB3" s="34" t="s">
        <v>78</v>
      </c>
      <c r="CC3" s="35" t="s">
        <v>79</v>
      </c>
      <c r="CD3" s="86"/>
      <c r="CE3" s="34" t="s">
        <v>77</v>
      </c>
      <c r="CF3" s="34" t="s">
        <v>78</v>
      </c>
      <c r="CG3" s="35" t="s">
        <v>79</v>
      </c>
      <c r="CH3" s="86"/>
      <c r="CI3" s="34" t="s">
        <v>77</v>
      </c>
      <c r="CJ3" s="34" t="s">
        <v>78</v>
      </c>
      <c r="CK3" s="35" t="s">
        <v>79</v>
      </c>
      <c r="CL3" s="86"/>
      <c r="CM3" s="34" t="s">
        <v>77</v>
      </c>
      <c r="CN3" s="34" t="s">
        <v>78</v>
      </c>
      <c r="CO3" s="35" t="s">
        <v>79</v>
      </c>
      <c r="CP3" s="86"/>
      <c r="CQ3" s="34" t="s">
        <v>77</v>
      </c>
      <c r="CR3" s="34" t="s">
        <v>78</v>
      </c>
      <c r="CS3" s="35" t="s">
        <v>79</v>
      </c>
      <c r="CT3" s="86"/>
      <c r="CU3" s="34" t="s">
        <v>77</v>
      </c>
      <c r="CV3" s="34" t="s">
        <v>78</v>
      </c>
      <c r="CW3" s="35" t="s">
        <v>79</v>
      </c>
      <c r="CX3" s="86"/>
      <c r="CY3" s="34" t="s">
        <v>77</v>
      </c>
      <c r="CZ3" s="34" t="s">
        <v>78</v>
      </c>
      <c r="DA3" s="35" t="s">
        <v>79</v>
      </c>
      <c r="DB3" s="86"/>
      <c r="DC3" s="34" t="s">
        <v>77</v>
      </c>
      <c r="DD3" s="34" t="s">
        <v>78</v>
      </c>
      <c r="DE3" s="35" t="s">
        <v>79</v>
      </c>
      <c r="DF3" s="86"/>
      <c r="DG3" s="34" t="s">
        <v>77</v>
      </c>
      <c r="DH3" s="34" t="s">
        <v>78</v>
      </c>
      <c r="DI3" s="35" t="s">
        <v>79</v>
      </c>
      <c r="DJ3" s="86"/>
      <c r="DK3" s="34" t="s">
        <v>77</v>
      </c>
      <c r="DL3" s="34" t="s">
        <v>78</v>
      </c>
      <c r="DM3" s="35" t="s">
        <v>79</v>
      </c>
      <c r="DN3" s="86"/>
      <c r="DO3" s="34" t="s">
        <v>77</v>
      </c>
      <c r="DP3" s="34" t="s">
        <v>78</v>
      </c>
      <c r="DQ3" s="35" t="s">
        <v>79</v>
      </c>
      <c r="DR3" s="34" t="s">
        <v>77</v>
      </c>
      <c r="DS3" s="34" t="s">
        <v>78</v>
      </c>
      <c r="DT3" s="34" t="s">
        <v>79</v>
      </c>
    </row>
    <row r="4" spans="1:124" ht="13.5" customHeight="1" thickBot="1" x14ac:dyDescent="0.3">
      <c r="A4" s="37">
        <v>1</v>
      </c>
      <c r="B4" s="38" t="s">
        <v>80</v>
      </c>
      <c r="C4" s="173">
        <v>0.85230024213075062</v>
      </c>
      <c r="D4" s="174"/>
      <c r="E4" s="174"/>
      <c r="F4" s="86"/>
      <c r="G4" s="174">
        <v>0.87481804949053854</v>
      </c>
      <c r="H4" s="174"/>
      <c r="I4" s="175"/>
      <c r="J4" s="86"/>
      <c r="K4" s="173">
        <v>0.89260563380281688</v>
      </c>
      <c r="L4" s="174"/>
      <c r="M4" s="175"/>
      <c r="N4" s="86"/>
      <c r="O4" s="173">
        <f>((O9+P9+Q9)-(O22+P22+Q22))/(O9+P9+Q9)</f>
        <v>5.1094890510948905E-2</v>
      </c>
      <c r="P4" s="174"/>
      <c r="Q4" s="175"/>
      <c r="R4" s="86"/>
      <c r="S4" s="173">
        <f>((S9+T9+U9)-(S22+T22+U22))/(S9+T9+U9)</f>
        <v>-0.33070866141732286</v>
      </c>
      <c r="T4" s="174"/>
      <c r="U4" s="175"/>
      <c r="V4" s="86"/>
      <c r="W4" s="173" t="e">
        <f>((W9+X9+Y9)-(W22+X22+Y22))/(W9+X9+Y9)</f>
        <v>#DIV/0!</v>
      </c>
      <c r="X4" s="174"/>
      <c r="Y4" s="175"/>
      <c r="Z4" s="86"/>
      <c r="AA4" s="173" t="e">
        <f>((AA9+AB9+AC9)-(AA22+AB22+AC22))/(AA9+AB9+AC9)</f>
        <v>#DIV/0!</v>
      </c>
      <c r="AB4" s="174"/>
      <c r="AC4" s="175"/>
      <c r="AD4" s="86"/>
      <c r="AE4" s="173" t="e">
        <f>((AE9+AF9+AG9)-(AE22+AF22+AG22))/(AE9+AF9+AG9)</f>
        <v>#DIV/0!</v>
      </c>
      <c r="AF4" s="174"/>
      <c r="AG4" s="175"/>
      <c r="AH4" s="86"/>
      <c r="AI4" s="173" t="e">
        <f>((AI9+AJ9+AK9)-(AI22+AJ22+AK22))/(AI9+AJ9+AK9)</f>
        <v>#DIV/0!</v>
      </c>
      <c r="AJ4" s="174"/>
      <c r="AK4" s="175"/>
      <c r="AL4" s="86"/>
      <c r="AM4" s="173">
        <f>((AM9+AN9+AO9)-(AM22+AN22+AO22))/(AM9+AN9+AO9)</f>
        <v>0.88012618296529965</v>
      </c>
      <c r="AN4" s="174"/>
      <c r="AO4" s="175"/>
      <c r="AP4" s="86"/>
      <c r="AQ4" s="173" t="e">
        <f>((AQ9+AR9+AS9)-(AQ22+AR22+AS22))/(AQ9+AR9+AS9)</f>
        <v>#DIV/0!</v>
      </c>
      <c r="AR4" s="174"/>
      <c r="AS4" s="175"/>
      <c r="AT4" s="86"/>
      <c r="AU4" s="173" t="e">
        <f>((AU9+AV9+AW9)-(AU22+AV22+AW22))/(AU9+AV9+AW9)</f>
        <v>#DIV/0!</v>
      </c>
      <c r="AV4" s="174"/>
      <c r="AW4" s="175"/>
      <c r="AX4" s="86"/>
      <c r="AY4" s="173">
        <f>((AY9+AZ9+BA9)-(AY22+AZ22+BA22))/(AY9+AZ9+BA9)</f>
        <v>0.78733031674208143</v>
      </c>
      <c r="AZ4" s="174"/>
      <c r="BA4" s="175"/>
      <c r="BB4" s="86"/>
      <c r="BC4" s="173" t="e">
        <f>((BC9+BD9+BE9)-(BC22+BD22+BE22))/(BC9+BD9+BE9)</f>
        <v>#DIV/0!</v>
      </c>
      <c r="BD4" s="174"/>
      <c r="BE4" s="175"/>
      <c r="BF4" s="86"/>
      <c r="BG4" s="173" t="e">
        <f>((BG9+BH9+BI9)-(BG22+BH22+BI22))/(BG9+BH9+BI9)</f>
        <v>#DIV/0!</v>
      </c>
      <c r="BH4" s="174"/>
      <c r="BI4" s="175"/>
      <c r="BJ4" s="86"/>
      <c r="BK4" s="173" t="e">
        <f>((BK9+BL9+BM9)-(BK22+BL22+BM22))/(BK9+BL9+BM9)</f>
        <v>#DIV/0!</v>
      </c>
      <c r="BL4" s="174"/>
      <c r="BM4" s="175"/>
      <c r="BN4" s="86"/>
      <c r="BO4" s="173">
        <f>((BO9+BP9+BQ9)-(BO22+BP22+BQ22))/(BO9+BP9+BQ9)</f>
        <v>0.20985691573926868</v>
      </c>
      <c r="BP4" s="174"/>
      <c r="BQ4" s="175"/>
      <c r="BR4" s="86"/>
      <c r="BS4" s="173">
        <f>((BS9+BT9+BU9)-(BS22+BT22+BU22))/(BS9+BT9+BU9)</f>
        <v>0.20512820512820512</v>
      </c>
      <c r="BT4" s="174"/>
      <c r="BU4" s="175"/>
      <c r="BV4" s="86"/>
      <c r="BW4" s="173">
        <f>((BW9+BX9+BY9)-(BW22+BX22+BY22))/(BW9+BX9+BY9)</f>
        <v>0.96266666666666667</v>
      </c>
      <c r="BX4" s="174"/>
      <c r="BY4" s="175"/>
      <c r="BZ4" s="86"/>
      <c r="CA4" s="173">
        <f>((CA9+CB9+CC9)-(CA22+CB22+CC22))/(CA9+CB9+CC9)</f>
        <v>0.21019108280254778</v>
      </c>
      <c r="CB4" s="174"/>
      <c r="CC4" s="175"/>
      <c r="CD4" s="86"/>
      <c r="CE4" s="173">
        <f>((CE9+CF9+CG9)-(CE22+CF22+CG22))/(CE9+CF9+CG9)</f>
        <v>0.20512820512820512</v>
      </c>
      <c r="CF4" s="174"/>
      <c r="CG4" s="175"/>
      <c r="CH4" s="86"/>
      <c r="CI4" s="173">
        <f>((CI9+CJ9+CK9)-(CI22+CJ22+CK22))/(CI9+CJ9+CK9)</f>
        <v>0.78733031674208143</v>
      </c>
      <c r="CJ4" s="174"/>
      <c r="CK4" s="175"/>
      <c r="CL4" s="86"/>
      <c r="CM4" s="173" t="e">
        <f>((CM9+CN9+CO9)-(CM22+CN22+CO22))/(CM9+CN9+CO9)</f>
        <v>#DIV/0!</v>
      </c>
      <c r="CN4" s="174"/>
      <c r="CO4" s="175"/>
      <c r="CP4" s="86"/>
      <c r="CQ4" s="173">
        <f>((CQ9+CR9+CS9)-(CQ22+CR22+CS22))/(CQ9+CR9+CS9)</f>
        <v>0.78733031674208143</v>
      </c>
      <c r="CR4" s="174"/>
      <c r="CS4" s="175"/>
      <c r="CT4" s="86"/>
      <c r="CU4" s="173" t="e">
        <f>((CU9+CV9+CW9)-(CU22+CV22+CW22))/(CU9+CV9+CW9)</f>
        <v>#DIV/0!</v>
      </c>
      <c r="CV4" s="174"/>
      <c r="CW4" s="175"/>
      <c r="CX4" s="86"/>
      <c r="CY4" s="173" t="e">
        <f>((CY9+CZ9+DA9)-(CY22+CZ22+DA22))/(CY9+CZ9+DA9)</f>
        <v>#DIV/0!</v>
      </c>
      <c r="CZ4" s="174"/>
      <c r="DA4" s="175"/>
      <c r="DB4" s="86"/>
      <c r="DC4" s="173" t="e">
        <f>((DC9+DD9+DE9)-(DC22+DD22+DE22))/(DC9+DD9+DE9)</f>
        <v>#DIV/0!</v>
      </c>
      <c r="DD4" s="174"/>
      <c r="DE4" s="175"/>
      <c r="DF4" s="86"/>
      <c r="DG4" s="173" t="e">
        <f>((DG9+DH9+DI9)-(DG22+DH22+DI22))/(DG9+DH9+DI9)</f>
        <v>#DIV/0!</v>
      </c>
      <c r="DH4" s="174"/>
      <c r="DI4" s="175"/>
      <c r="DJ4" s="86"/>
      <c r="DK4" s="173" t="e">
        <f>((DK9+DL9+DM9)-(DK22+DL22+DM22))/(DK9+DL9+DM9)</f>
        <v>#DIV/0!</v>
      </c>
      <c r="DL4" s="174"/>
      <c r="DM4" s="175"/>
      <c r="DN4" s="86"/>
      <c r="DO4" s="182" t="e">
        <f>AVERAGE(DB4:DN4)</f>
        <v>#DIV/0!</v>
      </c>
      <c r="DP4" s="183"/>
      <c r="DQ4" s="184"/>
      <c r="DR4" s="182">
        <v>0.89965316771169379</v>
      </c>
      <c r="DS4" s="183"/>
      <c r="DT4" s="184"/>
    </row>
    <row r="5" spans="1:124" ht="13.5" customHeight="1" thickBot="1" x14ac:dyDescent="0.3">
      <c r="A5" s="37">
        <v>2</v>
      </c>
      <c r="B5" s="39" t="s">
        <v>81</v>
      </c>
      <c r="C5" s="173">
        <v>0.90025575447570327</v>
      </c>
      <c r="D5" s="174"/>
      <c r="E5" s="174"/>
      <c r="F5" s="86"/>
      <c r="G5" s="174">
        <v>0.94348508634222916</v>
      </c>
      <c r="H5" s="174"/>
      <c r="I5" s="175"/>
      <c r="J5" s="86"/>
      <c r="K5" s="173">
        <v>0.90860215053763438</v>
      </c>
      <c r="L5" s="174"/>
      <c r="M5" s="175"/>
      <c r="N5" s="86"/>
      <c r="O5" s="173">
        <f>(O9+P9+Q9-O22-P22-Q22)/(O9+P9+Q9-O28-P28-Q28)</f>
        <v>5.6300268096514748E-2</v>
      </c>
      <c r="P5" s="174"/>
      <c r="Q5" s="175"/>
      <c r="R5" s="86"/>
      <c r="S5" s="173">
        <f>(S9+T9+U9-S22-T22-U22)/(S9+T9+U9-S28-T28-U28)</f>
        <v>-0.33333333333333331</v>
      </c>
      <c r="T5" s="174"/>
      <c r="U5" s="175"/>
      <c r="V5" s="86"/>
      <c r="W5" s="173" t="e">
        <f>(W9+X9+Y9-W22-X22-Y22)/(W9+X9+Y9-W28-X28-Y28)</f>
        <v>#DIV/0!</v>
      </c>
      <c r="X5" s="174"/>
      <c r="Y5" s="175"/>
      <c r="Z5" s="86"/>
      <c r="AA5" s="173" t="e">
        <f>(AA9+AB9+AC9-AA22-AB22-AC22)/(AA9+AB9+AC9-AA28-AB28-AC28)</f>
        <v>#DIV/0!</v>
      </c>
      <c r="AB5" s="174"/>
      <c r="AC5" s="175"/>
      <c r="AD5" s="86"/>
      <c r="AE5" s="173" t="e">
        <f>(AE9+AF9+AG9-AE22-AF22-AG22)/(AE9+AF9+AG9-AE28-AF28-AG28)</f>
        <v>#DIV/0!</v>
      </c>
      <c r="AF5" s="174"/>
      <c r="AG5" s="175"/>
      <c r="AH5" s="86"/>
      <c r="AI5" s="173" t="e">
        <f>(AI9+AJ9+AK9-AI22-AJ22-AK22)/(AI9+AJ9+AK9-AI28-AJ28-AK28)</f>
        <v>#DIV/0!</v>
      </c>
      <c r="AJ5" s="174"/>
      <c r="AK5" s="175"/>
      <c r="AL5" s="86"/>
      <c r="AM5" s="173">
        <f>(AM9+AN9+AO9-AM22-AN22-AO22)/(AM9+AN9+AO9-AM28-AN28-AO28)</f>
        <v>0.88571428571428568</v>
      </c>
      <c r="AN5" s="174"/>
      <c r="AO5" s="175"/>
      <c r="AP5" s="86"/>
      <c r="AQ5" s="173" t="e">
        <f>(AQ9+AR9+AS9-AQ22-AR22-AS22)/(AQ9+AR9+AS9-AQ28-AR28-AS28)</f>
        <v>#DIV/0!</v>
      </c>
      <c r="AR5" s="174"/>
      <c r="AS5" s="175"/>
      <c r="AT5" s="86"/>
      <c r="AU5" s="173" t="e">
        <f>(AU9+AV9+AW9-AU22-AV22-AW22)/(AU9+AV9+AW9-AU28-AV28-AW28)</f>
        <v>#DIV/0!</v>
      </c>
      <c r="AV5" s="174"/>
      <c r="AW5" s="175"/>
      <c r="AX5" s="86"/>
      <c r="AY5" s="173">
        <f>(AY9+AZ9+BA9-AY22-AZ22-BA22)/(AY9+AZ9+BA9-AY28-AZ28-BA28)</f>
        <v>0.81690140845070425</v>
      </c>
      <c r="AZ5" s="174"/>
      <c r="BA5" s="175"/>
      <c r="BB5" s="86"/>
      <c r="BC5" s="173" t="e">
        <f>(BC9+BD9+BE9-BC22-BD22-BE22)/(BC9+BD9+BE9-BC28-BD28-BE28)</f>
        <v>#DIV/0!</v>
      </c>
      <c r="BD5" s="174"/>
      <c r="BE5" s="175"/>
      <c r="BF5" s="86"/>
      <c r="BG5" s="173" t="e">
        <f>(BG9+BH9+BI9-BG22-BH22-BI22)/(BG9+BH9+BI9-BG28-BH28-BI28)</f>
        <v>#DIV/0!</v>
      </c>
      <c r="BH5" s="174"/>
      <c r="BI5" s="175"/>
      <c r="BJ5" s="86"/>
      <c r="BK5" s="173" t="e">
        <f>(BK9+BL9+BM9-BK22-BL22-BM22)/(BK9+BL9+BM9-BK28-BL28-BM28)</f>
        <v>#DIV/0!</v>
      </c>
      <c r="BL5" s="174"/>
      <c r="BM5" s="175"/>
      <c r="BN5" s="86"/>
      <c r="BO5" s="173">
        <f>(BO9+BP9+BQ9-BO22-BP22-BQ22)/(BO9+BP9+BQ9-BO28-BP28-BQ28)</f>
        <v>0.23613595706618962</v>
      </c>
      <c r="BP5" s="174"/>
      <c r="BQ5" s="175"/>
      <c r="BR5" s="86"/>
      <c r="BS5" s="173">
        <f>(BS9+BT9+BU9-BS22-BT22-BU22)/(BS9+BT9+BU9-BS28-BT28-BU28)</f>
        <v>0.23104693140794225</v>
      </c>
      <c r="BT5" s="174"/>
      <c r="BU5" s="175"/>
      <c r="BV5" s="86"/>
      <c r="BW5" s="173">
        <f>(BW9+BX9+BY9-BW22-BX22-BY22)/(BW9+BX9+BY9-BW28-BX28-BY28)</f>
        <v>0.9756756756756757</v>
      </c>
      <c r="BX5" s="174"/>
      <c r="BY5" s="175"/>
      <c r="BZ5" s="86"/>
      <c r="CA5" s="173">
        <f>(CA9+CB9+CC9-CA22-CB22-CC22)/(CA9+CB9+CC9-CA28-CB28-CC28)</f>
        <v>0.23655913978494625</v>
      </c>
      <c r="CB5" s="174"/>
      <c r="CC5" s="175"/>
      <c r="CD5" s="86"/>
      <c r="CE5" s="173">
        <f>(CE9+CF9+CG9-CE22-CF22-CG22)/(CE9+CF9+CG9-CE28-CF28-CG28)</f>
        <v>0.23104693140794225</v>
      </c>
      <c r="CF5" s="174"/>
      <c r="CG5" s="175"/>
      <c r="CH5" s="86"/>
      <c r="CI5" s="173">
        <f>(CI9+CJ9+CK9-CI22-CJ22-CK22)/(CI9+CJ9+CK9-CI28-CJ28-CK28)</f>
        <v>0.82464454976303314</v>
      </c>
      <c r="CJ5" s="174"/>
      <c r="CK5" s="175"/>
      <c r="CL5" s="86"/>
      <c r="CM5" s="173" t="e">
        <f>(CM9+CN9+CO9-CM22-CN22-CO22)/(CM9+CN9+CO9-CM28-CN28-CO28)</f>
        <v>#DIV/0!</v>
      </c>
      <c r="CN5" s="174"/>
      <c r="CO5" s="175"/>
      <c r="CP5" s="86"/>
      <c r="CQ5" s="173">
        <f>(CQ9+CR9+CS9-CQ22-CR22-CS22)/(CQ9+CR9+CS9-CQ28-CR28-CS28)</f>
        <v>0.82464454976303314</v>
      </c>
      <c r="CR5" s="174"/>
      <c r="CS5" s="175"/>
      <c r="CT5" s="86"/>
      <c r="CU5" s="173" t="e">
        <f>(CU9+CV9+CW9-CU22-CV22-CW22)/(CU9+CV9+CW9-CU28-CV28-CW28)</f>
        <v>#DIV/0!</v>
      </c>
      <c r="CV5" s="174"/>
      <c r="CW5" s="175"/>
      <c r="CX5" s="86"/>
      <c r="CY5" s="173" t="e">
        <f>(CY9+CZ9+DA9-CY22-CZ22-DA22)/(CY9+CZ9+DA9-CY28-CZ28-DA28)</f>
        <v>#DIV/0!</v>
      </c>
      <c r="CZ5" s="174"/>
      <c r="DA5" s="175"/>
      <c r="DB5" s="86"/>
      <c r="DC5" s="173" t="e">
        <f>(DC9+DD9+DE9-DC22-DD22-DE22)/(DC9+DD9+DE9-DC28-DD28-DE28)</f>
        <v>#DIV/0!</v>
      </c>
      <c r="DD5" s="174"/>
      <c r="DE5" s="175"/>
      <c r="DF5" s="86"/>
      <c r="DG5" s="173" t="e">
        <f>(DG9+DH9+DI9-DG22-DH22-DI22)/(DG9+DH9+DI9-DG28-DH28-DI28)</f>
        <v>#DIV/0!</v>
      </c>
      <c r="DH5" s="174"/>
      <c r="DI5" s="175"/>
      <c r="DJ5" s="86"/>
      <c r="DK5" s="173" t="e">
        <f>(DK9+DL9+DM9-DK22-DL22-DM22)/(DK9+DL9+DM9-DK28-DL28-DM28)</f>
        <v>#DIV/0!</v>
      </c>
      <c r="DL5" s="174"/>
      <c r="DM5" s="175"/>
      <c r="DN5" s="86"/>
      <c r="DO5" s="182" t="e">
        <f>AVERAGE(DB5:DN5)</f>
        <v>#DIV/0!</v>
      </c>
      <c r="DP5" s="183"/>
      <c r="DQ5" s="184"/>
      <c r="DR5" s="182">
        <v>0.93896045215599955</v>
      </c>
      <c r="DS5" s="183"/>
      <c r="DT5" s="184"/>
    </row>
    <row r="6" spans="1:124" ht="13.5" customHeight="1" thickBot="1" x14ac:dyDescent="0.3">
      <c r="A6" s="37">
        <v>3</v>
      </c>
      <c r="B6" s="40" t="s">
        <v>82</v>
      </c>
      <c r="C6" s="41">
        <v>0.89655172413793105</v>
      </c>
      <c r="D6" s="41">
        <v>0.95744680851063835</v>
      </c>
      <c r="E6" s="77">
        <v>0.81200000000000006</v>
      </c>
      <c r="F6" s="86"/>
      <c r="G6" s="78">
        <v>0.89440993788819878</v>
      </c>
      <c r="H6" s="41">
        <v>0.82608695652173914</v>
      </c>
      <c r="I6" s="41">
        <v>0.88077858880778592</v>
      </c>
      <c r="J6" s="86"/>
      <c r="K6" s="41">
        <v>0.99130434782608701</v>
      </c>
      <c r="L6" s="41">
        <v>0.9375</v>
      </c>
      <c r="M6" s="41">
        <v>0.85604113110539848</v>
      </c>
      <c r="N6" s="86"/>
      <c r="O6" s="41">
        <f>(O9-O22)/O9</f>
        <v>0.46226415094339623</v>
      </c>
      <c r="P6" s="41">
        <f>(P9-P22)/P9</f>
        <v>0.41176470588235292</v>
      </c>
      <c r="Q6" s="41">
        <f>(Q9-Q22)/Q9</f>
        <v>-0.12152777777777778</v>
      </c>
      <c r="R6" s="86"/>
      <c r="S6" s="41">
        <f t="shared" ref="S6:Y6" si="0">(S9-S22)/S9</f>
        <v>0.12820512820512819</v>
      </c>
      <c r="T6" s="41">
        <f t="shared" si="0"/>
        <v>0.25</v>
      </c>
      <c r="U6" s="41">
        <f t="shared" si="0"/>
        <v>-0.70833333333333337</v>
      </c>
      <c r="V6" s="86"/>
      <c r="W6" s="41" t="e">
        <f t="shared" si="0"/>
        <v>#DIV/0!</v>
      </c>
      <c r="X6" s="41" t="e">
        <f t="shared" si="0"/>
        <v>#DIV/0!</v>
      </c>
      <c r="Y6" s="41" t="e">
        <f t="shared" si="0"/>
        <v>#DIV/0!</v>
      </c>
      <c r="Z6" s="86"/>
      <c r="AA6" s="41" t="e">
        <f t="shared" ref="AA6:AG6" si="1">(AA9-AA22)/AA9</f>
        <v>#DIV/0!</v>
      </c>
      <c r="AB6" s="41" t="e">
        <f t="shared" si="1"/>
        <v>#DIV/0!</v>
      </c>
      <c r="AC6" s="41" t="e">
        <f t="shared" si="1"/>
        <v>#DIV/0!</v>
      </c>
      <c r="AD6" s="86"/>
      <c r="AE6" s="41" t="e">
        <f t="shared" si="1"/>
        <v>#DIV/0!</v>
      </c>
      <c r="AF6" s="41" t="e">
        <f t="shared" si="1"/>
        <v>#DIV/0!</v>
      </c>
      <c r="AG6" s="41" t="e">
        <f t="shared" si="1"/>
        <v>#DIV/0!</v>
      </c>
      <c r="AH6" s="86"/>
      <c r="AI6" s="41" t="e">
        <f t="shared" ref="AI6:AO6" si="2">(AI9-AI22)/AI9</f>
        <v>#DIV/0!</v>
      </c>
      <c r="AJ6" s="41" t="e">
        <f t="shared" si="2"/>
        <v>#DIV/0!</v>
      </c>
      <c r="AK6" s="41" t="e">
        <f t="shared" si="2"/>
        <v>#DIV/0!</v>
      </c>
      <c r="AL6" s="86"/>
      <c r="AM6" s="41">
        <f t="shared" si="2"/>
        <v>0.970873786407767</v>
      </c>
      <c r="AN6" s="41">
        <f t="shared" si="2"/>
        <v>0.9821428571428571</v>
      </c>
      <c r="AO6" s="41">
        <f t="shared" si="2"/>
        <v>0.78481012658227844</v>
      </c>
      <c r="AP6" s="86"/>
      <c r="AQ6" s="41" t="e">
        <f t="shared" ref="AQ6:BA6" si="3">(AQ9-AQ22)/AQ9</f>
        <v>#DIV/0!</v>
      </c>
      <c r="AR6" s="41" t="e">
        <f t="shared" si="3"/>
        <v>#DIV/0!</v>
      </c>
      <c r="AS6" s="41" t="e">
        <f t="shared" si="3"/>
        <v>#DIV/0!</v>
      </c>
      <c r="AT6" s="86"/>
      <c r="AU6" s="41" t="e">
        <f t="shared" si="3"/>
        <v>#DIV/0!</v>
      </c>
      <c r="AV6" s="41" t="e">
        <f t="shared" si="3"/>
        <v>#DIV/0!</v>
      </c>
      <c r="AW6" s="41" t="e">
        <f t="shared" si="3"/>
        <v>#DIV/0!</v>
      </c>
      <c r="AX6" s="86"/>
      <c r="AY6" s="41">
        <f t="shared" si="3"/>
        <v>0.81481481481481477</v>
      </c>
      <c r="AZ6" s="41">
        <f t="shared" si="3"/>
        <v>1</v>
      </c>
      <c r="BA6" s="41">
        <f t="shared" si="3"/>
        <v>0.76582278481012656</v>
      </c>
      <c r="BB6" s="86"/>
      <c r="BC6" s="41" t="e">
        <f t="shared" ref="BC6:BI6" si="4">(BC9-BC22)/BC9</f>
        <v>#DIV/0!</v>
      </c>
      <c r="BD6" s="41" t="e">
        <f t="shared" si="4"/>
        <v>#DIV/0!</v>
      </c>
      <c r="BE6" s="41" t="e">
        <f t="shared" si="4"/>
        <v>#DIV/0!</v>
      </c>
      <c r="BF6" s="86"/>
      <c r="BG6" s="41" t="e">
        <f t="shared" si="4"/>
        <v>#DIV/0!</v>
      </c>
      <c r="BH6" s="41" t="e">
        <f t="shared" si="4"/>
        <v>#DIV/0!</v>
      </c>
      <c r="BI6" s="41" t="e">
        <f t="shared" si="4"/>
        <v>#DIV/0!</v>
      </c>
      <c r="BJ6" s="86"/>
      <c r="BK6" s="41" t="e">
        <f t="shared" ref="BK6:BU6" si="5">(BK9-BK22)/BK9</f>
        <v>#DIV/0!</v>
      </c>
      <c r="BL6" s="41" t="e">
        <f t="shared" si="5"/>
        <v>#DIV/0!</v>
      </c>
      <c r="BM6" s="41" t="e">
        <f t="shared" si="5"/>
        <v>#DIV/0!</v>
      </c>
      <c r="BN6" s="86"/>
      <c r="BO6" s="41">
        <f t="shared" si="5"/>
        <v>0.49115044247787609</v>
      </c>
      <c r="BP6" s="41">
        <f t="shared" si="5"/>
        <v>0.58181818181818179</v>
      </c>
      <c r="BQ6" s="41">
        <f t="shared" si="5"/>
        <v>-3.1609195402298854E-2</v>
      </c>
      <c r="BR6" s="86"/>
      <c r="BS6" s="41">
        <f t="shared" si="5"/>
        <v>0.49115044247787609</v>
      </c>
      <c r="BT6" s="41">
        <f t="shared" si="5"/>
        <v>0.5714285714285714</v>
      </c>
      <c r="BU6" s="41">
        <f t="shared" si="5"/>
        <v>-3.151862464183381E-2</v>
      </c>
      <c r="BV6" s="86"/>
      <c r="BW6" s="41">
        <f t="shared" ref="BW6:CC6" si="6">(BW9-BW22)/BW9</f>
        <v>0.96460176991150437</v>
      </c>
      <c r="BX6" s="41">
        <f t="shared" si="6"/>
        <v>1</v>
      </c>
      <c r="BY6" s="41">
        <f t="shared" si="6"/>
        <v>0.95951417004048578</v>
      </c>
      <c r="BZ6" s="86"/>
      <c r="CA6" s="41">
        <f t="shared" si="6"/>
        <v>0.49115044247787609</v>
      </c>
      <c r="CB6" s="41">
        <f t="shared" si="6"/>
        <v>0.5714285714285714</v>
      </c>
      <c r="CC6" s="41">
        <f t="shared" si="6"/>
        <v>-1.9830028328611898E-2</v>
      </c>
      <c r="CD6" s="86"/>
      <c r="CE6" s="41">
        <f t="shared" ref="CE6:CK6" si="7">(CE9-CE22)/CE9</f>
        <v>0.49115044247787609</v>
      </c>
      <c r="CF6" s="41">
        <f t="shared" si="7"/>
        <v>0.5714285714285714</v>
      </c>
      <c r="CG6" s="41">
        <f t="shared" si="7"/>
        <v>-3.151862464183381E-2</v>
      </c>
      <c r="CH6" s="86"/>
      <c r="CI6" s="41">
        <f t="shared" si="7"/>
        <v>0.81481481481481477</v>
      </c>
      <c r="CJ6" s="41">
        <f t="shared" si="7"/>
        <v>1</v>
      </c>
      <c r="CK6" s="41">
        <f t="shared" si="7"/>
        <v>0.76582278481012656</v>
      </c>
      <c r="CL6" s="86"/>
      <c r="CM6" s="41" t="e">
        <f>(CM9-CM22)/CM9</f>
        <v>#DIV/0!</v>
      </c>
      <c r="CN6" s="41" t="e">
        <f>(CN9-CN22)/CN9</f>
        <v>#DIV/0!</v>
      </c>
      <c r="CO6" s="41" t="e">
        <f>(CO9-CO22)/CO9</f>
        <v>#DIV/0!</v>
      </c>
      <c r="CP6" s="86"/>
      <c r="CQ6" s="41">
        <f t="shared" ref="CQ6:CS6" si="8">(CQ9-CQ22)/CQ9</f>
        <v>0.81481481481481477</v>
      </c>
      <c r="CR6" s="41">
        <f t="shared" si="8"/>
        <v>1</v>
      </c>
      <c r="CS6" s="41">
        <f t="shared" si="8"/>
        <v>0.76582278481012656</v>
      </c>
      <c r="CT6" s="86"/>
      <c r="CU6" s="41" t="e">
        <f t="shared" ref="CU6:CW6" si="9">(CU9-CU22)/CU9</f>
        <v>#DIV/0!</v>
      </c>
      <c r="CV6" s="41" t="e">
        <f t="shared" si="9"/>
        <v>#DIV/0!</v>
      </c>
      <c r="CW6" s="41" t="e">
        <f t="shared" si="9"/>
        <v>#DIV/0!</v>
      </c>
      <c r="CX6" s="86"/>
      <c r="CY6" s="41" t="e">
        <f t="shared" ref="CY6:DA6" si="10">(CY9-CY22)/CY9</f>
        <v>#DIV/0!</v>
      </c>
      <c r="CZ6" s="41" t="e">
        <f t="shared" si="10"/>
        <v>#DIV/0!</v>
      </c>
      <c r="DA6" s="41" t="e">
        <f t="shared" si="10"/>
        <v>#DIV/0!</v>
      </c>
      <c r="DB6" s="86"/>
      <c r="DC6" s="41" t="e">
        <f t="shared" ref="DC6:DE6" si="11">(DC9-DC22)/DC9</f>
        <v>#DIV/0!</v>
      </c>
      <c r="DD6" s="41" t="e">
        <f t="shared" si="11"/>
        <v>#DIV/0!</v>
      </c>
      <c r="DE6" s="41" t="e">
        <f t="shared" si="11"/>
        <v>#DIV/0!</v>
      </c>
      <c r="DF6" s="86"/>
      <c r="DG6" s="41" t="e">
        <f t="shared" ref="DG6:DI6" si="12">(DG9-DG22)/DG9</f>
        <v>#DIV/0!</v>
      </c>
      <c r="DH6" s="41" t="e">
        <f t="shared" si="12"/>
        <v>#DIV/0!</v>
      </c>
      <c r="DI6" s="41" t="e">
        <f t="shared" si="12"/>
        <v>#DIV/0!</v>
      </c>
      <c r="DJ6" s="86"/>
      <c r="DK6" s="41" t="e">
        <f t="shared" ref="DK6:DM6" si="13">(DK9-DK22)/DK9</f>
        <v>#DIV/0!</v>
      </c>
      <c r="DL6" s="41" t="e">
        <f t="shared" si="13"/>
        <v>#DIV/0!</v>
      </c>
      <c r="DM6" s="41" t="e">
        <f t="shared" si="13"/>
        <v>#DIV/0!</v>
      </c>
      <c r="DN6" s="86"/>
      <c r="DO6" s="42" t="e">
        <f t="shared" ref="DO6:DQ8" si="14">AVERAGE(CU6,CY6,DC6,DG6,DK6)</f>
        <v>#DIV/0!</v>
      </c>
      <c r="DP6" s="42" t="e">
        <f t="shared" si="14"/>
        <v>#DIV/0!</v>
      </c>
      <c r="DQ6" s="42" t="e">
        <f t="shared" si="14"/>
        <v>#DIV/0!</v>
      </c>
      <c r="DR6" s="42">
        <v>0.93567037430513855</v>
      </c>
      <c r="DS6" s="42">
        <v>0.89969622741031496</v>
      </c>
      <c r="DT6" s="42">
        <v>0.88604291182498762</v>
      </c>
    </row>
    <row r="7" spans="1:124" ht="13.5" customHeight="1" thickBot="1" x14ac:dyDescent="0.3">
      <c r="A7" s="37">
        <v>4</v>
      </c>
      <c r="B7" s="43" t="s">
        <v>83</v>
      </c>
      <c r="C7" s="41">
        <v>0.89655172413793105</v>
      </c>
      <c r="D7" s="41">
        <v>1</v>
      </c>
      <c r="E7" s="77">
        <v>0.88260869565217392</v>
      </c>
      <c r="F7" s="86"/>
      <c r="G7" s="78">
        <v>0.93506493506493504</v>
      </c>
      <c r="H7" s="41">
        <v>0.95959595959595956</v>
      </c>
      <c r="I7" s="41">
        <v>0.94270833333333337</v>
      </c>
      <c r="J7" s="86"/>
      <c r="K7" s="41">
        <v>0.99130434782608701</v>
      </c>
      <c r="L7" s="41">
        <v>0.9375</v>
      </c>
      <c r="M7" s="41">
        <v>0.87862796833773082</v>
      </c>
      <c r="N7" s="86"/>
      <c r="O7" s="41">
        <f>(O9-O22)/(O9-O28)</f>
        <v>0.61250000000000004</v>
      </c>
      <c r="P7" s="41">
        <f>(P9-P22)/(P9-P28)</f>
        <v>0.41176470588235292</v>
      </c>
      <c r="Q7" s="41">
        <f>(Q9-Q22)/(Q9-Q28)</f>
        <v>-0.12681159420289856</v>
      </c>
      <c r="R7" s="86"/>
      <c r="S7" s="41">
        <f t="shared" ref="S7:Y7" si="15">(S9-S22)/(S9-S28)</f>
        <v>0.12820512820512819</v>
      </c>
      <c r="T7" s="41">
        <f t="shared" si="15"/>
        <v>0.25</v>
      </c>
      <c r="U7" s="41">
        <f t="shared" si="15"/>
        <v>-0.71830985915492962</v>
      </c>
      <c r="V7" s="86"/>
      <c r="W7" s="41" t="e">
        <f t="shared" si="15"/>
        <v>#DIV/0!</v>
      </c>
      <c r="X7" s="41" t="e">
        <f t="shared" si="15"/>
        <v>#DIV/0!</v>
      </c>
      <c r="Y7" s="41" t="e">
        <f t="shared" si="15"/>
        <v>#DIV/0!</v>
      </c>
      <c r="Z7" s="86"/>
      <c r="AA7" s="41" t="e">
        <f t="shared" ref="AA7:AG7" si="16">(AA9-AA22)/(AA9-AA28)</f>
        <v>#DIV/0!</v>
      </c>
      <c r="AB7" s="41" t="e">
        <f t="shared" si="16"/>
        <v>#DIV/0!</v>
      </c>
      <c r="AC7" s="41" t="e">
        <f t="shared" si="16"/>
        <v>#DIV/0!</v>
      </c>
      <c r="AD7" s="86"/>
      <c r="AE7" s="41" t="e">
        <f t="shared" si="16"/>
        <v>#DIV/0!</v>
      </c>
      <c r="AF7" s="41" t="e">
        <f t="shared" si="16"/>
        <v>#DIV/0!</v>
      </c>
      <c r="AG7" s="41" t="e">
        <f t="shared" si="16"/>
        <v>#DIV/0!</v>
      </c>
      <c r="AH7" s="86"/>
      <c r="AI7" s="41" t="e">
        <f t="shared" ref="AI7:AO7" si="17">(AI9-AI22)/(AI9-AI28)</f>
        <v>#DIV/0!</v>
      </c>
      <c r="AJ7" s="41" t="e">
        <f t="shared" si="17"/>
        <v>#DIV/0!</v>
      </c>
      <c r="AK7" s="41" t="e">
        <f t="shared" si="17"/>
        <v>#DIV/0!</v>
      </c>
      <c r="AL7" s="86"/>
      <c r="AM7" s="41">
        <f t="shared" si="17"/>
        <v>0.970873786407767</v>
      </c>
      <c r="AN7" s="41">
        <f t="shared" si="17"/>
        <v>0.9821428571428571</v>
      </c>
      <c r="AO7" s="41">
        <f t="shared" si="17"/>
        <v>0.79487179487179482</v>
      </c>
      <c r="AP7" s="86"/>
      <c r="AQ7" s="41" t="e">
        <f t="shared" ref="AQ7:BA7" si="18">(AQ9-AQ22)/(AQ9-AQ28)</f>
        <v>#DIV/0!</v>
      </c>
      <c r="AR7" s="41" t="e">
        <f t="shared" si="18"/>
        <v>#DIV/0!</v>
      </c>
      <c r="AS7" s="41" t="e">
        <f t="shared" si="18"/>
        <v>#DIV/0!</v>
      </c>
      <c r="AT7" s="86"/>
      <c r="AU7" s="41" t="e">
        <f t="shared" si="18"/>
        <v>#DIV/0!</v>
      </c>
      <c r="AV7" s="41" t="e">
        <f t="shared" si="18"/>
        <v>#DIV/0!</v>
      </c>
      <c r="AW7" s="41" t="e">
        <f t="shared" si="18"/>
        <v>#DIV/0!</v>
      </c>
      <c r="AX7" s="86"/>
      <c r="AY7" s="41">
        <f t="shared" si="18"/>
        <v>0.81481481481481477</v>
      </c>
      <c r="AZ7" s="41">
        <f t="shared" si="18"/>
        <v>1</v>
      </c>
      <c r="BA7" s="41">
        <f t="shared" si="18"/>
        <v>0.80666666666666664</v>
      </c>
      <c r="BB7" s="86"/>
      <c r="BC7" s="41" t="e">
        <f t="shared" ref="BC7:BI7" si="19">(BC9-BC22)/(BC9-BC28)</f>
        <v>#DIV/0!</v>
      </c>
      <c r="BD7" s="41" t="e">
        <f t="shared" si="19"/>
        <v>#DIV/0!</v>
      </c>
      <c r="BE7" s="41" t="e">
        <f t="shared" si="19"/>
        <v>#DIV/0!</v>
      </c>
      <c r="BF7" s="86"/>
      <c r="BG7" s="41" t="e">
        <f t="shared" si="19"/>
        <v>#DIV/0!</v>
      </c>
      <c r="BH7" s="41" t="e">
        <f t="shared" si="19"/>
        <v>#DIV/0!</v>
      </c>
      <c r="BI7" s="41" t="e">
        <f t="shared" si="19"/>
        <v>#DIV/0!</v>
      </c>
      <c r="BJ7" s="86"/>
      <c r="BK7" s="41" t="e">
        <f t="shared" ref="BK7:BU7" si="20">(BK9-BK22)/(BK9-BK28)</f>
        <v>#DIV/0!</v>
      </c>
      <c r="BL7" s="41" t="e">
        <f t="shared" si="20"/>
        <v>#DIV/0!</v>
      </c>
      <c r="BM7" s="41" t="e">
        <f t="shared" si="20"/>
        <v>#DIV/0!</v>
      </c>
      <c r="BN7" s="86"/>
      <c r="BO7" s="41">
        <f t="shared" si="20"/>
        <v>0.68518518518518523</v>
      </c>
      <c r="BP7" s="41">
        <f t="shared" si="20"/>
        <v>0.58181818181818179</v>
      </c>
      <c r="BQ7" s="41">
        <f t="shared" si="20"/>
        <v>-3.2163742690058478E-2</v>
      </c>
      <c r="BR7" s="86"/>
      <c r="BS7" s="41">
        <f t="shared" si="20"/>
        <v>0.68518518518518523</v>
      </c>
      <c r="BT7" s="41">
        <f t="shared" si="20"/>
        <v>0.5714285714285714</v>
      </c>
      <c r="BU7" s="41">
        <f t="shared" si="20"/>
        <v>-3.2069970845481049E-2</v>
      </c>
      <c r="BV7" s="86"/>
      <c r="BW7" s="41">
        <f t="shared" ref="BW7:CC7" si="21">(BW9-BW22)/(BW9-BW28)</f>
        <v>0.96460176991150437</v>
      </c>
      <c r="BX7" s="41">
        <f t="shared" si="21"/>
        <v>1</v>
      </c>
      <c r="BY7" s="41">
        <f t="shared" si="21"/>
        <v>0.97933884297520657</v>
      </c>
      <c r="BZ7" s="86"/>
      <c r="CA7" s="41">
        <f t="shared" si="21"/>
        <v>0.68518518518518523</v>
      </c>
      <c r="CB7" s="41">
        <f t="shared" si="21"/>
        <v>0.5714285714285714</v>
      </c>
      <c r="CC7" s="41">
        <f t="shared" si="21"/>
        <v>-2.0172910662824207E-2</v>
      </c>
      <c r="CD7" s="86"/>
      <c r="CE7" s="41">
        <f t="shared" ref="CE7:CK7" si="22">(CE9-CE22)/(CE9-CE28)</f>
        <v>0.68518518518518523</v>
      </c>
      <c r="CF7" s="41">
        <f t="shared" si="22"/>
        <v>0.5714285714285714</v>
      </c>
      <c r="CG7" s="41">
        <f t="shared" si="22"/>
        <v>-3.2069970845481049E-2</v>
      </c>
      <c r="CH7" s="86"/>
      <c r="CI7" s="41">
        <f t="shared" si="22"/>
        <v>0.81481481481481477</v>
      </c>
      <c r="CJ7" s="41">
        <f t="shared" si="22"/>
        <v>1</v>
      </c>
      <c r="CK7" s="41">
        <f t="shared" si="22"/>
        <v>0.81756756756756754</v>
      </c>
      <c r="CL7" s="86"/>
      <c r="CM7" s="41" t="e">
        <f>(CM9-CM22)/(CM9-CM28)</f>
        <v>#DIV/0!</v>
      </c>
      <c r="CN7" s="41" t="e">
        <f>(CN9-CN22)/(CN9-CN28)</f>
        <v>#DIV/0!</v>
      </c>
      <c r="CO7" s="41" t="e">
        <f>(CO9-CO22)/(CO9-CO28)</f>
        <v>#DIV/0!</v>
      </c>
      <c r="CP7" s="86"/>
      <c r="CQ7" s="41">
        <f t="shared" ref="CQ7:CS7" si="23">(CQ9-CQ22)/(CQ9-CQ28)</f>
        <v>0.81481481481481477</v>
      </c>
      <c r="CR7" s="41">
        <f t="shared" si="23"/>
        <v>1</v>
      </c>
      <c r="CS7" s="41">
        <f t="shared" si="23"/>
        <v>0.81756756756756754</v>
      </c>
      <c r="CT7" s="86"/>
      <c r="CU7" s="41" t="e">
        <f t="shared" ref="CU7:CW7" si="24">(CU9-CU22)/(CU9-CU28)</f>
        <v>#DIV/0!</v>
      </c>
      <c r="CV7" s="41" t="e">
        <f t="shared" si="24"/>
        <v>#DIV/0!</v>
      </c>
      <c r="CW7" s="41" t="e">
        <f t="shared" si="24"/>
        <v>#DIV/0!</v>
      </c>
      <c r="CX7" s="86"/>
      <c r="CY7" s="41" t="e">
        <f t="shared" ref="CY7:DA7" si="25">(CY9-CY22)/(CY9-CY28)</f>
        <v>#DIV/0!</v>
      </c>
      <c r="CZ7" s="41" t="e">
        <f t="shared" si="25"/>
        <v>#DIV/0!</v>
      </c>
      <c r="DA7" s="41" t="e">
        <f t="shared" si="25"/>
        <v>#DIV/0!</v>
      </c>
      <c r="DB7" s="86"/>
      <c r="DC7" s="41" t="e">
        <f t="shared" ref="DC7:DE7" si="26">(DC9-DC22)/(DC9-DC28)</f>
        <v>#DIV/0!</v>
      </c>
      <c r="DD7" s="41" t="e">
        <f t="shared" si="26"/>
        <v>#DIV/0!</v>
      </c>
      <c r="DE7" s="41" t="e">
        <f t="shared" si="26"/>
        <v>#DIV/0!</v>
      </c>
      <c r="DF7" s="86"/>
      <c r="DG7" s="41" t="e">
        <f t="shared" ref="DG7:DI7" si="27">(DG9-DG22)/(DG9-DG28)</f>
        <v>#DIV/0!</v>
      </c>
      <c r="DH7" s="41" t="e">
        <f t="shared" si="27"/>
        <v>#DIV/0!</v>
      </c>
      <c r="DI7" s="41" t="e">
        <f t="shared" si="27"/>
        <v>#DIV/0!</v>
      </c>
      <c r="DJ7" s="86"/>
      <c r="DK7" s="41" t="e">
        <f t="shared" ref="DK7:DM7" si="28">(DK9-DK22)/(DK9-DK28)</f>
        <v>#DIV/0!</v>
      </c>
      <c r="DL7" s="41" t="e">
        <f t="shared" si="28"/>
        <v>#DIV/0!</v>
      </c>
      <c r="DM7" s="41" t="e">
        <f t="shared" si="28"/>
        <v>#DIV/0!</v>
      </c>
      <c r="DN7" s="86"/>
      <c r="DO7" s="42" t="e">
        <f t="shared" si="14"/>
        <v>#DIV/0!</v>
      </c>
      <c r="DP7" s="42" t="e">
        <f t="shared" si="14"/>
        <v>#DIV/0!</v>
      </c>
      <c r="DQ7" s="42" t="e">
        <f t="shared" si="14"/>
        <v>#DIV/0!</v>
      </c>
      <c r="DR7" s="42">
        <v>0.95251364215789103</v>
      </c>
      <c r="DS7" s="42">
        <v>0.9248479694908267</v>
      </c>
      <c r="DT7" s="42">
        <v>0.93321946275675316</v>
      </c>
    </row>
    <row r="8" spans="1:124" ht="13.5" customHeight="1" thickBot="1" x14ac:dyDescent="0.3">
      <c r="A8" s="37">
        <v>5</v>
      </c>
      <c r="B8" s="43" t="s">
        <v>84</v>
      </c>
      <c r="C8" s="41">
        <f t="shared" ref="C8:Q8" si="29">(C9-C22)/C9</f>
        <v>0.47350993377483441</v>
      </c>
      <c r="D8" s="41">
        <f t="shared" si="29"/>
        <v>0.33333333333333331</v>
      </c>
      <c r="E8" s="77">
        <f t="shared" si="29"/>
        <v>-5.1622418879056046E-2</v>
      </c>
      <c r="F8" s="86"/>
      <c r="G8" s="78" t="e">
        <f t="shared" si="29"/>
        <v>#DIV/0!</v>
      </c>
      <c r="H8" s="41" t="e">
        <f t="shared" si="29"/>
        <v>#DIV/0!</v>
      </c>
      <c r="I8" s="41" t="e">
        <f t="shared" si="29"/>
        <v>#DIV/0!</v>
      </c>
      <c r="J8" s="86"/>
      <c r="K8" s="41">
        <f t="shared" si="29"/>
        <v>0.49818181818181817</v>
      </c>
      <c r="L8" s="41">
        <f t="shared" si="29"/>
        <v>0.546875</v>
      </c>
      <c r="M8" s="41">
        <f t="shared" si="29"/>
        <v>-1.090909090909091E-2</v>
      </c>
      <c r="N8" s="86"/>
      <c r="O8" s="41">
        <f t="shared" si="29"/>
        <v>0.46226415094339623</v>
      </c>
      <c r="P8" s="41">
        <f t="shared" si="29"/>
        <v>0.41176470588235292</v>
      </c>
      <c r="Q8" s="41">
        <f t="shared" si="29"/>
        <v>-0.12152777777777778</v>
      </c>
      <c r="R8" s="86"/>
      <c r="S8" s="41">
        <f t="shared" ref="S8:Y8" si="30">(S9-S22)/S9</f>
        <v>0.12820512820512819</v>
      </c>
      <c r="T8" s="41">
        <f t="shared" si="30"/>
        <v>0.25</v>
      </c>
      <c r="U8" s="41">
        <f t="shared" si="30"/>
        <v>-0.70833333333333337</v>
      </c>
      <c r="V8" s="86"/>
      <c r="W8" s="41" t="e">
        <f t="shared" si="30"/>
        <v>#DIV/0!</v>
      </c>
      <c r="X8" s="41" t="e">
        <f t="shared" si="30"/>
        <v>#DIV/0!</v>
      </c>
      <c r="Y8" s="41" t="e">
        <f t="shared" si="30"/>
        <v>#DIV/0!</v>
      </c>
      <c r="Z8" s="86"/>
      <c r="AA8" s="41" t="e">
        <f t="shared" ref="AA8:AG8" si="31">(AA9-AA22)/AA9</f>
        <v>#DIV/0!</v>
      </c>
      <c r="AB8" s="41" t="e">
        <f t="shared" si="31"/>
        <v>#DIV/0!</v>
      </c>
      <c r="AC8" s="41" t="e">
        <f t="shared" si="31"/>
        <v>#DIV/0!</v>
      </c>
      <c r="AD8" s="86"/>
      <c r="AE8" s="41" t="e">
        <f t="shared" si="31"/>
        <v>#DIV/0!</v>
      </c>
      <c r="AF8" s="41" t="e">
        <f t="shared" si="31"/>
        <v>#DIV/0!</v>
      </c>
      <c r="AG8" s="41" t="e">
        <f t="shared" si="31"/>
        <v>#DIV/0!</v>
      </c>
      <c r="AH8" s="86"/>
      <c r="AI8" s="41" t="e">
        <f t="shared" ref="AI8:AO8" si="32">(AI9-AI22)/AI9</f>
        <v>#DIV/0!</v>
      </c>
      <c r="AJ8" s="41" t="e">
        <f t="shared" si="32"/>
        <v>#DIV/0!</v>
      </c>
      <c r="AK8" s="41" t="e">
        <f t="shared" si="32"/>
        <v>#DIV/0!</v>
      </c>
      <c r="AL8" s="86"/>
      <c r="AM8" s="41">
        <f t="shared" si="32"/>
        <v>0.970873786407767</v>
      </c>
      <c r="AN8" s="41">
        <f t="shared" si="32"/>
        <v>0.9821428571428571</v>
      </c>
      <c r="AO8" s="41">
        <f t="shared" si="32"/>
        <v>0.78481012658227844</v>
      </c>
      <c r="AP8" s="86"/>
      <c r="AQ8" s="41" t="e">
        <f t="shared" ref="AQ8:BA8" si="33">(AQ9-AQ22)/AQ9</f>
        <v>#DIV/0!</v>
      </c>
      <c r="AR8" s="41" t="e">
        <f t="shared" si="33"/>
        <v>#DIV/0!</v>
      </c>
      <c r="AS8" s="41" t="e">
        <f t="shared" si="33"/>
        <v>#DIV/0!</v>
      </c>
      <c r="AT8" s="86"/>
      <c r="AU8" s="41" t="e">
        <f t="shared" si="33"/>
        <v>#DIV/0!</v>
      </c>
      <c r="AV8" s="41" t="e">
        <f t="shared" si="33"/>
        <v>#DIV/0!</v>
      </c>
      <c r="AW8" s="41" t="e">
        <f t="shared" si="33"/>
        <v>#DIV/0!</v>
      </c>
      <c r="AX8" s="86"/>
      <c r="AY8" s="41">
        <f t="shared" si="33"/>
        <v>0.81481481481481477</v>
      </c>
      <c r="AZ8" s="41">
        <f t="shared" si="33"/>
        <v>1</v>
      </c>
      <c r="BA8" s="41">
        <f t="shared" si="33"/>
        <v>0.76582278481012656</v>
      </c>
      <c r="BB8" s="86"/>
      <c r="BC8" s="41" t="e">
        <f t="shared" ref="BC8:BI8" si="34">(BC9-BC22)/BC9</f>
        <v>#DIV/0!</v>
      </c>
      <c r="BD8" s="41" t="e">
        <f t="shared" si="34"/>
        <v>#DIV/0!</v>
      </c>
      <c r="BE8" s="41" t="e">
        <f t="shared" si="34"/>
        <v>#DIV/0!</v>
      </c>
      <c r="BF8" s="86"/>
      <c r="BG8" s="41" t="e">
        <f t="shared" si="34"/>
        <v>#DIV/0!</v>
      </c>
      <c r="BH8" s="41" t="e">
        <f t="shared" si="34"/>
        <v>#DIV/0!</v>
      </c>
      <c r="BI8" s="41" t="e">
        <f t="shared" si="34"/>
        <v>#DIV/0!</v>
      </c>
      <c r="BJ8" s="86"/>
      <c r="BK8" s="41" t="e">
        <f t="shared" ref="BK8:BU8" si="35">(BK9-BK22)/BK9</f>
        <v>#DIV/0!</v>
      </c>
      <c r="BL8" s="41" t="e">
        <f t="shared" si="35"/>
        <v>#DIV/0!</v>
      </c>
      <c r="BM8" s="41" t="e">
        <f t="shared" si="35"/>
        <v>#DIV/0!</v>
      </c>
      <c r="BN8" s="86"/>
      <c r="BO8" s="41">
        <f t="shared" si="35"/>
        <v>0.49115044247787609</v>
      </c>
      <c r="BP8" s="41">
        <f t="shared" si="35"/>
        <v>0.58181818181818179</v>
      </c>
      <c r="BQ8" s="41">
        <f t="shared" si="35"/>
        <v>-3.1609195402298854E-2</v>
      </c>
      <c r="BR8" s="86"/>
      <c r="BS8" s="41">
        <f t="shared" si="35"/>
        <v>0.49115044247787609</v>
      </c>
      <c r="BT8" s="41">
        <f t="shared" si="35"/>
        <v>0.5714285714285714</v>
      </c>
      <c r="BU8" s="41">
        <f t="shared" si="35"/>
        <v>-3.151862464183381E-2</v>
      </c>
      <c r="BV8" s="86"/>
      <c r="BW8" s="41">
        <f t="shared" ref="BW8:CC8" si="36">(BW9-BW22)/BW9</f>
        <v>0.96460176991150437</v>
      </c>
      <c r="BX8" s="41">
        <f t="shared" si="36"/>
        <v>1</v>
      </c>
      <c r="BY8" s="41">
        <f t="shared" si="36"/>
        <v>0.95951417004048578</v>
      </c>
      <c r="BZ8" s="86"/>
      <c r="CA8" s="41">
        <f t="shared" si="36"/>
        <v>0.49115044247787609</v>
      </c>
      <c r="CB8" s="41">
        <f t="shared" si="36"/>
        <v>0.5714285714285714</v>
      </c>
      <c r="CC8" s="41">
        <f t="shared" si="36"/>
        <v>-1.9830028328611898E-2</v>
      </c>
      <c r="CD8" s="86"/>
      <c r="CE8" s="41">
        <f t="shared" ref="CE8:CK8" si="37">(CE9-CE22)/CE9</f>
        <v>0.49115044247787609</v>
      </c>
      <c r="CF8" s="41">
        <f t="shared" si="37"/>
        <v>0.5714285714285714</v>
      </c>
      <c r="CG8" s="41">
        <f t="shared" si="37"/>
        <v>-3.151862464183381E-2</v>
      </c>
      <c r="CH8" s="86"/>
      <c r="CI8" s="41">
        <f t="shared" si="37"/>
        <v>0.81481481481481477</v>
      </c>
      <c r="CJ8" s="41">
        <f t="shared" si="37"/>
        <v>1</v>
      </c>
      <c r="CK8" s="41">
        <f t="shared" si="37"/>
        <v>0.76582278481012656</v>
      </c>
      <c r="CL8" s="86"/>
      <c r="CM8" s="41" t="e">
        <f>(CM9-CM22)/CM9</f>
        <v>#DIV/0!</v>
      </c>
      <c r="CN8" s="41" t="e">
        <f>(CN9-CN22)/CN9</f>
        <v>#DIV/0!</v>
      </c>
      <c r="CO8" s="41" t="e">
        <f>(CO9-CO22)/CO9</f>
        <v>#DIV/0!</v>
      </c>
      <c r="CP8" s="86"/>
      <c r="CQ8" s="41">
        <f t="shared" ref="CQ8:CS8" si="38">(CQ9-CQ22)/CQ9</f>
        <v>0.81481481481481477</v>
      </c>
      <c r="CR8" s="41">
        <f t="shared" si="38"/>
        <v>1</v>
      </c>
      <c r="CS8" s="41">
        <f t="shared" si="38"/>
        <v>0.76582278481012656</v>
      </c>
      <c r="CT8" s="86"/>
      <c r="CU8" s="41" t="e">
        <f t="shared" ref="CU8:CW8" si="39">(CU9-CU22)/CU9</f>
        <v>#DIV/0!</v>
      </c>
      <c r="CV8" s="41" t="e">
        <f t="shared" si="39"/>
        <v>#DIV/0!</v>
      </c>
      <c r="CW8" s="41" t="e">
        <f t="shared" si="39"/>
        <v>#DIV/0!</v>
      </c>
      <c r="CX8" s="86"/>
      <c r="CY8" s="41" t="e">
        <f t="shared" ref="CY8:DA8" si="40">(CY9-CY22)/CY9</f>
        <v>#DIV/0!</v>
      </c>
      <c r="CZ8" s="41" t="e">
        <f t="shared" si="40"/>
        <v>#DIV/0!</v>
      </c>
      <c r="DA8" s="41" t="e">
        <f t="shared" si="40"/>
        <v>#DIV/0!</v>
      </c>
      <c r="DB8" s="86"/>
      <c r="DC8" s="41" t="e">
        <f t="shared" ref="DC8:DE8" si="41">(DC9-DC22)/DC9</f>
        <v>#DIV/0!</v>
      </c>
      <c r="DD8" s="41" t="e">
        <f t="shared" si="41"/>
        <v>#DIV/0!</v>
      </c>
      <c r="DE8" s="41" t="e">
        <f t="shared" si="41"/>
        <v>#DIV/0!</v>
      </c>
      <c r="DF8" s="86"/>
      <c r="DG8" s="41" t="e">
        <f t="shared" ref="DG8:DI8" si="42">(DG9-DG22)/DG9</f>
        <v>#DIV/0!</v>
      </c>
      <c r="DH8" s="41" t="e">
        <f t="shared" si="42"/>
        <v>#DIV/0!</v>
      </c>
      <c r="DI8" s="41" t="e">
        <f t="shared" si="42"/>
        <v>#DIV/0!</v>
      </c>
      <c r="DJ8" s="86"/>
      <c r="DK8" s="41" t="e">
        <f t="shared" ref="DK8:DM8" si="43">(DK9-DK22)/DK9</f>
        <v>#DIV/0!</v>
      </c>
      <c r="DL8" s="41" t="e">
        <f t="shared" si="43"/>
        <v>#DIV/0!</v>
      </c>
      <c r="DM8" s="41" t="e">
        <f t="shared" si="43"/>
        <v>#DIV/0!</v>
      </c>
      <c r="DN8" s="86"/>
      <c r="DO8" s="42" t="e">
        <f t="shared" si="14"/>
        <v>#DIV/0!</v>
      </c>
      <c r="DP8" s="42" t="e">
        <f t="shared" si="14"/>
        <v>#DIV/0!</v>
      </c>
      <c r="DQ8" s="42" t="e">
        <f t="shared" si="14"/>
        <v>#DIV/0!</v>
      </c>
      <c r="DR8" s="42">
        <v>0.99356499356499361</v>
      </c>
      <c r="DS8" s="42">
        <v>0.99880952380952392</v>
      </c>
      <c r="DT8" s="42">
        <v>0.9739490245923047</v>
      </c>
    </row>
    <row r="9" spans="1:124" ht="13.5" customHeight="1" thickBot="1" x14ac:dyDescent="0.3">
      <c r="A9" s="176">
        <v>6</v>
      </c>
      <c r="B9" s="43" t="s">
        <v>85</v>
      </c>
      <c r="C9" s="44">
        <f>SUM(C10:C22)</f>
        <v>302</v>
      </c>
      <c r="D9" s="45">
        <f>SUM(D10:D22)</f>
        <v>15</v>
      </c>
      <c r="E9" s="79">
        <f>SUM(E10:E19)</f>
        <v>678</v>
      </c>
      <c r="F9" s="86"/>
      <c r="G9" s="45">
        <f>SUM(G10:G22)</f>
        <v>0</v>
      </c>
      <c r="H9" s="45">
        <f>SUM(H10:H22)</f>
        <v>0</v>
      </c>
      <c r="I9" s="45">
        <f>SUM(I10:I19)</f>
        <v>0</v>
      </c>
      <c r="J9" s="86"/>
      <c r="K9" s="44">
        <f>SUM(K10:K22)</f>
        <v>275</v>
      </c>
      <c r="L9" s="45">
        <f>SUM(L10:L22)</f>
        <v>64</v>
      </c>
      <c r="M9" s="45">
        <f>SUM(M10:M19)</f>
        <v>275</v>
      </c>
      <c r="N9" s="86"/>
      <c r="O9" s="44">
        <f>SUM(O10:O22)</f>
        <v>106</v>
      </c>
      <c r="P9" s="45">
        <f>SUM(P10:P22)</f>
        <v>17</v>
      </c>
      <c r="Q9" s="45">
        <f>SUM(Q10:Q19)</f>
        <v>288</v>
      </c>
      <c r="R9" s="86"/>
      <c r="S9" s="44">
        <f>SUM(S10:S22)</f>
        <v>39</v>
      </c>
      <c r="T9" s="45">
        <f>SUM(T10:T22)</f>
        <v>16</v>
      </c>
      <c r="U9" s="45">
        <f>SUM(U10:U19)</f>
        <v>72</v>
      </c>
      <c r="V9" s="86"/>
      <c r="W9" s="44">
        <f>SUM(W10:W22)</f>
        <v>0</v>
      </c>
      <c r="X9" s="45">
        <f>SUM(X10:X22)</f>
        <v>0</v>
      </c>
      <c r="Y9" s="45">
        <f>SUM(Y10:Y19)</f>
        <v>0</v>
      </c>
      <c r="Z9" s="86"/>
      <c r="AA9" s="44">
        <f>SUM(AA10:AA22)</f>
        <v>0</v>
      </c>
      <c r="AB9" s="45">
        <f>SUM(AB10:AB22)</f>
        <v>0</v>
      </c>
      <c r="AC9" s="45">
        <f>SUM(AC10:AC19)</f>
        <v>0</v>
      </c>
      <c r="AD9" s="86"/>
      <c r="AE9" s="44">
        <f>SUM(AE10:AE22)</f>
        <v>0</v>
      </c>
      <c r="AF9" s="45">
        <f>SUM(AF10:AF22)</f>
        <v>0</v>
      </c>
      <c r="AG9" s="45">
        <f>SUM(AG10:AG19)</f>
        <v>0</v>
      </c>
      <c r="AH9" s="86"/>
      <c r="AI9" s="44">
        <f>SUM(AI10:AI22)</f>
        <v>0</v>
      </c>
      <c r="AJ9" s="45">
        <f>SUM(AJ10:AJ22)</f>
        <v>0</v>
      </c>
      <c r="AK9" s="45">
        <f>SUM(AK10:AK19)</f>
        <v>0</v>
      </c>
      <c r="AL9" s="86"/>
      <c r="AM9" s="44">
        <f>SUM(AM10:AM22)</f>
        <v>103</v>
      </c>
      <c r="AN9" s="45">
        <f>SUM(AN10:AN22)</f>
        <v>56</v>
      </c>
      <c r="AO9" s="45">
        <f>SUM(AO10:AO19)</f>
        <v>158</v>
      </c>
      <c r="AP9" s="86"/>
      <c r="AQ9" s="44">
        <f>SUM(AQ10:AQ22)</f>
        <v>0</v>
      </c>
      <c r="AR9" s="45">
        <f>SUM(AR10:AR22)</f>
        <v>0</v>
      </c>
      <c r="AS9" s="45">
        <f>SUM(AS10:AS19)</f>
        <v>0</v>
      </c>
      <c r="AT9" s="86"/>
      <c r="AU9" s="44">
        <f>SUM(AU10:AU22)</f>
        <v>0</v>
      </c>
      <c r="AV9" s="45">
        <f>SUM(AV10:AV22)</f>
        <v>0</v>
      </c>
      <c r="AW9" s="45">
        <f>SUM(AW10:AW19)</f>
        <v>0</v>
      </c>
      <c r="AX9" s="86"/>
      <c r="AY9" s="44">
        <f>SUM(AY10:AY22)</f>
        <v>54</v>
      </c>
      <c r="AZ9" s="45">
        <f>SUM(AZ10:AZ22)</f>
        <v>9</v>
      </c>
      <c r="BA9" s="45">
        <f>SUM(BA10:BA19)</f>
        <v>158</v>
      </c>
      <c r="BB9" s="86"/>
      <c r="BC9" s="44">
        <f>SUM(BC10:BC22)</f>
        <v>0</v>
      </c>
      <c r="BD9" s="45">
        <f>SUM(BD10:BD22)</f>
        <v>0</v>
      </c>
      <c r="BE9" s="45">
        <f>SUM(BE10:BE19)</f>
        <v>0</v>
      </c>
      <c r="BF9" s="86"/>
      <c r="BG9" s="44">
        <f>SUM(BG10:BG22)</f>
        <v>0</v>
      </c>
      <c r="BH9" s="45">
        <f>SUM(BH10:BH22)</f>
        <v>0</v>
      </c>
      <c r="BI9" s="45">
        <f>SUM(BI10:BI19)</f>
        <v>0</v>
      </c>
      <c r="BJ9" s="86"/>
      <c r="BK9" s="44">
        <f>SUM(BK10:BK22)</f>
        <v>0</v>
      </c>
      <c r="BL9" s="45">
        <f>SUM(BL10:BL22)</f>
        <v>0</v>
      </c>
      <c r="BM9" s="45">
        <f>SUM(BM10:BM19)</f>
        <v>0</v>
      </c>
      <c r="BN9" s="86"/>
      <c r="BO9" s="44">
        <f>SUM(BO10:BO22)</f>
        <v>226</v>
      </c>
      <c r="BP9" s="45">
        <f>SUM(BP10:BP22)</f>
        <v>55</v>
      </c>
      <c r="BQ9" s="45">
        <f>SUM(BQ10:BQ19)</f>
        <v>348</v>
      </c>
      <c r="BR9" s="86"/>
      <c r="BS9" s="44">
        <f>SUM(BS10:BS22)</f>
        <v>226</v>
      </c>
      <c r="BT9" s="45">
        <f>SUM(BT10:BT22)</f>
        <v>49</v>
      </c>
      <c r="BU9" s="45">
        <f>SUM(BU10:BU19)</f>
        <v>349</v>
      </c>
      <c r="BV9" s="86"/>
      <c r="BW9" s="44">
        <f>SUM(BW10:BW22)</f>
        <v>113</v>
      </c>
      <c r="BX9" s="45">
        <f>SUM(BX10:BX22)</f>
        <v>15</v>
      </c>
      <c r="BY9" s="45">
        <f>SUM(BY10:BY19)</f>
        <v>247</v>
      </c>
      <c r="BZ9" s="86"/>
      <c r="CA9" s="44">
        <f>SUM(CA10:CA22)</f>
        <v>226</v>
      </c>
      <c r="CB9" s="45">
        <f>SUM(CB10:CB22)</f>
        <v>49</v>
      </c>
      <c r="CC9" s="45">
        <f>SUM(CC10:CC19)</f>
        <v>353</v>
      </c>
      <c r="CD9" s="86"/>
      <c r="CE9" s="44">
        <f>SUM(CE10:CE22)</f>
        <v>226</v>
      </c>
      <c r="CF9" s="45">
        <f>SUM(CF10:CF22)</f>
        <v>49</v>
      </c>
      <c r="CG9" s="45">
        <f>SUM(CG10:CG19)</f>
        <v>349</v>
      </c>
      <c r="CH9" s="86"/>
      <c r="CI9" s="44">
        <f>SUM(CI10:CI22)</f>
        <v>54</v>
      </c>
      <c r="CJ9" s="45">
        <f>SUM(CJ10:CJ22)</f>
        <v>9</v>
      </c>
      <c r="CK9" s="45">
        <f>SUM(CK10:CK19)</f>
        <v>158</v>
      </c>
      <c r="CL9" s="86"/>
      <c r="CM9" s="44">
        <f>SUM(CM10:CM22)</f>
        <v>0</v>
      </c>
      <c r="CN9" s="45">
        <f>SUM(CN10:CN22)</f>
        <v>0</v>
      </c>
      <c r="CO9" s="45">
        <f>SUM(CO10:CO19)</f>
        <v>0</v>
      </c>
      <c r="CP9" s="86"/>
      <c r="CQ9" s="44">
        <f>SUM(CQ10:CQ22)</f>
        <v>54</v>
      </c>
      <c r="CR9" s="45">
        <f>SUM(CR10:CR22)</f>
        <v>9</v>
      </c>
      <c r="CS9" s="45">
        <f>SUM(CS10:CS19)</f>
        <v>158</v>
      </c>
      <c r="CT9" s="86"/>
      <c r="CU9" s="44">
        <f>SUM(CU10:CU22)</f>
        <v>0</v>
      </c>
      <c r="CV9" s="45">
        <f>SUM(CV10:CV22)</f>
        <v>0</v>
      </c>
      <c r="CW9" s="45">
        <f>SUM(CW10:CW19)</f>
        <v>0</v>
      </c>
      <c r="CX9" s="86"/>
      <c r="CY9" s="44">
        <f>SUM(CY10:CY22)</f>
        <v>0</v>
      </c>
      <c r="CZ9" s="45">
        <f>SUM(CZ10:CZ22)</f>
        <v>0</v>
      </c>
      <c r="DA9" s="45">
        <f>SUM(DA10:DA19)</f>
        <v>0</v>
      </c>
      <c r="DB9" s="86"/>
      <c r="DC9" s="44">
        <f>SUM(DC10:DC22)</f>
        <v>0</v>
      </c>
      <c r="DD9" s="45">
        <f>SUM(DD10:DD22)</f>
        <v>0</v>
      </c>
      <c r="DE9" s="45">
        <f>SUM(DE10:DE19)</f>
        <v>0</v>
      </c>
      <c r="DF9" s="86"/>
      <c r="DG9" s="44">
        <f>SUM(DG10:DG22)</f>
        <v>0</v>
      </c>
      <c r="DH9" s="45">
        <f>SUM(DH10:DH22)</f>
        <v>0</v>
      </c>
      <c r="DI9" s="45">
        <f>SUM(DI10:DI19)</f>
        <v>0</v>
      </c>
      <c r="DJ9" s="86"/>
      <c r="DK9" s="44">
        <f>SUM(DK10:DK22)</f>
        <v>0</v>
      </c>
      <c r="DL9" s="45">
        <f>SUM(DL10:DL22)</f>
        <v>0</v>
      </c>
      <c r="DM9" s="45">
        <f>SUM(DM10:DM19)</f>
        <v>0</v>
      </c>
      <c r="DN9" s="86"/>
      <c r="DO9" s="46">
        <f t="shared" ref="DO9:DQ12" si="44">CU9+CY9+DC9+DG9+DK9</f>
        <v>0</v>
      </c>
      <c r="DP9" s="46">
        <f t="shared" si="44"/>
        <v>0</v>
      </c>
      <c r="DQ9" s="46">
        <f t="shared" si="44"/>
        <v>0</v>
      </c>
      <c r="DR9" s="46">
        <v>876</v>
      </c>
      <c r="DS9" s="46">
        <v>334</v>
      </c>
      <c r="DT9" s="46">
        <v>2637</v>
      </c>
    </row>
    <row r="10" spans="1:124" ht="13.5" customHeight="1" thickBot="1" x14ac:dyDescent="0.3">
      <c r="A10" s="177"/>
      <c r="B10" s="47" t="s">
        <v>86</v>
      </c>
      <c r="C10" s="48">
        <v>26</v>
      </c>
      <c r="D10" s="48">
        <v>0</v>
      </c>
      <c r="E10" s="80">
        <v>0</v>
      </c>
      <c r="F10" s="86"/>
      <c r="G10" s="83">
        <v>0</v>
      </c>
      <c r="H10" s="48">
        <v>0</v>
      </c>
      <c r="I10" s="48">
        <v>0</v>
      </c>
      <c r="J10" s="86"/>
      <c r="K10" s="48">
        <v>0</v>
      </c>
      <c r="L10" s="48">
        <v>0</v>
      </c>
      <c r="M10" s="48">
        <v>0</v>
      </c>
      <c r="N10" s="86"/>
      <c r="O10" s="48">
        <v>2</v>
      </c>
      <c r="P10" s="48">
        <v>0</v>
      </c>
      <c r="Q10" s="48">
        <v>0</v>
      </c>
      <c r="R10" s="86"/>
      <c r="S10" s="48">
        <v>0</v>
      </c>
      <c r="T10" s="48">
        <v>0</v>
      </c>
      <c r="U10" s="48">
        <v>0</v>
      </c>
      <c r="V10" s="86"/>
      <c r="W10" s="48">
        <v>0</v>
      </c>
      <c r="X10" s="48">
        <v>0</v>
      </c>
      <c r="Y10" s="48">
        <v>0</v>
      </c>
      <c r="Z10" s="86"/>
      <c r="AA10" s="48">
        <v>0</v>
      </c>
      <c r="AB10" s="48">
        <v>0</v>
      </c>
      <c r="AC10" s="48">
        <v>0</v>
      </c>
      <c r="AD10" s="86"/>
      <c r="AE10" s="48">
        <v>0</v>
      </c>
      <c r="AF10" s="48">
        <v>0</v>
      </c>
      <c r="AG10" s="48">
        <v>0</v>
      </c>
      <c r="AH10" s="86"/>
      <c r="AI10" s="48">
        <v>0</v>
      </c>
      <c r="AJ10" s="48">
        <v>0</v>
      </c>
      <c r="AK10" s="48">
        <v>0</v>
      </c>
      <c r="AL10" s="86"/>
      <c r="AM10" s="48">
        <v>21</v>
      </c>
      <c r="AN10" s="48">
        <v>0</v>
      </c>
      <c r="AO10" s="48">
        <v>0</v>
      </c>
      <c r="AP10" s="86"/>
      <c r="AQ10" s="48">
        <v>0</v>
      </c>
      <c r="AR10" s="48">
        <v>0</v>
      </c>
      <c r="AS10" s="48">
        <v>0</v>
      </c>
      <c r="AT10" s="86"/>
      <c r="AU10" s="48">
        <v>0</v>
      </c>
      <c r="AV10" s="48">
        <v>0</v>
      </c>
      <c r="AW10" s="48">
        <v>0</v>
      </c>
      <c r="AX10" s="86"/>
      <c r="AY10" s="48">
        <v>0</v>
      </c>
      <c r="AZ10" s="48">
        <v>0</v>
      </c>
      <c r="BA10" s="48">
        <v>0</v>
      </c>
      <c r="BB10" s="86"/>
      <c r="BC10" s="48">
        <v>0</v>
      </c>
      <c r="BD10" s="48">
        <v>0</v>
      </c>
      <c r="BE10" s="48">
        <v>0</v>
      </c>
      <c r="BF10" s="86"/>
      <c r="BG10" s="48">
        <v>0</v>
      </c>
      <c r="BH10" s="48">
        <v>0</v>
      </c>
      <c r="BI10" s="48">
        <v>0</v>
      </c>
      <c r="BJ10" s="86"/>
      <c r="BK10" s="48">
        <v>0</v>
      </c>
      <c r="BL10" s="48">
        <v>0</v>
      </c>
      <c r="BM10" s="48">
        <v>0</v>
      </c>
      <c r="BN10" s="86"/>
      <c r="BO10" s="48">
        <v>0</v>
      </c>
      <c r="BP10" s="48">
        <v>0</v>
      </c>
      <c r="BQ10" s="48">
        <v>0</v>
      </c>
      <c r="BR10" s="86"/>
      <c r="BS10" s="48">
        <v>0</v>
      </c>
      <c r="BT10" s="48">
        <v>0</v>
      </c>
      <c r="BU10" s="48">
        <v>0</v>
      </c>
      <c r="BV10" s="86"/>
      <c r="BW10" s="48">
        <v>18</v>
      </c>
      <c r="BX10" s="48">
        <v>0</v>
      </c>
      <c r="BY10" s="48">
        <v>0</v>
      </c>
      <c r="BZ10" s="86"/>
      <c r="CA10" s="48">
        <v>0</v>
      </c>
      <c r="CB10" s="48">
        <v>0</v>
      </c>
      <c r="CC10" s="48">
        <v>0</v>
      </c>
      <c r="CD10" s="86"/>
      <c r="CE10" s="48">
        <v>0</v>
      </c>
      <c r="CF10" s="48">
        <v>0</v>
      </c>
      <c r="CG10" s="48">
        <v>0</v>
      </c>
      <c r="CH10" s="86"/>
      <c r="CI10" s="48">
        <v>0</v>
      </c>
      <c r="CJ10" s="48">
        <v>0</v>
      </c>
      <c r="CK10" s="48">
        <v>0</v>
      </c>
      <c r="CL10" s="86"/>
      <c r="CM10" s="48">
        <v>0</v>
      </c>
      <c r="CN10" s="48">
        <v>0</v>
      </c>
      <c r="CO10" s="48">
        <v>0</v>
      </c>
      <c r="CP10" s="86"/>
      <c r="CQ10" s="48">
        <v>0</v>
      </c>
      <c r="CR10" s="48">
        <v>0</v>
      </c>
      <c r="CS10" s="48">
        <v>0</v>
      </c>
      <c r="CT10" s="86"/>
      <c r="CU10" s="48">
        <v>0</v>
      </c>
      <c r="CV10" s="48">
        <v>0</v>
      </c>
      <c r="CW10" s="48">
        <v>0</v>
      </c>
      <c r="CX10" s="86"/>
      <c r="CY10" s="48">
        <v>0</v>
      </c>
      <c r="CZ10" s="48">
        <v>0</v>
      </c>
      <c r="DA10" s="48">
        <v>0</v>
      </c>
      <c r="DB10" s="86"/>
      <c r="DC10" s="48">
        <v>0</v>
      </c>
      <c r="DD10" s="48">
        <v>0</v>
      </c>
      <c r="DE10" s="48">
        <v>0</v>
      </c>
      <c r="DF10" s="86"/>
      <c r="DG10" s="48">
        <v>0</v>
      </c>
      <c r="DH10" s="48">
        <v>0</v>
      </c>
      <c r="DI10" s="48">
        <v>0</v>
      </c>
      <c r="DJ10" s="86"/>
      <c r="DK10" s="48">
        <v>0</v>
      </c>
      <c r="DL10" s="48">
        <v>0</v>
      </c>
      <c r="DM10" s="48">
        <v>0</v>
      </c>
      <c r="DN10" s="86"/>
      <c r="DO10" s="49">
        <f t="shared" si="44"/>
        <v>0</v>
      </c>
      <c r="DP10" s="49">
        <f t="shared" si="44"/>
        <v>0</v>
      </c>
      <c r="DQ10" s="49">
        <f t="shared" si="44"/>
        <v>0</v>
      </c>
      <c r="DR10" s="46">
        <v>220</v>
      </c>
      <c r="DS10" s="46">
        <v>22</v>
      </c>
      <c r="DT10" s="46">
        <v>0</v>
      </c>
    </row>
    <row r="11" spans="1:124" ht="13.5" customHeight="1" thickBot="1" x14ac:dyDescent="0.3">
      <c r="A11" s="177"/>
      <c r="B11" s="47" t="s">
        <v>87</v>
      </c>
      <c r="C11" s="48">
        <v>9</v>
      </c>
      <c r="D11" s="48">
        <v>0</v>
      </c>
      <c r="E11" s="80">
        <v>0</v>
      </c>
      <c r="F11" s="86"/>
      <c r="G11" s="83">
        <v>0</v>
      </c>
      <c r="H11" s="48">
        <v>0</v>
      </c>
      <c r="I11" s="48">
        <v>0</v>
      </c>
      <c r="J11" s="86"/>
      <c r="K11" s="48">
        <v>13</v>
      </c>
      <c r="L11" s="48">
        <v>8</v>
      </c>
      <c r="M11" s="48">
        <v>0</v>
      </c>
      <c r="N11" s="86"/>
      <c r="O11" s="48">
        <v>5</v>
      </c>
      <c r="P11" s="48">
        <v>0</v>
      </c>
      <c r="Q11" s="48">
        <v>0</v>
      </c>
      <c r="R11" s="86"/>
      <c r="S11" s="48">
        <v>0</v>
      </c>
      <c r="T11" s="48">
        <v>0</v>
      </c>
      <c r="U11" s="48">
        <v>0</v>
      </c>
      <c r="V11" s="86"/>
      <c r="W11" s="48">
        <v>0</v>
      </c>
      <c r="X11" s="48">
        <v>0</v>
      </c>
      <c r="Y11" s="48">
        <v>0</v>
      </c>
      <c r="Z11" s="86"/>
      <c r="AA11" s="48">
        <v>0</v>
      </c>
      <c r="AB11" s="48">
        <v>0</v>
      </c>
      <c r="AC11" s="48">
        <v>0</v>
      </c>
      <c r="AD11" s="86"/>
      <c r="AE11" s="48">
        <v>0</v>
      </c>
      <c r="AF11" s="48">
        <v>0</v>
      </c>
      <c r="AG11" s="48">
        <v>0</v>
      </c>
      <c r="AH11" s="86"/>
      <c r="AI11" s="48">
        <v>0</v>
      </c>
      <c r="AJ11" s="48">
        <v>0</v>
      </c>
      <c r="AK11" s="48">
        <v>0</v>
      </c>
      <c r="AL11" s="86"/>
      <c r="AM11" s="48">
        <v>8</v>
      </c>
      <c r="AN11" s="48">
        <v>4</v>
      </c>
      <c r="AO11" s="48">
        <v>0</v>
      </c>
      <c r="AP11" s="86"/>
      <c r="AQ11" s="48">
        <v>0</v>
      </c>
      <c r="AR11" s="48">
        <v>0</v>
      </c>
      <c r="AS11" s="48">
        <v>0</v>
      </c>
      <c r="AT11" s="86"/>
      <c r="AU11" s="48">
        <v>0</v>
      </c>
      <c r="AV11" s="48">
        <v>0</v>
      </c>
      <c r="AW11" s="48">
        <v>0</v>
      </c>
      <c r="AX11" s="86"/>
      <c r="AY11" s="48">
        <v>3</v>
      </c>
      <c r="AZ11" s="48">
        <v>0</v>
      </c>
      <c r="BA11" s="48">
        <v>0</v>
      </c>
      <c r="BB11" s="86"/>
      <c r="BC11" s="48">
        <v>0</v>
      </c>
      <c r="BD11" s="48">
        <v>0</v>
      </c>
      <c r="BE11" s="48">
        <v>0</v>
      </c>
      <c r="BF11" s="86"/>
      <c r="BG11" s="48">
        <v>0</v>
      </c>
      <c r="BH11" s="48">
        <v>0</v>
      </c>
      <c r="BI11" s="48">
        <v>0</v>
      </c>
      <c r="BJ11" s="86"/>
      <c r="BK11" s="48">
        <v>0</v>
      </c>
      <c r="BL11" s="48">
        <v>0</v>
      </c>
      <c r="BM11" s="48">
        <v>0</v>
      </c>
      <c r="BN11" s="86"/>
      <c r="BO11" s="48">
        <v>18</v>
      </c>
      <c r="BP11" s="48">
        <v>11</v>
      </c>
      <c r="BQ11" s="48">
        <v>0</v>
      </c>
      <c r="BR11" s="86"/>
      <c r="BS11" s="48">
        <v>18</v>
      </c>
      <c r="BT11" s="48">
        <v>9</v>
      </c>
      <c r="BU11" s="48">
        <v>0</v>
      </c>
      <c r="BV11" s="86"/>
      <c r="BW11" s="48">
        <v>5</v>
      </c>
      <c r="BX11" s="48">
        <v>0</v>
      </c>
      <c r="BY11" s="48">
        <v>0</v>
      </c>
      <c r="BZ11" s="86"/>
      <c r="CA11" s="48">
        <v>18</v>
      </c>
      <c r="CB11" s="48">
        <v>9</v>
      </c>
      <c r="CC11" s="48">
        <v>0</v>
      </c>
      <c r="CD11" s="86"/>
      <c r="CE11" s="48">
        <v>18</v>
      </c>
      <c r="CF11" s="48">
        <v>9</v>
      </c>
      <c r="CG11" s="48">
        <v>0</v>
      </c>
      <c r="CH11" s="86"/>
      <c r="CI11" s="48">
        <v>3</v>
      </c>
      <c r="CJ11" s="48">
        <v>0</v>
      </c>
      <c r="CK11" s="48">
        <v>0</v>
      </c>
      <c r="CL11" s="86"/>
      <c r="CM11" s="48">
        <v>0</v>
      </c>
      <c r="CN11" s="48">
        <v>0</v>
      </c>
      <c r="CO11" s="48">
        <v>0</v>
      </c>
      <c r="CP11" s="86"/>
      <c r="CQ11" s="48">
        <v>3</v>
      </c>
      <c r="CR11" s="48">
        <v>0</v>
      </c>
      <c r="CS11" s="48">
        <v>0</v>
      </c>
      <c r="CT11" s="86"/>
      <c r="CU11" s="48">
        <v>0</v>
      </c>
      <c r="CV11" s="48">
        <v>0</v>
      </c>
      <c r="CW11" s="48">
        <v>0</v>
      </c>
      <c r="CX11" s="86"/>
      <c r="CY11" s="48">
        <v>0</v>
      </c>
      <c r="CZ11" s="48">
        <v>0</v>
      </c>
      <c r="DA11" s="48">
        <v>0</v>
      </c>
      <c r="DB11" s="86"/>
      <c r="DC11" s="48">
        <v>0</v>
      </c>
      <c r="DD11" s="48">
        <v>0</v>
      </c>
      <c r="DE11" s="48">
        <v>0</v>
      </c>
      <c r="DF11" s="86"/>
      <c r="DG11" s="48">
        <v>0</v>
      </c>
      <c r="DH11" s="48">
        <v>0</v>
      </c>
      <c r="DI11" s="48">
        <v>0</v>
      </c>
      <c r="DJ11" s="86"/>
      <c r="DK11" s="48">
        <v>0</v>
      </c>
      <c r="DL11" s="48">
        <v>0</v>
      </c>
      <c r="DM11" s="48">
        <v>0</v>
      </c>
      <c r="DN11" s="86"/>
      <c r="DO11" s="49">
        <f t="shared" si="44"/>
        <v>0</v>
      </c>
      <c r="DP11" s="49">
        <f t="shared" si="44"/>
        <v>0</v>
      </c>
      <c r="DQ11" s="49">
        <f t="shared" si="44"/>
        <v>0</v>
      </c>
      <c r="DR11" s="46">
        <v>57</v>
      </c>
      <c r="DS11" s="46">
        <v>36</v>
      </c>
      <c r="DT11" s="46">
        <v>0</v>
      </c>
    </row>
    <row r="12" spans="1:124" ht="13.5" customHeight="1" thickBot="1" x14ac:dyDescent="0.3">
      <c r="A12" s="177"/>
      <c r="B12" s="50" t="s">
        <v>88</v>
      </c>
      <c r="C12" s="48">
        <v>108</v>
      </c>
      <c r="D12" s="48">
        <v>0</v>
      </c>
      <c r="E12" s="80">
        <v>0</v>
      </c>
      <c r="F12" s="86"/>
      <c r="G12" s="83">
        <v>0</v>
      </c>
      <c r="H12" s="48">
        <v>0</v>
      </c>
      <c r="I12" s="48">
        <v>0</v>
      </c>
      <c r="J12" s="86"/>
      <c r="K12" s="48">
        <v>124</v>
      </c>
      <c r="L12" s="48">
        <v>8</v>
      </c>
      <c r="M12" s="48">
        <v>0</v>
      </c>
      <c r="N12" s="86"/>
      <c r="O12" s="48">
        <v>42</v>
      </c>
      <c r="P12" s="48">
        <v>0</v>
      </c>
      <c r="Q12" s="48">
        <v>0</v>
      </c>
      <c r="R12" s="86"/>
      <c r="S12" s="48">
        <v>5</v>
      </c>
      <c r="T12" s="48">
        <v>0</v>
      </c>
      <c r="U12" s="48">
        <v>0</v>
      </c>
      <c r="V12" s="86"/>
      <c r="W12" s="48">
        <v>0</v>
      </c>
      <c r="X12" s="48">
        <v>0</v>
      </c>
      <c r="Y12" s="48">
        <v>0</v>
      </c>
      <c r="Z12" s="86"/>
      <c r="AA12" s="48">
        <v>0</v>
      </c>
      <c r="AB12" s="48">
        <v>0</v>
      </c>
      <c r="AC12" s="48">
        <v>0</v>
      </c>
      <c r="AD12" s="86"/>
      <c r="AE12" s="48">
        <v>0</v>
      </c>
      <c r="AF12" s="48">
        <v>0</v>
      </c>
      <c r="AG12" s="48">
        <v>0</v>
      </c>
      <c r="AH12" s="86"/>
      <c r="AI12" s="48">
        <v>0</v>
      </c>
      <c r="AJ12" s="48">
        <v>0</v>
      </c>
      <c r="AK12" s="48">
        <v>0</v>
      </c>
      <c r="AL12" s="86"/>
      <c r="AM12" s="48">
        <v>71</v>
      </c>
      <c r="AN12" s="48">
        <v>4</v>
      </c>
      <c r="AO12" s="48">
        <v>0</v>
      </c>
      <c r="AP12" s="86"/>
      <c r="AQ12" s="48">
        <v>0</v>
      </c>
      <c r="AR12" s="48">
        <v>0</v>
      </c>
      <c r="AS12" s="48">
        <v>0</v>
      </c>
      <c r="AT12" s="86"/>
      <c r="AU12" s="48">
        <v>0</v>
      </c>
      <c r="AV12" s="48">
        <v>0</v>
      </c>
      <c r="AW12" s="48">
        <v>0</v>
      </c>
      <c r="AX12" s="86"/>
      <c r="AY12" s="48">
        <v>41</v>
      </c>
      <c r="AZ12" s="48">
        <v>0</v>
      </c>
      <c r="BA12" s="48">
        <v>0</v>
      </c>
      <c r="BB12" s="86"/>
      <c r="BC12" s="48">
        <v>0</v>
      </c>
      <c r="BD12" s="48">
        <v>0</v>
      </c>
      <c r="BE12" s="48">
        <v>0</v>
      </c>
      <c r="BF12" s="86"/>
      <c r="BG12" s="48">
        <v>0</v>
      </c>
      <c r="BH12" s="48">
        <v>0</v>
      </c>
      <c r="BI12" s="48">
        <v>0</v>
      </c>
      <c r="BJ12" s="86"/>
      <c r="BK12" s="48">
        <v>0</v>
      </c>
      <c r="BL12" s="48">
        <v>0</v>
      </c>
      <c r="BM12" s="48">
        <v>0</v>
      </c>
      <c r="BN12" s="86"/>
      <c r="BO12" s="48">
        <v>93</v>
      </c>
      <c r="BP12" s="48">
        <v>11</v>
      </c>
      <c r="BQ12" s="48">
        <v>0</v>
      </c>
      <c r="BR12" s="86"/>
      <c r="BS12" s="48">
        <v>93</v>
      </c>
      <c r="BT12" s="48">
        <v>9</v>
      </c>
      <c r="BU12" s="48">
        <v>0</v>
      </c>
      <c r="BV12" s="86"/>
      <c r="BW12" s="48">
        <v>86</v>
      </c>
      <c r="BX12" s="48">
        <v>0</v>
      </c>
      <c r="BY12" s="48">
        <v>0</v>
      </c>
      <c r="BZ12" s="86"/>
      <c r="CA12" s="48">
        <v>93</v>
      </c>
      <c r="CB12" s="148">
        <v>9</v>
      </c>
      <c r="CC12" s="48">
        <v>0</v>
      </c>
      <c r="CD12" s="86"/>
      <c r="CE12" s="48">
        <v>93</v>
      </c>
      <c r="CF12" s="48">
        <v>9</v>
      </c>
      <c r="CG12" s="48">
        <v>0</v>
      </c>
      <c r="CH12" s="86"/>
      <c r="CI12" s="48">
        <v>41</v>
      </c>
      <c r="CJ12" s="48">
        <v>0</v>
      </c>
      <c r="CK12" s="48">
        <v>0</v>
      </c>
      <c r="CL12" s="86"/>
      <c r="CM12" s="48">
        <v>0</v>
      </c>
      <c r="CN12" s="48">
        <v>0</v>
      </c>
      <c r="CO12" s="48">
        <v>0</v>
      </c>
      <c r="CP12" s="86"/>
      <c r="CQ12" s="48">
        <v>41</v>
      </c>
      <c r="CR12" s="48">
        <v>0</v>
      </c>
      <c r="CS12" s="48">
        <v>0</v>
      </c>
      <c r="CT12" s="86"/>
      <c r="CU12" s="48">
        <v>0</v>
      </c>
      <c r="CV12" s="48">
        <v>0</v>
      </c>
      <c r="CW12" s="48">
        <v>0</v>
      </c>
      <c r="CX12" s="86"/>
      <c r="CY12" s="48">
        <v>0</v>
      </c>
      <c r="CZ12" s="48">
        <v>0</v>
      </c>
      <c r="DA12" s="48">
        <v>0</v>
      </c>
      <c r="DB12" s="86"/>
      <c r="DC12" s="48">
        <v>0</v>
      </c>
      <c r="DD12" s="48">
        <v>0</v>
      </c>
      <c r="DE12" s="48">
        <v>0</v>
      </c>
      <c r="DF12" s="86"/>
      <c r="DG12" s="48">
        <v>0</v>
      </c>
      <c r="DH12" s="48">
        <v>0</v>
      </c>
      <c r="DI12" s="48">
        <v>0</v>
      </c>
      <c r="DJ12" s="86"/>
      <c r="DK12" s="48">
        <v>0</v>
      </c>
      <c r="DL12" s="48">
        <v>0</v>
      </c>
      <c r="DM12" s="48">
        <v>0</v>
      </c>
      <c r="DN12" s="86"/>
      <c r="DO12" s="49">
        <f t="shared" si="44"/>
        <v>0</v>
      </c>
      <c r="DP12" s="49">
        <f t="shared" si="44"/>
        <v>0</v>
      </c>
      <c r="DQ12" s="49">
        <f t="shared" si="44"/>
        <v>0</v>
      </c>
      <c r="DR12" s="46">
        <v>592</v>
      </c>
      <c r="DS12" s="46">
        <v>0</v>
      </c>
      <c r="DT12" s="46">
        <v>0</v>
      </c>
    </row>
    <row r="13" spans="1:124" ht="13.5" customHeight="1" thickBot="1" x14ac:dyDescent="0.3">
      <c r="A13" s="177"/>
      <c r="B13" s="47" t="s">
        <v>89</v>
      </c>
      <c r="C13" s="48">
        <v>0</v>
      </c>
      <c r="D13" s="48">
        <v>0</v>
      </c>
      <c r="E13" s="80">
        <v>0</v>
      </c>
      <c r="F13" s="86"/>
      <c r="G13" s="83">
        <v>0</v>
      </c>
      <c r="H13" s="48">
        <v>0</v>
      </c>
      <c r="I13" s="48">
        <v>0</v>
      </c>
      <c r="J13" s="86"/>
      <c r="K13" s="48">
        <v>0</v>
      </c>
      <c r="L13" s="48">
        <v>0</v>
      </c>
      <c r="M13" s="48">
        <v>0</v>
      </c>
      <c r="N13" s="86"/>
      <c r="O13" s="48">
        <v>0</v>
      </c>
      <c r="P13" s="48">
        <v>0</v>
      </c>
      <c r="Q13" s="48">
        <v>0</v>
      </c>
      <c r="R13" s="86"/>
      <c r="S13" s="48">
        <v>0</v>
      </c>
      <c r="T13" s="48">
        <v>0</v>
      </c>
      <c r="U13" s="48">
        <v>0</v>
      </c>
      <c r="V13" s="86"/>
      <c r="W13" s="48">
        <v>0</v>
      </c>
      <c r="X13" s="48">
        <v>0</v>
      </c>
      <c r="Y13" s="48">
        <v>0</v>
      </c>
      <c r="Z13" s="86"/>
      <c r="AA13" s="48">
        <v>0</v>
      </c>
      <c r="AB13" s="48">
        <v>0</v>
      </c>
      <c r="AC13" s="48">
        <v>0</v>
      </c>
      <c r="AD13" s="86"/>
      <c r="AE13" s="48">
        <v>0</v>
      </c>
      <c r="AF13" s="48">
        <v>0</v>
      </c>
      <c r="AG13" s="48">
        <v>0</v>
      </c>
      <c r="AH13" s="86"/>
      <c r="AI13" s="48">
        <v>0</v>
      </c>
      <c r="AJ13" s="48">
        <v>0</v>
      </c>
      <c r="AK13" s="48">
        <v>0</v>
      </c>
      <c r="AL13" s="86"/>
      <c r="AM13" s="48">
        <v>0</v>
      </c>
      <c r="AN13" s="48">
        <v>0</v>
      </c>
      <c r="AO13" s="48">
        <v>0</v>
      </c>
      <c r="AP13" s="86"/>
      <c r="AQ13" s="48">
        <v>0</v>
      </c>
      <c r="AR13" s="48">
        <v>0</v>
      </c>
      <c r="AS13" s="48">
        <v>0</v>
      </c>
      <c r="AT13" s="86"/>
      <c r="AU13" s="48">
        <v>0</v>
      </c>
      <c r="AV13" s="48">
        <v>0</v>
      </c>
      <c r="AW13" s="48">
        <v>0</v>
      </c>
      <c r="AX13" s="86"/>
      <c r="AY13" s="48">
        <v>0</v>
      </c>
      <c r="AZ13" s="48">
        <v>0</v>
      </c>
      <c r="BA13" s="48">
        <v>0</v>
      </c>
      <c r="BB13" s="86"/>
      <c r="BC13" s="48">
        <v>0</v>
      </c>
      <c r="BD13" s="48">
        <v>0</v>
      </c>
      <c r="BE13" s="48">
        <v>0</v>
      </c>
      <c r="BF13" s="86"/>
      <c r="BG13" s="48">
        <v>0</v>
      </c>
      <c r="BH13" s="48">
        <v>0</v>
      </c>
      <c r="BI13" s="48">
        <v>0</v>
      </c>
      <c r="BJ13" s="86"/>
      <c r="BK13" s="48">
        <v>0</v>
      </c>
      <c r="BL13" s="48">
        <v>0</v>
      </c>
      <c r="BM13" s="48">
        <v>0</v>
      </c>
      <c r="BN13" s="86"/>
      <c r="BO13" s="48">
        <v>0</v>
      </c>
      <c r="BP13" s="48">
        <v>0</v>
      </c>
      <c r="BQ13" s="48">
        <v>0</v>
      </c>
      <c r="BR13" s="86"/>
      <c r="BS13" s="48">
        <v>0</v>
      </c>
      <c r="BT13" s="48">
        <v>0</v>
      </c>
      <c r="BU13" s="48">
        <v>0</v>
      </c>
      <c r="BV13" s="86"/>
      <c r="BW13" s="48">
        <v>0</v>
      </c>
      <c r="BX13" s="48">
        <v>0</v>
      </c>
      <c r="BY13" s="48">
        <v>0</v>
      </c>
      <c r="BZ13" s="86"/>
      <c r="CA13" s="48">
        <v>0</v>
      </c>
      <c r="CB13" s="48">
        <v>0</v>
      </c>
      <c r="CC13" s="48">
        <v>0</v>
      </c>
      <c r="CD13" s="86"/>
      <c r="CE13" s="48">
        <v>0</v>
      </c>
      <c r="CF13" s="48">
        <v>0</v>
      </c>
      <c r="CG13" s="48">
        <v>0</v>
      </c>
      <c r="CH13" s="86"/>
      <c r="CI13" s="48">
        <v>0</v>
      </c>
      <c r="CJ13" s="48">
        <v>0</v>
      </c>
      <c r="CK13" s="48">
        <v>0</v>
      </c>
      <c r="CL13" s="86"/>
      <c r="CM13" s="48">
        <v>0</v>
      </c>
      <c r="CN13" s="48">
        <v>0</v>
      </c>
      <c r="CO13" s="48">
        <v>0</v>
      </c>
      <c r="CP13" s="86"/>
      <c r="CQ13" s="48">
        <v>0</v>
      </c>
      <c r="CR13" s="48">
        <v>0</v>
      </c>
      <c r="CS13" s="48">
        <v>0</v>
      </c>
      <c r="CT13" s="86"/>
      <c r="CU13" s="48">
        <v>0</v>
      </c>
      <c r="CV13" s="48">
        <v>0</v>
      </c>
      <c r="CW13" s="48">
        <v>0</v>
      </c>
      <c r="CX13" s="86"/>
      <c r="CY13" s="48">
        <v>0</v>
      </c>
      <c r="CZ13" s="48">
        <v>0</v>
      </c>
      <c r="DA13" s="48">
        <v>0</v>
      </c>
      <c r="DB13" s="86"/>
      <c r="DC13" s="48">
        <v>0</v>
      </c>
      <c r="DD13" s="48">
        <v>0</v>
      </c>
      <c r="DE13" s="48">
        <v>0</v>
      </c>
      <c r="DF13" s="86"/>
      <c r="DG13" s="48">
        <v>0</v>
      </c>
      <c r="DH13" s="48">
        <v>0</v>
      </c>
      <c r="DI13" s="48">
        <v>0</v>
      </c>
      <c r="DJ13" s="86"/>
      <c r="DK13" s="48">
        <v>0</v>
      </c>
      <c r="DL13" s="48">
        <v>0</v>
      </c>
      <c r="DM13" s="48">
        <v>0</v>
      </c>
      <c r="DN13" s="86"/>
      <c r="DO13" s="49">
        <v>0</v>
      </c>
      <c r="DP13" s="49">
        <v>0</v>
      </c>
      <c r="DQ13" s="49">
        <v>0</v>
      </c>
      <c r="DR13" s="46">
        <v>2</v>
      </c>
      <c r="DS13" s="46">
        <v>0</v>
      </c>
      <c r="DT13" s="46">
        <v>0</v>
      </c>
    </row>
    <row r="14" spans="1:124" ht="13.5" customHeight="1" thickBot="1" x14ac:dyDescent="0.3">
      <c r="A14" s="177"/>
      <c r="B14" s="47" t="s">
        <v>90</v>
      </c>
      <c r="C14" s="48">
        <v>0</v>
      </c>
      <c r="D14" s="48">
        <v>0</v>
      </c>
      <c r="E14" s="80">
        <v>0</v>
      </c>
      <c r="F14" s="86"/>
      <c r="G14" s="83">
        <v>0</v>
      </c>
      <c r="H14" s="48">
        <v>0</v>
      </c>
      <c r="I14" s="48">
        <v>0</v>
      </c>
      <c r="J14" s="86"/>
      <c r="K14" s="48">
        <v>0</v>
      </c>
      <c r="L14" s="48">
        <v>0</v>
      </c>
      <c r="M14" s="48">
        <v>0</v>
      </c>
      <c r="N14" s="86"/>
      <c r="O14" s="48">
        <v>0</v>
      </c>
      <c r="P14" s="48">
        <v>0</v>
      </c>
      <c r="Q14" s="48">
        <v>0</v>
      </c>
      <c r="R14" s="86"/>
      <c r="S14" s="48">
        <v>0</v>
      </c>
      <c r="T14" s="48">
        <v>0</v>
      </c>
      <c r="U14" s="48">
        <v>0</v>
      </c>
      <c r="V14" s="86"/>
      <c r="W14" s="48">
        <v>0</v>
      </c>
      <c r="X14" s="48">
        <v>0</v>
      </c>
      <c r="Y14" s="48">
        <v>0</v>
      </c>
      <c r="Z14" s="86"/>
      <c r="AA14" s="48">
        <v>0</v>
      </c>
      <c r="AB14" s="48">
        <v>0</v>
      </c>
      <c r="AC14" s="48">
        <v>0</v>
      </c>
      <c r="AD14" s="86"/>
      <c r="AE14" s="48">
        <v>0</v>
      </c>
      <c r="AF14" s="48">
        <v>0</v>
      </c>
      <c r="AG14" s="48">
        <v>0</v>
      </c>
      <c r="AH14" s="86"/>
      <c r="AI14" s="48">
        <v>0</v>
      </c>
      <c r="AJ14" s="48">
        <v>0</v>
      </c>
      <c r="AK14" s="48">
        <v>0</v>
      </c>
      <c r="AL14" s="86"/>
      <c r="AM14" s="48">
        <v>0</v>
      </c>
      <c r="AN14" s="48">
        <v>0</v>
      </c>
      <c r="AO14" s="48">
        <v>0</v>
      </c>
      <c r="AP14" s="86"/>
      <c r="AQ14" s="48">
        <v>0</v>
      </c>
      <c r="AR14" s="48">
        <v>0</v>
      </c>
      <c r="AS14" s="48">
        <v>0</v>
      </c>
      <c r="AT14" s="86"/>
      <c r="AU14" s="48">
        <v>0</v>
      </c>
      <c r="AV14" s="48">
        <v>0</v>
      </c>
      <c r="AW14" s="48">
        <v>0</v>
      </c>
      <c r="AX14" s="86"/>
      <c r="AY14" s="48">
        <v>0</v>
      </c>
      <c r="AZ14" s="48">
        <v>0</v>
      </c>
      <c r="BA14" s="48">
        <v>0</v>
      </c>
      <c r="BB14" s="86"/>
      <c r="BC14" s="48">
        <v>0</v>
      </c>
      <c r="BD14" s="48">
        <v>0</v>
      </c>
      <c r="BE14" s="48">
        <v>0</v>
      </c>
      <c r="BF14" s="86"/>
      <c r="BG14" s="48">
        <v>0</v>
      </c>
      <c r="BH14" s="48">
        <v>0</v>
      </c>
      <c r="BI14" s="48">
        <v>0</v>
      </c>
      <c r="BJ14" s="86"/>
      <c r="BK14" s="48">
        <v>0</v>
      </c>
      <c r="BL14" s="48">
        <v>0</v>
      </c>
      <c r="BM14" s="48">
        <v>0</v>
      </c>
      <c r="BN14" s="86"/>
      <c r="BO14" s="48">
        <v>0</v>
      </c>
      <c r="BP14" s="48">
        <v>0</v>
      </c>
      <c r="BQ14" s="48">
        <v>0</v>
      </c>
      <c r="BR14" s="86"/>
      <c r="BS14" s="48">
        <v>0</v>
      </c>
      <c r="BT14" s="48">
        <v>0</v>
      </c>
      <c r="BU14" s="48">
        <v>0</v>
      </c>
      <c r="BV14" s="86"/>
      <c r="BW14" s="48">
        <v>0</v>
      </c>
      <c r="BX14" s="48">
        <v>0</v>
      </c>
      <c r="BY14" s="48">
        <v>0</v>
      </c>
      <c r="BZ14" s="86"/>
      <c r="CA14" s="48">
        <v>0</v>
      </c>
      <c r="CB14" s="48">
        <v>0</v>
      </c>
      <c r="CC14" s="48">
        <v>0</v>
      </c>
      <c r="CD14" s="86"/>
      <c r="CE14" s="48">
        <v>0</v>
      </c>
      <c r="CF14" s="48">
        <v>0</v>
      </c>
      <c r="CG14" s="48">
        <v>0</v>
      </c>
      <c r="CH14" s="86"/>
      <c r="CI14" s="48">
        <v>0</v>
      </c>
      <c r="CJ14" s="48">
        <v>0</v>
      </c>
      <c r="CK14" s="48">
        <v>0</v>
      </c>
      <c r="CL14" s="86"/>
      <c r="CM14" s="48">
        <v>0</v>
      </c>
      <c r="CN14" s="48">
        <v>0</v>
      </c>
      <c r="CO14" s="48">
        <v>0</v>
      </c>
      <c r="CP14" s="86"/>
      <c r="CQ14" s="48">
        <v>0</v>
      </c>
      <c r="CR14" s="48">
        <v>0</v>
      </c>
      <c r="CS14" s="48">
        <v>0</v>
      </c>
      <c r="CT14" s="86"/>
      <c r="CU14" s="48">
        <v>0</v>
      </c>
      <c r="CV14" s="48">
        <v>0</v>
      </c>
      <c r="CW14" s="48">
        <v>0</v>
      </c>
      <c r="CX14" s="86"/>
      <c r="CY14" s="48">
        <v>0</v>
      </c>
      <c r="CZ14" s="48">
        <v>0</v>
      </c>
      <c r="DA14" s="48">
        <v>0</v>
      </c>
      <c r="DB14" s="86"/>
      <c r="DC14" s="48">
        <v>0</v>
      </c>
      <c r="DD14" s="48">
        <v>0</v>
      </c>
      <c r="DE14" s="48">
        <v>0</v>
      </c>
      <c r="DF14" s="86"/>
      <c r="DG14" s="48">
        <v>0</v>
      </c>
      <c r="DH14" s="48">
        <v>0</v>
      </c>
      <c r="DI14" s="48">
        <v>0</v>
      </c>
      <c r="DJ14" s="86"/>
      <c r="DK14" s="48">
        <v>0</v>
      </c>
      <c r="DL14" s="48">
        <v>0</v>
      </c>
      <c r="DM14" s="48">
        <v>0</v>
      </c>
      <c r="DN14" s="86"/>
      <c r="DO14" s="49">
        <v>0</v>
      </c>
      <c r="DP14" s="49">
        <v>0</v>
      </c>
      <c r="DQ14" s="49">
        <v>0</v>
      </c>
      <c r="DR14" s="46">
        <v>0</v>
      </c>
      <c r="DS14" s="46">
        <v>0</v>
      </c>
      <c r="DT14" s="46">
        <v>0</v>
      </c>
    </row>
    <row r="15" spans="1:124" ht="13.5" customHeight="1" thickBot="1" x14ac:dyDescent="0.3">
      <c r="A15" s="177"/>
      <c r="B15" s="47" t="s">
        <v>91</v>
      </c>
      <c r="C15" s="48">
        <v>0</v>
      </c>
      <c r="D15" s="48">
        <v>0</v>
      </c>
      <c r="E15" s="80">
        <v>0</v>
      </c>
      <c r="F15" s="86"/>
      <c r="G15" s="83">
        <v>0</v>
      </c>
      <c r="H15" s="48">
        <v>0</v>
      </c>
      <c r="I15" s="48">
        <v>0</v>
      </c>
      <c r="J15" s="86"/>
      <c r="K15" s="48">
        <v>0</v>
      </c>
      <c r="L15" s="48">
        <v>0</v>
      </c>
      <c r="M15" s="48">
        <v>0</v>
      </c>
      <c r="N15" s="86"/>
      <c r="O15" s="48">
        <v>0</v>
      </c>
      <c r="P15" s="48">
        <v>0</v>
      </c>
      <c r="Q15" s="48">
        <v>0</v>
      </c>
      <c r="R15" s="86"/>
      <c r="S15" s="48">
        <v>0</v>
      </c>
      <c r="T15" s="48">
        <v>0</v>
      </c>
      <c r="U15" s="48">
        <v>0</v>
      </c>
      <c r="V15" s="86"/>
      <c r="W15" s="48">
        <v>0</v>
      </c>
      <c r="X15" s="48">
        <v>0</v>
      </c>
      <c r="Y15" s="48">
        <v>0</v>
      </c>
      <c r="Z15" s="86"/>
      <c r="AA15" s="48">
        <v>0</v>
      </c>
      <c r="AB15" s="48">
        <v>0</v>
      </c>
      <c r="AC15" s="48">
        <v>0</v>
      </c>
      <c r="AD15" s="86"/>
      <c r="AE15" s="48">
        <v>0</v>
      </c>
      <c r="AF15" s="48">
        <v>0</v>
      </c>
      <c r="AG15" s="48">
        <v>0</v>
      </c>
      <c r="AH15" s="86"/>
      <c r="AI15" s="48">
        <v>0</v>
      </c>
      <c r="AJ15" s="48">
        <v>0</v>
      </c>
      <c r="AK15" s="48">
        <v>0</v>
      </c>
      <c r="AL15" s="86"/>
      <c r="AM15" s="48">
        <v>0</v>
      </c>
      <c r="AN15" s="48">
        <v>0</v>
      </c>
      <c r="AO15" s="48">
        <v>0</v>
      </c>
      <c r="AP15" s="86"/>
      <c r="AQ15" s="48">
        <v>0</v>
      </c>
      <c r="AR15" s="48">
        <v>0</v>
      </c>
      <c r="AS15" s="48">
        <v>0</v>
      </c>
      <c r="AT15" s="86"/>
      <c r="AU15" s="48">
        <v>0</v>
      </c>
      <c r="AV15" s="48">
        <v>0</v>
      </c>
      <c r="AW15" s="48">
        <v>0</v>
      </c>
      <c r="AX15" s="86"/>
      <c r="AY15" s="48">
        <v>0</v>
      </c>
      <c r="AZ15" s="48">
        <v>0</v>
      </c>
      <c r="BA15" s="48">
        <v>0</v>
      </c>
      <c r="BB15" s="86"/>
      <c r="BC15" s="48">
        <v>0</v>
      </c>
      <c r="BD15" s="48">
        <v>0</v>
      </c>
      <c r="BE15" s="48">
        <v>0</v>
      </c>
      <c r="BF15" s="86"/>
      <c r="BG15" s="48">
        <v>0</v>
      </c>
      <c r="BH15" s="48">
        <v>0</v>
      </c>
      <c r="BI15" s="48">
        <v>0</v>
      </c>
      <c r="BJ15" s="86"/>
      <c r="BK15" s="48">
        <v>0</v>
      </c>
      <c r="BL15" s="48">
        <v>0</v>
      </c>
      <c r="BM15" s="48">
        <v>0</v>
      </c>
      <c r="BN15" s="86"/>
      <c r="BO15" s="48">
        <v>0</v>
      </c>
      <c r="BP15" s="48">
        <v>0</v>
      </c>
      <c r="BQ15" s="48">
        <v>0</v>
      </c>
      <c r="BR15" s="86"/>
      <c r="BS15" s="48">
        <v>0</v>
      </c>
      <c r="BT15" s="48">
        <v>0</v>
      </c>
      <c r="BU15" s="48">
        <v>0</v>
      </c>
      <c r="BV15" s="86"/>
      <c r="BW15" s="48">
        <v>0</v>
      </c>
      <c r="BX15" s="48">
        <v>0</v>
      </c>
      <c r="BY15" s="48">
        <v>0</v>
      </c>
      <c r="BZ15" s="86"/>
      <c r="CA15" s="48">
        <v>0</v>
      </c>
      <c r="CB15" s="48">
        <v>0</v>
      </c>
      <c r="CC15" s="48">
        <v>0</v>
      </c>
      <c r="CD15" s="86"/>
      <c r="CE15" s="48">
        <v>0</v>
      </c>
      <c r="CF15" s="48">
        <v>0</v>
      </c>
      <c r="CG15" s="48">
        <v>0</v>
      </c>
      <c r="CH15" s="86"/>
      <c r="CI15" s="48">
        <v>0</v>
      </c>
      <c r="CJ15" s="48">
        <v>0</v>
      </c>
      <c r="CK15" s="48">
        <v>0</v>
      </c>
      <c r="CL15" s="86"/>
      <c r="CM15" s="48">
        <v>0</v>
      </c>
      <c r="CN15" s="48">
        <v>0</v>
      </c>
      <c r="CO15" s="48">
        <v>0</v>
      </c>
      <c r="CP15" s="86"/>
      <c r="CQ15" s="48">
        <v>0</v>
      </c>
      <c r="CR15" s="48">
        <v>0</v>
      </c>
      <c r="CS15" s="48">
        <v>0</v>
      </c>
      <c r="CT15" s="86"/>
      <c r="CU15" s="48">
        <v>0</v>
      </c>
      <c r="CV15" s="48">
        <v>0</v>
      </c>
      <c r="CW15" s="48">
        <v>0</v>
      </c>
      <c r="CX15" s="86"/>
      <c r="CY15" s="48">
        <v>0</v>
      </c>
      <c r="CZ15" s="48">
        <v>0</v>
      </c>
      <c r="DA15" s="48">
        <v>0</v>
      </c>
      <c r="DB15" s="86"/>
      <c r="DC15" s="48">
        <v>0</v>
      </c>
      <c r="DD15" s="48">
        <v>0</v>
      </c>
      <c r="DE15" s="48">
        <v>0</v>
      </c>
      <c r="DF15" s="86"/>
      <c r="DG15" s="48">
        <v>0</v>
      </c>
      <c r="DH15" s="48">
        <v>0</v>
      </c>
      <c r="DI15" s="48">
        <v>0</v>
      </c>
      <c r="DJ15" s="86"/>
      <c r="DK15" s="48">
        <v>0</v>
      </c>
      <c r="DL15" s="48">
        <v>0</v>
      </c>
      <c r="DM15" s="48">
        <v>0</v>
      </c>
      <c r="DN15" s="86"/>
      <c r="DO15" s="49">
        <v>0</v>
      </c>
      <c r="DP15" s="49">
        <v>0</v>
      </c>
      <c r="DQ15" s="49">
        <v>0</v>
      </c>
      <c r="DR15" s="46">
        <v>0</v>
      </c>
      <c r="DS15" s="46">
        <v>0</v>
      </c>
      <c r="DT15" s="46">
        <v>0</v>
      </c>
    </row>
    <row r="16" spans="1:124" ht="13.5" customHeight="1" thickBot="1" x14ac:dyDescent="0.3">
      <c r="A16" s="177"/>
      <c r="B16" s="47" t="s">
        <v>92</v>
      </c>
      <c r="C16" s="48">
        <v>0</v>
      </c>
      <c r="D16" s="48">
        <v>0</v>
      </c>
      <c r="E16" s="80">
        <v>0</v>
      </c>
      <c r="F16" s="86"/>
      <c r="G16" s="83">
        <v>0</v>
      </c>
      <c r="H16" s="48">
        <v>0</v>
      </c>
      <c r="I16" s="48">
        <v>0</v>
      </c>
      <c r="J16" s="86"/>
      <c r="K16" s="48">
        <v>0</v>
      </c>
      <c r="L16" s="48">
        <v>0</v>
      </c>
      <c r="M16" s="48">
        <v>0</v>
      </c>
      <c r="N16" s="86"/>
      <c r="O16" s="48">
        <v>0</v>
      </c>
      <c r="P16" s="48">
        <v>0</v>
      </c>
      <c r="Q16" s="48">
        <v>0</v>
      </c>
      <c r="R16" s="86"/>
      <c r="S16" s="48">
        <v>0</v>
      </c>
      <c r="T16" s="48">
        <v>0</v>
      </c>
      <c r="U16" s="48">
        <v>0</v>
      </c>
      <c r="V16" s="86"/>
      <c r="W16" s="48">
        <v>0</v>
      </c>
      <c r="X16" s="48">
        <v>0</v>
      </c>
      <c r="Y16" s="48">
        <v>0</v>
      </c>
      <c r="Z16" s="86"/>
      <c r="AA16" s="48">
        <v>0</v>
      </c>
      <c r="AB16" s="48">
        <v>0</v>
      </c>
      <c r="AC16" s="48">
        <v>0</v>
      </c>
      <c r="AD16" s="86"/>
      <c r="AE16" s="48">
        <v>0</v>
      </c>
      <c r="AF16" s="48">
        <v>0</v>
      </c>
      <c r="AG16" s="48">
        <v>0</v>
      </c>
      <c r="AH16" s="86"/>
      <c r="AI16" s="48">
        <v>0</v>
      </c>
      <c r="AJ16" s="48">
        <v>0</v>
      </c>
      <c r="AK16" s="48">
        <v>0</v>
      </c>
      <c r="AL16" s="86"/>
      <c r="AM16" s="48">
        <v>0</v>
      </c>
      <c r="AN16" s="48">
        <v>0</v>
      </c>
      <c r="AO16" s="48">
        <v>0</v>
      </c>
      <c r="AP16" s="86"/>
      <c r="AQ16" s="48">
        <v>0</v>
      </c>
      <c r="AR16" s="48">
        <v>0</v>
      </c>
      <c r="AS16" s="48">
        <v>0</v>
      </c>
      <c r="AT16" s="86"/>
      <c r="AU16" s="48">
        <v>0</v>
      </c>
      <c r="AV16" s="48">
        <v>0</v>
      </c>
      <c r="AW16" s="48">
        <v>0</v>
      </c>
      <c r="AX16" s="86"/>
      <c r="AY16" s="48">
        <v>0</v>
      </c>
      <c r="AZ16" s="48">
        <v>0</v>
      </c>
      <c r="BA16" s="48">
        <v>0</v>
      </c>
      <c r="BB16" s="86"/>
      <c r="BC16" s="48">
        <v>0</v>
      </c>
      <c r="BD16" s="48">
        <v>0</v>
      </c>
      <c r="BE16" s="48">
        <v>0</v>
      </c>
      <c r="BF16" s="86"/>
      <c r="BG16" s="48">
        <v>0</v>
      </c>
      <c r="BH16" s="48">
        <v>0</v>
      </c>
      <c r="BI16" s="48">
        <v>0</v>
      </c>
      <c r="BJ16" s="86"/>
      <c r="BK16" s="48">
        <v>0</v>
      </c>
      <c r="BL16" s="48">
        <v>0</v>
      </c>
      <c r="BM16" s="48">
        <v>0</v>
      </c>
      <c r="BN16" s="86"/>
      <c r="BO16" s="48">
        <v>0</v>
      </c>
      <c r="BP16" s="48">
        <v>0</v>
      </c>
      <c r="BQ16" s="48">
        <v>0</v>
      </c>
      <c r="BR16" s="86"/>
      <c r="BS16" s="48">
        <v>0</v>
      </c>
      <c r="BT16" s="48">
        <v>0</v>
      </c>
      <c r="BU16" s="48">
        <v>0</v>
      </c>
      <c r="BV16" s="86"/>
      <c r="BW16" s="48">
        <v>0</v>
      </c>
      <c r="BX16" s="48">
        <v>0</v>
      </c>
      <c r="BY16" s="48">
        <v>0</v>
      </c>
      <c r="BZ16" s="86"/>
      <c r="CA16" s="48">
        <v>0</v>
      </c>
      <c r="CB16" s="48">
        <v>0</v>
      </c>
      <c r="CC16" s="48">
        <v>0</v>
      </c>
      <c r="CD16" s="86"/>
      <c r="CE16" s="48">
        <v>0</v>
      </c>
      <c r="CF16" s="48">
        <v>0</v>
      </c>
      <c r="CG16" s="48">
        <v>0</v>
      </c>
      <c r="CH16" s="86"/>
      <c r="CI16" s="48">
        <v>0</v>
      </c>
      <c r="CJ16" s="48">
        <v>0</v>
      </c>
      <c r="CK16" s="48">
        <v>0</v>
      </c>
      <c r="CL16" s="86"/>
      <c r="CM16" s="48">
        <v>0</v>
      </c>
      <c r="CN16" s="48">
        <v>0</v>
      </c>
      <c r="CO16" s="48">
        <v>0</v>
      </c>
      <c r="CP16" s="86"/>
      <c r="CQ16" s="48">
        <v>0</v>
      </c>
      <c r="CR16" s="48">
        <v>0</v>
      </c>
      <c r="CS16" s="48">
        <v>0</v>
      </c>
      <c r="CT16" s="86"/>
      <c r="CU16" s="48">
        <v>0</v>
      </c>
      <c r="CV16" s="48">
        <v>0</v>
      </c>
      <c r="CW16" s="48">
        <v>0</v>
      </c>
      <c r="CX16" s="86"/>
      <c r="CY16" s="48">
        <v>0</v>
      </c>
      <c r="CZ16" s="48">
        <v>0</v>
      </c>
      <c r="DA16" s="48">
        <v>0</v>
      </c>
      <c r="DB16" s="86"/>
      <c r="DC16" s="48">
        <v>0</v>
      </c>
      <c r="DD16" s="48">
        <v>0</v>
      </c>
      <c r="DE16" s="48">
        <v>0</v>
      </c>
      <c r="DF16" s="86"/>
      <c r="DG16" s="48">
        <v>0</v>
      </c>
      <c r="DH16" s="48">
        <v>0</v>
      </c>
      <c r="DI16" s="48">
        <v>0</v>
      </c>
      <c r="DJ16" s="86"/>
      <c r="DK16" s="48">
        <v>0</v>
      </c>
      <c r="DL16" s="48">
        <v>0</v>
      </c>
      <c r="DM16" s="48">
        <v>0</v>
      </c>
      <c r="DN16" s="86"/>
      <c r="DO16" s="49">
        <v>0</v>
      </c>
      <c r="DP16" s="49">
        <v>0</v>
      </c>
      <c r="DQ16" s="49">
        <v>0</v>
      </c>
      <c r="DR16" s="46">
        <v>0</v>
      </c>
      <c r="DS16" s="46">
        <v>0</v>
      </c>
      <c r="DT16" s="46">
        <v>0</v>
      </c>
    </row>
    <row r="17" spans="1:124" ht="13.5" customHeight="1" thickBot="1" x14ac:dyDescent="0.3">
      <c r="A17" s="177"/>
      <c r="B17" s="51" t="s">
        <v>93</v>
      </c>
      <c r="C17" s="48">
        <v>0</v>
      </c>
      <c r="D17" s="48">
        <v>5</v>
      </c>
      <c r="E17" s="80">
        <v>645</v>
      </c>
      <c r="F17" s="86"/>
      <c r="G17" s="83">
        <v>0</v>
      </c>
      <c r="H17" s="48">
        <v>0</v>
      </c>
      <c r="I17" s="48">
        <v>0</v>
      </c>
      <c r="J17" s="86"/>
      <c r="K17" s="48">
        <v>0</v>
      </c>
      <c r="L17" s="48">
        <v>18</v>
      </c>
      <c r="M17" s="48">
        <v>237</v>
      </c>
      <c r="N17" s="86"/>
      <c r="O17" s="48">
        <v>0</v>
      </c>
      <c r="P17" s="48">
        <v>7</v>
      </c>
      <c r="Q17" s="48">
        <v>261</v>
      </c>
      <c r="R17" s="86"/>
      <c r="S17" s="48">
        <v>0</v>
      </c>
      <c r="T17" s="48">
        <v>4</v>
      </c>
      <c r="U17" s="48">
        <v>69</v>
      </c>
      <c r="V17" s="86"/>
      <c r="W17" s="48">
        <v>0</v>
      </c>
      <c r="X17" s="48">
        <v>0</v>
      </c>
      <c r="Y17" s="48">
        <v>0</v>
      </c>
      <c r="Z17" s="86"/>
      <c r="AA17" s="48">
        <v>0</v>
      </c>
      <c r="AB17" s="48">
        <v>0</v>
      </c>
      <c r="AC17" s="48">
        <v>0</v>
      </c>
      <c r="AD17" s="86"/>
      <c r="AE17" s="48">
        <v>0</v>
      </c>
      <c r="AF17" s="48">
        <v>0</v>
      </c>
      <c r="AG17" s="48">
        <v>0</v>
      </c>
      <c r="AH17" s="86"/>
      <c r="AI17" s="48">
        <v>0</v>
      </c>
      <c r="AJ17" s="48">
        <v>0</v>
      </c>
      <c r="AK17" s="48">
        <v>0</v>
      </c>
      <c r="AL17" s="86"/>
      <c r="AM17" s="48">
        <v>0</v>
      </c>
      <c r="AN17" s="48">
        <v>47</v>
      </c>
      <c r="AO17" s="147">
        <v>148</v>
      </c>
      <c r="AP17" s="86"/>
      <c r="AQ17" s="48">
        <v>0</v>
      </c>
      <c r="AR17" s="48">
        <v>0</v>
      </c>
      <c r="AS17" s="48">
        <v>0</v>
      </c>
      <c r="AT17" s="86"/>
      <c r="AU17" s="48">
        <v>0</v>
      </c>
      <c r="AV17" s="48">
        <v>0</v>
      </c>
      <c r="AW17" s="48">
        <v>0</v>
      </c>
      <c r="AX17" s="86"/>
      <c r="AY17" s="48">
        <v>0</v>
      </c>
      <c r="AZ17" s="48">
        <v>9</v>
      </c>
      <c r="BA17" s="48">
        <v>141</v>
      </c>
      <c r="BB17" s="86"/>
      <c r="BC17" s="48">
        <v>0</v>
      </c>
      <c r="BD17" s="48">
        <v>0</v>
      </c>
      <c r="BE17" s="48">
        <v>0</v>
      </c>
      <c r="BF17" s="86"/>
      <c r="BG17" s="48">
        <v>0</v>
      </c>
      <c r="BH17" s="48">
        <v>0</v>
      </c>
      <c r="BI17" s="48">
        <v>0</v>
      </c>
      <c r="BJ17" s="86"/>
      <c r="BK17" s="48">
        <v>0</v>
      </c>
      <c r="BL17" s="48">
        <v>0</v>
      </c>
      <c r="BM17" s="48">
        <v>0</v>
      </c>
      <c r="BN17" s="86"/>
      <c r="BO17" s="48">
        <v>0</v>
      </c>
      <c r="BP17" s="48">
        <v>10</v>
      </c>
      <c r="BQ17" s="147">
        <v>331</v>
      </c>
      <c r="BR17" s="86"/>
      <c r="BS17" s="48">
        <v>0</v>
      </c>
      <c r="BT17" s="48">
        <v>10</v>
      </c>
      <c r="BU17" s="147">
        <v>332</v>
      </c>
      <c r="BV17" s="86"/>
      <c r="BW17" s="48">
        <v>0</v>
      </c>
      <c r="BX17" s="48">
        <v>15</v>
      </c>
      <c r="BY17" s="147">
        <v>237</v>
      </c>
      <c r="BZ17" s="86"/>
      <c r="CA17" s="48">
        <v>0</v>
      </c>
      <c r="CB17" s="48">
        <v>10</v>
      </c>
      <c r="CC17" s="147">
        <v>332</v>
      </c>
      <c r="CD17" s="86"/>
      <c r="CE17" s="48">
        <v>0</v>
      </c>
      <c r="CF17" s="48">
        <v>10</v>
      </c>
      <c r="CG17" s="147">
        <v>332</v>
      </c>
      <c r="CH17" s="86"/>
      <c r="CI17" s="48">
        <v>0</v>
      </c>
      <c r="CJ17" s="48">
        <v>9</v>
      </c>
      <c r="CK17" s="48">
        <v>141</v>
      </c>
      <c r="CL17" s="86"/>
      <c r="CM17" s="48">
        <v>0</v>
      </c>
      <c r="CN17" s="48">
        <v>0</v>
      </c>
      <c r="CO17" s="48">
        <v>0</v>
      </c>
      <c r="CP17" s="86"/>
      <c r="CQ17" s="48">
        <v>0</v>
      </c>
      <c r="CR17" s="48">
        <v>9</v>
      </c>
      <c r="CS17" s="48">
        <v>141</v>
      </c>
      <c r="CT17" s="86"/>
      <c r="CU17" s="48">
        <v>0</v>
      </c>
      <c r="CV17" s="48">
        <v>0</v>
      </c>
      <c r="CW17" s="48">
        <v>0</v>
      </c>
      <c r="CX17" s="86"/>
      <c r="CY17" s="48">
        <v>0</v>
      </c>
      <c r="CZ17" s="48">
        <v>0</v>
      </c>
      <c r="DA17" s="48">
        <v>0</v>
      </c>
      <c r="DB17" s="86"/>
      <c r="DC17" s="48">
        <v>0</v>
      </c>
      <c r="DD17" s="48">
        <v>0</v>
      </c>
      <c r="DE17" s="48">
        <v>0</v>
      </c>
      <c r="DF17" s="86"/>
      <c r="DG17" s="48">
        <v>0</v>
      </c>
      <c r="DH17" s="48">
        <v>0</v>
      </c>
      <c r="DI17" s="48">
        <v>0</v>
      </c>
      <c r="DJ17" s="86"/>
      <c r="DK17" s="48">
        <v>0</v>
      </c>
      <c r="DL17" s="48">
        <v>0</v>
      </c>
      <c r="DM17" s="48">
        <v>0</v>
      </c>
      <c r="DN17" s="86"/>
      <c r="DO17" s="49">
        <f t="shared" ref="DO17:DQ22" si="45">CU17+CY17+DC17+DG17+DK17</f>
        <v>0</v>
      </c>
      <c r="DP17" s="49">
        <f t="shared" si="45"/>
        <v>0</v>
      </c>
      <c r="DQ17" s="49">
        <f t="shared" si="45"/>
        <v>0</v>
      </c>
      <c r="DR17" s="46">
        <v>0</v>
      </c>
      <c r="DS17" s="46">
        <v>249</v>
      </c>
      <c r="DT17" s="46">
        <v>2349</v>
      </c>
    </row>
    <row r="18" spans="1:124" ht="13.5" customHeight="1" thickBot="1" x14ac:dyDescent="0.3">
      <c r="A18" s="177"/>
      <c r="B18" s="51" t="s">
        <v>94</v>
      </c>
      <c r="C18" s="48">
        <v>0</v>
      </c>
      <c r="D18" s="48">
        <v>0</v>
      </c>
      <c r="E18" s="80">
        <v>33</v>
      </c>
      <c r="F18" s="86"/>
      <c r="G18" s="83">
        <v>0</v>
      </c>
      <c r="H18" s="48">
        <v>0</v>
      </c>
      <c r="I18" s="48">
        <v>0</v>
      </c>
      <c r="J18" s="86"/>
      <c r="K18" s="48">
        <v>0</v>
      </c>
      <c r="L18" s="48">
        <v>1</v>
      </c>
      <c r="M18" s="48">
        <v>38</v>
      </c>
      <c r="N18" s="86"/>
      <c r="O18" s="48">
        <v>0</v>
      </c>
      <c r="P18" s="48">
        <v>0</v>
      </c>
      <c r="Q18" s="48">
        <v>27</v>
      </c>
      <c r="R18" s="86"/>
      <c r="S18" s="48">
        <v>0</v>
      </c>
      <c r="T18" s="48">
        <v>0</v>
      </c>
      <c r="U18" s="48">
        <v>3</v>
      </c>
      <c r="V18" s="86"/>
      <c r="W18" s="48">
        <v>0</v>
      </c>
      <c r="X18" s="48">
        <v>0</v>
      </c>
      <c r="Y18" s="48">
        <v>0</v>
      </c>
      <c r="Z18" s="86"/>
      <c r="AA18" s="48">
        <v>0</v>
      </c>
      <c r="AB18" s="48">
        <v>0</v>
      </c>
      <c r="AC18" s="48">
        <v>0</v>
      </c>
      <c r="AD18" s="86"/>
      <c r="AE18" s="48">
        <v>0</v>
      </c>
      <c r="AF18" s="48">
        <v>0</v>
      </c>
      <c r="AG18" s="48">
        <v>0</v>
      </c>
      <c r="AH18" s="86"/>
      <c r="AI18" s="48">
        <v>0</v>
      </c>
      <c r="AJ18" s="48">
        <v>0</v>
      </c>
      <c r="AK18" s="48">
        <v>0</v>
      </c>
      <c r="AL18" s="86"/>
      <c r="AM18" s="48">
        <v>0</v>
      </c>
      <c r="AN18" s="48">
        <v>0</v>
      </c>
      <c r="AO18" s="48">
        <v>10</v>
      </c>
      <c r="AP18" s="86"/>
      <c r="AQ18" s="48">
        <v>0</v>
      </c>
      <c r="AR18" s="48">
        <v>0</v>
      </c>
      <c r="AS18" s="48">
        <v>0</v>
      </c>
      <c r="AT18" s="86"/>
      <c r="AU18" s="48">
        <v>0</v>
      </c>
      <c r="AV18" s="48">
        <v>0</v>
      </c>
      <c r="AW18" s="48">
        <v>0</v>
      </c>
      <c r="AX18" s="86"/>
      <c r="AY18" s="48">
        <v>0</v>
      </c>
      <c r="AZ18" s="48">
        <v>0</v>
      </c>
      <c r="BA18" s="48">
        <v>17</v>
      </c>
      <c r="BB18" s="86"/>
      <c r="BC18" s="48">
        <v>0</v>
      </c>
      <c r="BD18" s="48">
        <v>0</v>
      </c>
      <c r="BE18" s="48">
        <v>0</v>
      </c>
      <c r="BF18" s="86"/>
      <c r="BG18" s="48">
        <v>0</v>
      </c>
      <c r="BH18" s="48">
        <v>0</v>
      </c>
      <c r="BI18" s="48">
        <v>0</v>
      </c>
      <c r="BJ18" s="86"/>
      <c r="BK18" s="48">
        <v>0</v>
      </c>
      <c r="BL18" s="48">
        <v>0</v>
      </c>
      <c r="BM18" s="48">
        <v>0</v>
      </c>
      <c r="BN18" s="86"/>
      <c r="BO18" s="48">
        <v>0</v>
      </c>
      <c r="BP18" s="48">
        <v>0</v>
      </c>
      <c r="BQ18" s="48">
        <v>17</v>
      </c>
      <c r="BR18" s="86"/>
      <c r="BS18" s="48">
        <v>0</v>
      </c>
      <c r="BT18" s="48">
        <v>0</v>
      </c>
      <c r="BU18" s="48">
        <v>17</v>
      </c>
      <c r="BV18" s="86"/>
      <c r="BW18" s="48">
        <v>0</v>
      </c>
      <c r="BX18" s="48">
        <v>0</v>
      </c>
      <c r="BY18" s="48">
        <v>10</v>
      </c>
      <c r="BZ18" s="86"/>
      <c r="CA18" s="48">
        <v>0</v>
      </c>
      <c r="CB18" s="48">
        <v>0</v>
      </c>
      <c r="CC18" s="48">
        <v>17</v>
      </c>
      <c r="CD18" s="86"/>
      <c r="CE18" s="48">
        <v>0</v>
      </c>
      <c r="CF18" s="48">
        <v>0</v>
      </c>
      <c r="CG18" s="48">
        <v>17</v>
      </c>
      <c r="CH18" s="86"/>
      <c r="CI18" s="48">
        <v>0</v>
      </c>
      <c r="CJ18" s="48">
        <v>0</v>
      </c>
      <c r="CK18" s="48">
        <v>17</v>
      </c>
      <c r="CL18" s="86"/>
      <c r="CM18" s="48">
        <v>0</v>
      </c>
      <c r="CN18" s="48">
        <v>0</v>
      </c>
      <c r="CO18" s="48">
        <v>0</v>
      </c>
      <c r="CP18" s="86"/>
      <c r="CQ18" s="48">
        <v>0</v>
      </c>
      <c r="CR18" s="48">
        <v>0</v>
      </c>
      <c r="CS18" s="48">
        <v>17</v>
      </c>
      <c r="CT18" s="86"/>
      <c r="CU18" s="48">
        <v>0</v>
      </c>
      <c r="CV18" s="48">
        <v>0</v>
      </c>
      <c r="CW18" s="48">
        <v>0</v>
      </c>
      <c r="CX18" s="86"/>
      <c r="CY18" s="48">
        <v>0</v>
      </c>
      <c r="CZ18" s="48">
        <v>0</v>
      </c>
      <c r="DA18" s="48">
        <v>0</v>
      </c>
      <c r="DB18" s="86"/>
      <c r="DC18" s="48">
        <v>0</v>
      </c>
      <c r="DD18" s="48">
        <v>0</v>
      </c>
      <c r="DE18" s="48">
        <v>0</v>
      </c>
      <c r="DF18" s="86"/>
      <c r="DG18" s="48">
        <v>0</v>
      </c>
      <c r="DH18" s="48">
        <v>0</v>
      </c>
      <c r="DI18" s="48">
        <v>0</v>
      </c>
      <c r="DJ18" s="86"/>
      <c r="DK18" s="48">
        <v>0</v>
      </c>
      <c r="DL18" s="48">
        <v>0</v>
      </c>
      <c r="DM18" s="48">
        <v>0</v>
      </c>
      <c r="DN18" s="86"/>
      <c r="DO18" s="49">
        <f t="shared" si="45"/>
        <v>0</v>
      </c>
      <c r="DP18" s="49">
        <f t="shared" si="45"/>
        <v>0</v>
      </c>
      <c r="DQ18" s="49">
        <f t="shared" si="45"/>
        <v>0</v>
      </c>
      <c r="DR18" s="46">
        <v>0</v>
      </c>
      <c r="DS18" s="46">
        <v>26</v>
      </c>
      <c r="DT18" s="46">
        <v>227</v>
      </c>
    </row>
    <row r="19" spans="1:124" ht="13.5" customHeight="1" thickBot="1" x14ac:dyDescent="0.3">
      <c r="A19" s="177"/>
      <c r="B19" s="51" t="s">
        <v>95</v>
      </c>
      <c r="C19" s="48">
        <v>0</v>
      </c>
      <c r="D19" s="48">
        <v>0</v>
      </c>
      <c r="E19" s="80">
        <v>0</v>
      </c>
      <c r="F19" s="86"/>
      <c r="G19" s="83">
        <v>0</v>
      </c>
      <c r="H19" s="48">
        <v>0</v>
      </c>
      <c r="I19" s="48">
        <v>0</v>
      </c>
      <c r="J19" s="86"/>
      <c r="K19" s="48">
        <v>0</v>
      </c>
      <c r="L19" s="48">
        <v>0</v>
      </c>
      <c r="M19" s="48">
        <v>0</v>
      </c>
      <c r="N19" s="86"/>
      <c r="O19" s="48">
        <v>0</v>
      </c>
      <c r="P19" s="48">
        <v>0</v>
      </c>
      <c r="Q19" s="48">
        <v>0</v>
      </c>
      <c r="R19" s="86"/>
      <c r="S19" s="48">
        <v>0</v>
      </c>
      <c r="T19" s="48">
        <v>0</v>
      </c>
      <c r="U19" s="48">
        <v>0</v>
      </c>
      <c r="V19" s="86"/>
      <c r="W19" s="48">
        <v>0</v>
      </c>
      <c r="X19" s="48">
        <v>0</v>
      </c>
      <c r="Y19" s="48">
        <v>0</v>
      </c>
      <c r="Z19" s="86"/>
      <c r="AA19" s="48">
        <v>0</v>
      </c>
      <c r="AB19" s="48">
        <v>0</v>
      </c>
      <c r="AC19" s="48">
        <v>0</v>
      </c>
      <c r="AD19" s="86"/>
      <c r="AE19" s="48">
        <v>0</v>
      </c>
      <c r="AF19" s="48">
        <v>0</v>
      </c>
      <c r="AG19" s="48">
        <v>0</v>
      </c>
      <c r="AH19" s="86"/>
      <c r="AI19" s="48">
        <v>0</v>
      </c>
      <c r="AJ19" s="48">
        <v>0</v>
      </c>
      <c r="AK19" s="48">
        <v>0</v>
      </c>
      <c r="AL19" s="86"/>
      <c r="AM19" s="48">
        <v>0</v>
      </c>
      <c r="AN19" s="48">
        <v>0</v>
      </c>
      <c r="AO19" s="48">
        <v>0</v>
      </c>
      <c r="AP19" s="86"/>
      <c r="AQ19" s="48">
        <v>0</v>
      </c>
      <c r="AR19" s="48">
        <v>0</v>
      </c>
      <c r="AS19" s="48">
        <v>0</v>
      </c>
      <c r="AT19" s="86"/>
      <c r="AU19" s="48">
        <v>0</v>
      </c>
      <c r="AV19" s="48">
        <v>0</v>
      </c>
      <c r="AW19" s="48">
        <v>0</v>
      </c>
      <c r="AX19" s="86"/>
      <c r="AY19" s="48">
        <v>0</v>
      </c>
      <c r="AZ19" s="48">
        <v>0</v>
      </c>
      <c r="BA19" s="48">
        <v>0</v>
      </c>
      <c r="BB19" s="86"/>
      <c r="BC19" s="48">
        <v>0</v>
      </c>
      <c r="BD19" s="48">
        <v>0</v>
      </c>
      <c r="BE19" s="48">
        <v>0</v>
      </c>
      <c r="BF19" s="86"/>
      <c r="BG19" s="48">
        <v>0</v>
      </c>
      <c r="BH19" s="48">
        <v>0</v>
      </c>
      <c r="BI19" s="48">
        <v>0</v>
      </c>
      <c r="BJ19" s="86"/>
      <c r="BK19" s="48">
        <v>0</v>
      </c>
      <c r="BL19" s="48">
        <v>0</v>
      </c>
      <c r="BM19" s="48">
        <v>0</v>
      </c>
      <c r="BN19" s="86"/>
      <c r="BO19" s="48">
        <v>0</v>
      </c>
      <c r="BP19" s="48">
        <v>0</v>
      </c>
      <c r="BQ19" s="48">
        <v>0</v>
      </c>
      <c r="BR19" s="86"/>
      <c r="BS19" s="48">
        <v>0</v>
      </c>
      <c r="BT19" s="48">
        <v>0</v>
      </c>
      <c r="BU19" s="48">
        <v>0</v>
      </c>
      <c r="BV19" s="86"/>
      <c r="BW19" s="48">
        <v>0</v>
      </c>
      <c r="BX19" s="48">
        <v>0</v>
      </c>
      <c r="BY19" s="48">
        <v>0</v>
      </c>
      <c r="BZ19" s="86"/>
      <c r="CA19" s="48">
        <v>0</v>
      </c>
      <c r="CB19" s="48">
        <v>0</v>
      </c>
      <c r="CC19" s="48">
        <v>4</v>
      </c>
      <c r="CD19" s="86"/>
      <c r="CE19" s="48">
        <v>0</v>
      </c>
      <c r="CF19" s="48">
        <v>0</v>
      </c>
      <c r="CG19" s="48">
        <v>0</v>
      </c>
      <c r="CH19" s="86"/>
      <c r="CI19" s="48">
        <v>0</v>
      </c>
      <c r="CJ19" s="48">
        <v>0</v>
      </c>
      <c r="CK19" s="48">
        <v>0</v>
      </c>
      <c r="CL19" s="86"/>
      <c r="CM19" s="48">
        <v>0</v>
      </c>
      <c r="CN19" s="48">
        <v>0</v>
      </c>
      <c r="CO19" s="48">
        <v>0</v>
      </c>
      <c r="CP19" s="86"/>
      <c r="CQ19" s="48">
        <v>0</v>
      </c>
      <c r="CR19" s="48">
        <v>0</v>
      </c>
      <c r="CS19" s="48">
        <v>0</v>
      </c>
      <c r="CT19" s="86"/>
      <c r="CU19" s="48">
        <v>0</v>
      </c>
      <c r="CV19" s="48">
        <v>0</v>
      </c>
      <c r="CW19" s="48">
        <v>0</v>
      </c>
      <c r="CX19" s="86"/>
      <c r="CY19" s="48">
        <v>0</v>
      </c>
      <c r="CZ19" s="48">
        <v>0</v>
      </c>
      <c r="DA19" s="48">
        <v>0</v>
      </c>
      <c r="DB19" s="86"/>
      <c r="DC19" s="48">
        <v>0</v>
      </c>
      <c r="DD19" s="48">
        <v>0</v>
      </c>
      <c r="DE19" s="48">
        <v>0</v>
      </c>
      <c r="DF19" s="86"/>
      <c r="DG19" s="48">
        <v>0</v>
      </c>
      <c r="DH19" s="48">
        <v>0</v>
      </c>
      <c r="DI19" s="48">
        <v>0</v>
      </c>
      <c r="DJ19" s="86"/>
      <c r="DK19" s="48">
        <v>0</v>
      </c>
      <c r="DL19" s="48">
        <v>0</v>
      </c>
      <c r="DM19" s="48">
        <v>0</v>
      </c>
      <c r="DN19" s="86"/>
      <c r="DO19" s="49">
        <f t="shared" si="45"/>
        <v>0</v>
      </c>
      <c r="DP19" s="49">
        <f t="shared" si="45"/>
        <v>0</v>
      </c>
      <c r="DQ19" s="49">
        <f t="shared" si="45"/>
        <v>0</v>
      </c>
      <c r="DR19" s="46">
        <v>0</v>
      </c>
      <c r="DS19" s="46">
        <v>0</v>
      </c>
      <c r="DT19" s="46">
        <v>61</v>
      </c>
    </row>
    <row r="20" spans="1:124" ht="13.5" customHeight="1" thickBot="1" x14ac:dyDescent="0.3">
      <c r="A20" s="177"/>
      <c r="B20" s="51" t="s">
        <v>96</v>
      </c>
      <c r="C20" s="48">
        <v>0</v>
      </c>
      <c r="D20" s="48">
        <v>0</v>
      </c>
      <c r="E20" s="80">
        <v>0</v>
      </c>
      <c r="F20" s="86"/>
      <c r="G20" s="83">
        <v>0</v>
      </c>
      <c r="H20" s="48">
        <v>0</v>
      </c>
      <c r="I20" s="48">
        <v>0</v>
      </c>
      <c r="J20" s="86"/>
      <c r="K20" s="48">
        <v>0</v>
      </c>
      <c r="L20" s="48">
        <v>0</v>
      </c>
      <c r="M20" s="48">
        <v>7</v>
      </c>
      <c r="N20" s="86"/>
      <c r="O20" s="48">
        <v>0</v>
      </c>
      <c r="P20" s="48">
        <v>0</v>
      </c>
      <c r="Q20" s="48">
        <v>0</v>
      </c>
      <c r="R20" s="86"/>
      <c r="S20" s="48">
        <v>0</v>
      </c>
      <c r="T20" s="48">
        <v>0</v>
      </c>
      <c r="U20" s="48">
        <v>0</v>
      </c>
      <c r="V20" s="86"/>
      <c r="W20" s="48">
        <v>0</v>
      </c>
      <c r="X20" s="48">
        <v>0</v>
      </c>
      <c r="Y20" s="48">
        <v>0</v>
      </c>
      <c r="Z20" s="86"/>
      <c r="AA20" s="48">
        <v>0</v>
      </c>
      <c r="AB20" s="48">
        <v>0</v>
      </c>
      <c r="AC20" s="48">
        <v>0</v>
      </c>
      <c r="AD20" s="86"/>
      <c r="AE20" s="48">
        <v>0</v>
      </c>
      <c r="AF20" s="48">
        <v>0</v>
      </c>
      <c r="AG20" s="48">
        <v>0</v>
      </c>
      <c r="AH20" s="86"/>
      <c r="AI20" s="48">
        <v>0</v>
      </c>
      <c r="AJ20" s="48">
        <v>0</v>
      </c>
      <c r="AK20" s="48">
        <v>0</v>
      </c>
      <c r="AL20" s="86"/>
      <c r="AM20" s="48">
        <v>0</v>
      </c>
      <c r="AN20" s="48">
        <v>0</v>
      </c>
      <c r="AO20" s="48">
        <v>0</v>
      </c>
      <c r="AP20" s="86"/>
      <c r="AQ20" s="48">
        <v>0</v>
      </c>
      <c r="AR20" s="48">
        <v>0</v>
      </c>
      <c r="AS20" s="48">
        <v>0</v>
      </c>
      <c r="AT20" s="86"/>
      <c r="AU20" s="48">
        <v>0</v>
      </c>
      <c r="AV20" s="48">
        <v>0</v>
      </c>
      <c r="AW20" s="48">
        <v>0</v>
      </c>
      <c r="AX20" s="86"/>
      <c r="AY20" s="48">
        <v>0</v>
      </c>
      <c r="AZ20" s="48">
        <v>0</v>
      </c>
      <c r="BA20" s="48">
        <v>0</v>
      </c>
      <c r="BB20" s="86"/>
      <c r="BC20" s="48">
        <v>0</v>
      </c>
      <c r="BD20" s="48">
        <v>0</v>
      </c>
      <c r="BE20" s="48">
        <v>0</v>
      </c>
      <c r="BF20" s="86"/>
      <c r="BG20" s="48">
        <v>0</v>
      </c>
      <c r="BH20" s="48">
        <v>0</v>
      </c>
      <c r="BI20" s="48">
        <v>0</v>
      </c>
      <c r="BJ20" s="86"/>
      <c r="BK20" s="48">
        <v>0</v>
      </c>
      <c r="BL20" s="48">
        <v>0</v>
      </c>
      <c r="BM20" s="48">
        <v>0</v>
      </c>
      <c r="BN20" s="86"/>
      <c r="BO20" s="48">
        <v>0</v>
      </c>
      <c r="BP20" s="48">
        <v>0</v>
      </c>
      <c r="BQ20" s="48">
        <v>1</v>
      </c>
      <c r="BR20" s="86"/>
      <c r="BS20" s="48">
        <v>0</v>
      </c>
      <c r="BT20" s="48">
        <v>0</v>
      </c>
      <c r="BU20" s="48">
        <v>0</v>
      </c>
      <c r="BV20" s="86"/>
      <c r="BW20" s="48">
        <v>0</v>
      </c>
      <c r="BX20" s="48">
        <v>0</v>
      </c>
      <c r="BY20" s="48">
        <v>1</v>
      </c>
      <c r="BZ20" s="86"/>
      <c r="CA20" s="48">
        <v>0</v>
      </c>
      <c r="CB20" s="48">
        <v>0</v>
      </c>
      <c r="CC20" s="48">
        <v>4</v>
      </c>
      <c r="CD20" s="86"/>
      <c r="CE20" s="48">
        <v>0</v>
      </c>
      <c r="CF20" s="48">
        <v>0</v>
      </c>
      <c r="CG20" s="48">
        <v>1</v>
      </c>
      <c r="CH20" s="86"/>
      <c r="CI20" s="48">
        <v>0</v>
      </c>
      <c r="CJ20" s="48">
        <v>0</v>
      </c>
      <c r="CK20" s="48">
        <v>0</v>
      </c>
      <c r="CL20" s="86"/>
      <c r="CM20" s="48">
        <v>0</v>
      </c>
      <c r="CN20" s="48">
        <v>0</v>
      </c>
      <c r="CO20" s="48">
        <v>0</v>
      </c>
      <c r="CP20" s="86"/>
      <c r="CQ20" s="48">
        <v>0</v>
      </c>
      <c r="CR20" s="48">
        <v>0</v>
      </c>
      <c r="CS20" s="48">
        <v>0</v>
      </c>
      <c r="CT20" s="86"/>
      <c r="CU20" s="48">
        <v>0</v>
      </c>
      <c r="CV20" s="48">
        <v>0</v>
      </c>
      <c r="CW20" s="48">
        <v>0</v>
      </c>
      <c r="CX20" s="86"/>
      <c r="CY20" s="48">
        <v>0</v>
      </c>
      <c r="CZ20" s="48">
        <v>0</v>
      </c>
      <c r="DA20" s="48">
        <v>0</v>
      </c>
      <c r="DB20" s="86"/>
      <c r="DC20" s="48">
        <v>0</v>
      </c>
      <c r="DD20" s="48">
        <v>0</v>
      </c>
      <c r="DE20" s="48">
        <v>0</v>
      </c>
      <c r="DF20" s="86"/>
      <c r="DG20" s="48">
        <v>0</v>
      </c>
      <c r="DH20" s="48">
        <v>0</v>
      </c>
      <c r="DI20" s="48">
        <v>0</v>
      </c>
      <c r="DJ20" s="86"/>
      <c r="DK20" s="48">
        <v>0</v>
      </c>
      <c r="DL20" s="48">
        <v>0</v>
      </c>
      <c r="DM20" s="48">
        <v>0</v>
      </c>
      <c r="DN20" s="86"/>
      <c r="DO20" s="49">
        <f t="shared" si="45"/>
        <v>0</v>
      </c>
      <c r="DP20" s="49">
        <f t="shared" si="45"/>
        <v>0</v>
      </c>
      <c r="DQ20" s="49">
        <f t="shared" si="45"/>
        <v>0</v>
      </c>
      <c r="DR20" s="46">
        <v>0</v>
      </c>
      <c r="DS20" s="46">
        <v>0</v>
      </c>
      <c r="DT20" s="46">
        <v>18</v>
      </c>
    </row>
    <row r="21" spans="1:124" ht="13.5" customHeight="1" thickBot="1" x14ac:dyDescent="0.3">
      <c r="A21" s="178"/>
      <c r="B21" s="52" t="s">
        <v>97</v>
      </c>
      <c r="C21" s="48">
        <v>0</v>
      </c>
      <c r="D21" s="48">
        <v>0</v>
      </c>
      <c r="E21" s="80">
        <v>0</v>
      </c>
      <c r="F21" s="86"/>
      <c r="G21" s="83">
        <v>0</v>
      </c>
      <c r="H21" s="48">
        <v>0</v>
      </c>
      <c r="I21" s="48">
        <v>0</v>
      </c>
      <c r="J21" s="86"/>
      <c r="K21" s="48">
        <v>0</v>
      </c>
      <c r="L21" s="48">
        <v>0</v>
      </c>
      <c r="M21" s="48">
        <v>1</v>
      </c>
      <c r="N21" s="86"/>
      <c r="O21" s="48">
        <v>0</v>
      </c>
      <c r="P21" s="48">
        <v>0</v>
      </c>
      <c r="Q21" s="48">
        <v>29</v>
      </c>
      <c r="R21" s="86"/>
      <c r="S21" s="48">
        <v>0</v>
      </c>
      <c r="T21" s="48">
        <v>0</v>
      </c>
      <c r="U21" s="48">
        <v>0</v>
      </c>
      <c r="V21" s="86"/>
      <c r="W21" s="48">
        <v>0</v>
      </c>
      <c r="X21" s="48">
        <v>0</v>
      </c>
      <c r="Y21" s="48">
        <v>0</v>
      </c>
      <c r="Z21" s="86"/>
      <c r="AA21" s="48">
        <v>0</v>
      </c>
      <c r="AB21" s="48">
        <v>0</v>
      </c>
      <c r="AC21" s="48">
        <v>0</v>
      </c>
      <c r="AD21" s="86"/>
      <c r="AE21" s="48">
        <v>0</v>
      </c>
      <c r="AF21" s="48">
        <v>0</v>
      </c>
      <c r="AG21" s="48">
        <v>0</v>
      </c>
      <c r="AH21" s="86"/>
      <c r="AI21" s="48">
        <v>0</v>
      </c>
      <c r="AJ21" s="48">
        <v>0</v>
      </c>
      <c r="AK21" s="48">
        <v>0</v>
      </c>
      <c r="AL21" s="86"/>
      <c r="AM21" s="48">
        <v>0</v>
      </c>
      <c r="AN21" s="48">
        <v>0</v>
      </c>
      <c r="AO21" s="48">
        <v>0</v>
      </c>
      <c r="AP21" s="86"/>
      <c r="AQ21" s="48">
        <v>0</v>
      </c>
      <c r="AR21" s="48">
        <v>0</v>
      </c>
      <c r="AS21" s="48">
        <v>0</v>
      </c>
      <c r="AT21" s="86"/>
      <c r="AU21" s="48">
        <v>0</v>
      </c>
      <c r="AV21" s="48">
        <v>0</v>
      </c>
      <c r="AW21" s="48">
        <v>0</v>
      </c>
      <c r="AX21" s="86"/>
      <c r="AY21" s="48">
        <v>0</v>
      </c>
      <c r="AZ21" s="48">
        <v>0</v>
      </c>
      <c r="BA21" s="48">
        <v>12</v>
      </c>
      <c r="BB21" s="86"/>
      <c r="BC21" s="48">
        <v>0</v>
      </c>
      <c r="BD21" s="48">
        <v>0</v>
      </c>
      <c r="BE21" s="48">
        <v>0</v>
      </c>
      <c r="BF21" s="86"/>
      <c r="BG21" s="48">
        <v>0</v>
      </c>
      <c r="BH21" s="48">
        <v>0</v>
      </c>
      <c r="BI21" s="48">
        <v>0</v>
      </c>
      <c r="BJ21" s="86"/>
      <c r="BK21" s="48">
        <v>0</v>
      </c>
      <c r="BL21" s="48">
        <v>0</v>
      </c>
      <c r="BM21" s="48">
        <v>0</v>
      </c>
      <c r="BN21" s="86"/>
      <c r="BO21" s="48">
        <v>0</v>
      </c>
      <c r="BP21" s="48">
        <v>0</v>
      </c>
      <c r="BQ21" s="48">
        <v>1</v>
      </c>
      <c r="BR21" s="86"/>
      <c r="BS21" s="48">
        <v>0</v>
      </c>
      <c r="BT21" s="48">
        <v>0</v>
      </c>
      <c r="BU21" s="48">
        <v>18</v>
      </c>
      <c r="BV21" s="86"/>
      <c r="BW21" s="48">
        <v>0</v>
      </c>
      <c r="BX21" s="48">
        <v>0</v>
      </c>
      <c r="BY21" s="48">
        <v>0</v>
      </c>
      <c r="BZ21" s="86"/>
      <c r="CA21" s="48">
        <v>0</v>
      </c>
      <c r="CB21" s="48">
        <v>0</v>
      </c>
      <c r="CC21" s="48">
        <v>5</v>
      </c>
      <c r="CD21" s="86"/>
      <c r="CE21" s="48">
        <v>0</v>
      </c>
      <c r="CF21" s="48">
        <v>0</v>
      </c>
      <c r="CG21" s="48">
        <v>0</v>
      </c>
      <c r="CH21" s="86"/>
      <c r="CI21" s="48">
        <v>0</v>
      </c>
      <c r="CJ21" s="48">
        <v>0</v>
      </c>
      <c r="CK21" s="48">
        <v>20</v>
      </c>
      <c r="CL21" s="86"/>
      <c r="CM21" s="48">
        <v>0</v>
      </c>
      <c r="CN21" s="48">
        <v>0</v>
      </c>
      <c r="CO21" s="48">
        <v>0</v>
      </c>
      <c r="CP21" s="86"/>
      <c r="CQ21" s="48">
        <v>0</v>
      </c>
      <c r="CR21" s="48">
        <v>0</v>
      </c>
      <c r="CS21" s="48">
        <v>0</v>
      </c>
      <c r="CT21" s="86"/>
      <c r="CU21" s="48">
        <v>0</v>
      </c>
      <c r="CV21" s="48">
        <v>0</v>
      </c>
      <c r="CW21" s="48">
        <v>0</v>
      </c>
      <c r="CX21" s="86"/>
      <c r="CY21" s="48">
        <v>0</v>
      </c>
      <c r="CZ21" s="48">
        <v>0</v>
      </c>
      <c r="DA21" s="48">
        <v>0</v>
      </c>
      <c r="DB21" s="86"/>
      <c r="DC21" s="48">
        <v>0</v>
      </c>
      <c r="DD21" s="48">
        <v>0</v>
      </c>
      <c r="DE21" s="48">
        <v>0</v>
      </c>
      <c r="DF21" s="86"/>
      <c r="DG21" s="48">
        <v>0</v>
      </c>
      <c r="DH21" s="48">
        <v>0</v>
      </c>
      <c r="DI21" s="48">
        <v>0</v>
      </c>
      <c r="DJ21" s="86"/>
      <c r="DK21" s="48">
        <v>0</v>
      </c>
      <c r="DL21" s="48">
        <v>0</v>
      </c>
      <c r="DM21" s="48">
        <v>0</v>
      </c>
      <c r="DN21" s="86"/>
      <c r="DO21" s="49">
        <f t="shared" si="45"/>
        <v>0</v>
      </c>
      <c r="DP21" s="49">
        <f t="shared" si="45"/>
        <v>0</v>
      </c>
      <c r="DQ21" s="49">
        <f t="shared" si="45"/>
        <v>0</v>
      </c>
      <c r="DR21" s="46">
        <v>0</v>
      </c>
      <c r="DS21" s="46">
        <v>0</v>
      </c>
      <c r="DT21" s="46">
        <v>58</v>
      </c>
    </row>
    <row r="22" spans="1:124" ht="13.5" customHeight="1" thickBot="1" x14ac:dyDescent="0.3">
      <c r="A22" s="37">
        <v>7</v>
      </c>
      <c r="B22" s="38" t="s">
        <v>98</v>
      </c>
      <c r="C22" s="44">
        <f t="shared" ref="C22:Q22" si="46">C27</f>
        <v>159</v>
      </c>
      <c r="D22" s="44">
        <f t="shared" si="46"/>
        <v>10</v>
      </c>
      <c r="E22" s="81">
        <f t="shared" si="46"/>
        <v>713</v>
      </c>
      <c r="F22" s="86"/>
      <c r="G22" s="45">
        <f t="shared" si="46"/>
        <v>0</v>
      </c>
      <c r="H22" s="44">
        <f t="shared" si="46"/>
        <v>0</v>
      </c>
      <c r="I22" s="44">
        <f t="shared" si="46"/>
        <v>0</v>
      </c>
      <c r="J22" s="86"/>
      <c r="K22" s="44">
        <f t="shared" si="46"/>
        <v>138</v>
      </c>
      <c r="L22" s="44">
        <f t="shared" si="46"/>
        <v>29</v>
      </c>
      <c r="M22" s="44">
        <f t="shared" si="46"/>
        <v>278</v>
      </c>
      <c r="N22" s="86"/>
      <c r="O22" s="44">
        <f t="shared" si="46"/>
        <v>57</v>
      </c>
      <c r="P22" s="44">
        <f t="shared" si="46"/>
        <v>10</v>
      </c>
      <c r="Q22" s="44">
        <f t="shared" si="46"/>
        <v>323</v>
      </c>
      <c r="R22" s="86"/>
      <c r="S22" s="44">
        <f t="shared" ref="S22:Y22" si="47">S27</f>
        <v>34</v>
      </c>
      <c r="T22" s="44">
        <f t="shared" si="47"/>
        <v>12</v>
      </c>
      <c r="U22" s="44">
        <f t="shared" si="47"/>
        <v>123</v>
      </c>
      <c r="V22" s="86"/>
      <c r="W22" s="44">
        <f t="shared" si="47"/>
        <v>0</v>
      </c>
      <c r="X22" s="44">
        <f t="shared" si="47"/>
        <v>0</v>
      </c>
      <c r="Y22" s="44">
        <f t="shared" si="47"/>
        <v>0</v>
      </c>
      <c r="Z22" s="86"/>
      <c r="AA22" s="44">
        <f t="shared" ref="AA22:AG22" si="48">AA27</f>
        <v>0</v>
      </c>
      <c r="AB22" s="44">
        <f t="shared" si="48"/>
        <v>0</v>
      </c>
      <c r="AC22" s="44">
        <f t="shared" si="48"/>
        <v>0</v>
      </c>
      <c r="AD22" s="86"/>
      <c r="AE22" s="44">
        <f t="shared" si="48"/>
        <v>0</v>
      </c>
      <c r="AF22" s="44">
        <f t="shared" si="48"/>
        <v>0</v>
      </c>
      <c r="AG22" s="44">
        <f t="shared" si="48"/>
        <v>0</v>
      </c>
      <c r="AH22" s="86"/>
      <c r="AI22" s="44">
        <f t="shared" ref="AI22:AO22" si="49">AI27</f>
        <v>0</v>
      </c>
      <c r="AJ22" s="44">
        <f t="shared" si="49"/>
        <v>0</v>
      </c>
      <c r="AK22" s="44">
        <f t="shared" si="49"/>
        <v>0</v>
      </c>
      <c r="AL22" s="86"/>
      <c r="AM22" s="44">
        <f t="shared" si="49"/>
        <v>3</v>
      </c>
      <c r="AN22" s="44">
        <f t="shared" si="49"/>
        <v>1</v>
      </c>
      <c r="AO22" s="44">
        <f t="shared" si="49"/>
        <v>34</v>
      </c>
      <c r="AP22" s="86"/>
      <c r="AQ22" s="44">
        <f t="shared" ref="AQ22:BA22" si="50">AQ27</f>
        <v>0</v>
      </c>
      <c r="AR22" s="44">
        <f t="shared" si="50"/>
        <v>0</v>
      </c>
      <c r="AS22" s="44">
        <f t="shared" si="50"/>
        <v>0</v>
      </c>
      <c r="AT22" s="86"/>
      <c r="AU22" s="44">
        <f t="shared" si="50"/>
        <v>0</v>
      </c>
      <c r="AV22" s="44">
        <f t="shared" si="50"/>
        <v>0</v>
      </c>
      <c r="AW22" s="44">
        <f t="shared" si="50"/>
        <v>0</v>
      </c>
      <c r="AX22" s="86"/>
      <c r="AY22" s="44">
        <f t="shared" si="50"/>
        <v>10</v>
      </c>
      <c r="AZ22" s="44">
        <f t="shared" si="50"/>
        <v>0</v>
      </c>
      <c r="BA22" s="44">
        <f t="shared" si="50"/>
        <v>37</v>
      </c>
      <c r="BB22" s="86"/>
      <c r="BC22" s="44">
        <f t="shared" ref="BC22:BI22" si="51">BC27</f>
        <v>0</v>
      </c>
      <c r="BD22" s="44">
        <f t="shared" si="51"/>
        <v>0</v>
      </c>
      <c r="BE22" s="44">
        <f t="shared" si="51"/>
        <v>0</v>
      </c>
      <c r="BF22" s="86"/>
      <c r="BG22" s="44">
        <f t="shared" si="51"/>
        <v>0</v>
      </c>
      <c r="BH22" s="44">
        <f t="shared" si="51"/>
        <v>0</v>
      </c>
      <c r="BI22" s="44">
        <f t="shared" si="51"/>
        <v>0</v>
      </c>
      <c r="BJ22" s="86"/>
      <c r="BK22" s="44">
        <f t="shared" ref="BK22:BU22" si="52">BK27</f>
        <v>0</v>
      </c>
      <c r="BL22" s="44">
        <f t="shared" si="52"/>
        <v>0</v>
      </c>
      <c r="BM22" s="44">
        <f t="shared" si="52"/>
        <v>0</v>
      </c>
      <c r="BN22" s="86"/>
      <c r="BO22" s="44">
        <f t="shared" si="52"/>
        <v>115</v>
      </c>
      <c r="BP22" s="44">
        <f t="shared" si="52"/>
        <v>23</v>
      </c>
      <c r="BQ22" s="44">
        <f t="shared" si="52"/>
        <v>359</v>
      </c>
      <c r="BR22" s="86"/>
      <c r="BS22" s="44">
        <f t="shared" si="52"/>
        <v>115</v>
      </c>
      <c r="BT22" s="44">
        <f t="shared" si="52"/>
        <v>21</v>
      </c>
      <c r="BU22" s="44">
        <f t="shared" si="52"/>
        <v>360</v>
      </c>
      <c r="BV22" s="86"/>
      <c r="BW22" s="44">
        <f t="shared" ref="BW22:CC22" si="53">BW27</f>
        <v>4</v>
      </c>
      <c r="BX22" s="44">
        <f t="shared" si="53"/>
        <v>0</v>
      </c>
      <c r="BY22" s="44">
        <f>BY27</f>
        <v>10</v>
      </c>
      <c r="BZ22" s="86"/>
      <c r="CA22" s="44">
        <f t="shared" si="53"/>
        <v>115</v>
      </c>
      <c r="CB22" s="44">
        <f t="shared" si="53"/>
        <v>21</v>
      </c>
      <c r="CC22" s="44">
        <f t="shared" si="53"/>
        <v>360</v>
      </c>
      <c r="CD22" s="86"/>
      <c r="CE22" s="44">
        <f t="shared" ref="CE22:CK22" si="54">CE27</f>
        <v>115</v>
      </c>
      <c r="CF22" s="44">
        <f t="shared" si="54"/>
        <v>21</v>
      </c>
      <c r="CG22" s="44">
        <f t="shared" si="54"/>
        <v>360</v>
      </c>
      <c r="CH22" s="86"/>
      <c r="CI22" s="44">
        <f t="shared" si="54"/>
        <v>10</v>
      </c>
      <c r="CJ22" s="44">
        <f t="shared" si="54"/>
        <v>0</v>
      </c>
      <c r="CK22" s="44">
        <f t="shared" si="54"/>
        <v>37</v>
      </c>
      <c r="CL22" s="86"/>
      <c r="CM22" s="44">
        <f>CM27</f>
        <v>0</v>
      </c>
      <c r="CN22" s="44">
        <f>CN27</f>
        <v>0</v>
      </c>
      <c r="CO22" s="44">
        <f>CO27</f>
        <v>0</v>
      </c>
      <c r="CP22" s="86"/>
      <c r="CQ22" s="44">
        <f t="shared" ref="CQ22:CS22" si="55">CQ27</f>
        <v>10</v>
      </c>
      <c r="CR22" s="44">
        <f t="shared" si="55"/>
        <v>0</v>
      </c>
      <c r="CS22" s="44">
        <f t="shared" si="55"/>
        <v>37</v>
      </c>
      <c r="CT22" s="86"/>
      <c r="CU22" s="44">
        <f t="shared" ref="CU22:CW22" si="56">CU27</f>
        <v>0</v>
      </c>
      <c r="CV22" s="44">
        <f t="shared" si="56"/>
        <v>0</v>
      </c>
      <c r="CW22" s="44">
        <f t="shared" si="56"/>
        <v>0</v>
      </c>
      <c r="CX22" s="86"/>
      <c r="CY22" s="44">
        <f t="shared" ref="CY22:DA22" si="57">CY27</f>
        <v>0</v>
      </c>
      <c r="CZ22" s="44">
        <f t="shared" si="57"/>
        <v>0</v>
      </c>
      <c r="DA22" s="44">
        <f t="shared" si="57"/>
        <v>0</v>
      </c>
      <c r="DB22" s="86"/>
      <c r="DC22" s="44">
        <f t="shared" ref="DC22:DE22" si="58">DC27</f>
        <v>0</v>
      </c>
      <c r="DD22" s="44">
        <f t="shared" si="58"/>
        <v>0</v>
      </c>
      <c r="DE22" s="44">
        <f t="shared" si="58"/>
        <v>0</v>
      </c>
      <c r="DF22" s="86"/>
      <c r="DG22" s="44">
        <f t="shared" ref="DG22:DI22" si="59">DG27</f>
        <v>0</v>
      </c>
      <c r="DH22" s="44">
        <f t="shared" si="59"/>
        <v>0</v>
      </c>
      <c r="DI22" s="44">
        <f t="shared" si="59"/>
        <v>0</v>
      </c>
      <c r="DJ22" s="86"/>
      <c r="DK22" s="44">
        <f t="shared" ref="DK22:DM22" si="60">DK27</f>
        <v>0</v>
      </c>
      <c r="DL22" s="44">
        <f t="shared" si="60"/>
        <v>0</v>
      </c>
      <c r="DM22" s="44">
        <f t="shared" si="60"/>
        <v>0</v>
      </c>
      <c r="DN22" s="86"/>
      <c r="DO22" s="46">
        <f t="shared" si="45"/>
        <v>0</v>
      </c>
      <c r="DP22" s="46">
        <f t="shared" si="45"/>
        <v>0</v>
      </c>
      <c r="DQ22" s="46">
        <f t="shared" si="45"/>
        <v>0</v>
      </c>
      <c r="DR22" s="46">
        <v>5</v>
      </c>
      <c r="DS22" s="46">
        <v>1</v>
      </c>
      <c r="DT22" s="46">
        <v>61</v>
      </c>
    </row>
    <row r="23" spans="1:124" ht="13.5" customHeight="1" thickBot="1" x14ac:dyDescent="0.3">
      <c r="A23" s="176">
        <v>8</v>
      </c>
      <c r="B23" s="43" t="s">
        <v>99</v>
      </c>
      <c r="C23" s="48"/>
      <c r="D23" s="48"/>
      <c r="E23" s="80"/>
      <c r="F23" s="86"/>
      <c r="G23" s="83"/>
      <c r="H23" s="48"/>
      <c r="I23" s="48"/>
      <c r="J23" s="86"/>
      <c r="K23" s="48"/>
      <c r="L23" s="48"/>
      <c r="M23" s="48"/>
      <c r="N23" s="86"/>
      <c r="O23" s="48"/>
      <c r="P23" s="48"/>
      <c r="Q23" s="48"/>
      <c r="R23" s="86"/>
      <c r="S23" s="48"/>
      <c r="T23" s="48"/>
      <c r="U23" s="48"/>
      <c r="V23" s="86"/>
      <c r="W23" s="48"/>
      <c r="X23" s="48"/>
      <c r="Y23" s="48"/>
      <c r="Z23" s="86"/>
      <c r="AA23" s="48"/>
      <c r="AB23" s="48"/>
      <c r="AC23" s="48"/>
      <c r="AD23" s="86"/>
      <c r="AE23" s="48"/>
      <c r="AF23" s="48"/>
      <c r="AG23" s="48"/>
      <c r="AH23" s="86"/>
      <c r="AI23" s="48"/>
      <c r="AJ23" s="48"/>
      <c r="AK23" s="48"/>
      <c r="AL23" s="86"/>
      <c r="AM23" s="48"/>
      <c r="AN23" s="48"/>
      <c r="AO23" s="48"/>
      <c r="AP23" s="86"/>
      <c r="AQ23" s="48"/>
      <c r="AR23" s="48"/>
      <c r="AS23" s="48"/>
      <c r="AT23" s="86"/>
      <c r="AU23" s="48"/>
      <c r="AV23" s="48"/>
      <c r="AW23" s="48"/>
      <c r="AX23" s="86"/>
      <c r="AY23" s="48"/>
      <c r="AZ23" s="48"/>
      <c r="BA23" s="48"/>
      <c r="BB23" s="86"/>
      <c r="BC23" s="48"/>
      <c r="BD23" s="48"/>
      <c r="BE23" s="48"/>
      <c r="BF23" s="86"/>
      <c r="BG23" s="48"/>
      <c r="BH23" s="48"/>
      <c r="BI23" s="48"/>
      <c r="BJ23" s="86"/>
      <c r="BK23" s="48"/>
      <c r="BL23" s="48"/>
      <c r="BM23" s="48"/>
      <c r="BN23" s="86"/>
      <c r="BO23" s="48"/>
      <c r="BP23" s="48"/>
      <c r="BQ23" s="48"/>
      <c r="BR23" s="86"/>
      <c r="BS23" s="48"/>
      <c r="BT23" s="48"/>
      <c r="BU23" s="48"/>
      <c r="BV23" s="86"/>
      <c r="BW23" s="48"/>
      <c r="BX23" s="48"/>
      <c r="BY23" s="48"/>
      <c r="BZ23" s="86"/>
      <c r="CA23" s="48"/>
      <c r="CB23" s="48"/>
      <c r="CC23" s="48"/>
      <c r="CD23" s="86"/>
      <c r="CE23" s="48"/>
      <c r="CF23" s="48"/>
      <c r="CG23" s="48"/>
      <c r="CH23" s="86"/>
      <c r="CI23" s="48"/>
      <c r="CJ23" s="48"/>
      <c r="CK23" s="48"/>
      <c r="CL23" s="86"/>
      <c r="CM23" s="48"/>
      <c r="CN23" s="48"/>
      <c r="CO23" s="48"/>
      <c r="CP23" s="86"/>
      <c r="CQ23" s="48"/>
      <c r="CR23" s="48"/>
      <c r="CS23" s="48"/>
      <c r="CT23" s="86"/>
      <c r="CU23" s="48"/>
      <c r="CV23" s="48"/>
      <c r="CW23" s="48"/>
      <c r="CX23" s="86"/>
      <c r="CY23" s="48"/>
      <c r="CZ23" s="48"/>
      <c r="DA23" s="48"/>
      <c r="DB23" s="86"/>
      <c r="DC23" s="48"/>
      <c r="DD23" s="48"/>
      <c r="DE23" s="48"/>
      <c r="DF23" s="86"/>
      <c r="DG23" s="48"/>
      <c r="DH23" s="48"/>
      <c r="DI23" s="48"/>
      <c r="DJ23" s="86"/>
      <c r="DK23" s="48"/>
      <c r="DL23" s="48"/>
      <c r="DM23" s="48"/>
      <c r="DN23" s="86"/>
      <c r="DO23" s="49"/>
      <c r="DP23" s="49"/>
      <c r="DQ23" s="49"/>
      <c r="DR23" s="46"/>
      <c r="DS23" s="46"/>
      <c r="DT23" s="46"/>
    </row>
    <row r="24" spans="1:124" ht="13.5" customHeight="1" thickBot="1" x14ac:dyDescent="0.3">
      <c r="A24" s="177"/>
      <c r="B24" s="47" t="s">
        <v>302</v>
      </c>
      <c r="C24" s="48">
        <v>0</v>
      </c>
      <c r="D24" s="48">
        <v>0</v>
      </c>
      <c r="E24" s="80">
        <v>0</v>
      </c>
      <c r="F24" s="86"/>
      <c r="G24" s="83">
        <v>0</v>
      </c>
      <c r="H24" s="48">
        <v>0</v>
      </c>
      <c r="I24" s="48">
        <v>0</v>
      </c>
      <c r="J24" s="86"/>
      <c r="K24" s="48">
        <v>0</v>
      </c>
      <c r="L24" s="48">
        <v>0</v>
      </c>
      <c r="M24" s="48">
        <v>0</v>
      </c>
      <c r="N24" s="86"/>
      <c r="O24" s="48">
        <v>0</v>
      </c>
      <c r="P24" s="48">
        <v>0</v>
      </c>
      <c r="Q24" s="48">
        <v>0</v>
      </c>
      <c r="R24" s="86"/>
      <c r="S24" s="48">
        <v>0</v>
      </c>
      <c r="T24" s="48">
        <v>0</v>
      </c>
      <c r="U24" s="48">
        <v>0</v>
      </c>
      <c r="V24" s="86"/>
      <c r="W24" s="48">
        <v>0</v>
      </c>
      <c r="X24" s="48">
        <v>0</v>
      </c>
      <c r="Y24" s="48">
        <v>0</v>
      </c>
      <c r="Z24" s="86"/>
      <c r="AA24" s="48">
        <v>0</v>
      </c>
      <c r="AB24" s="48">
        <v>0</v>
      </c>
      <c r="AC24" s="48">
        <v>0</v>
      </c>
      <c r="AD24" s="86"/>
      <c r="AE24" s="48">
        <v>0</v>
      </c>
      <c r="AF24" s="48">
        <v>0</v>
      </c>
      <c r="AG24" s="48">
        <v>0</v>
      </c>
      <c r="AH24" s="86"/>
      <c r="AI24" s="48">
        <v>0</v>
      </c>
      <c r="AJ24" s="48">
        <v>0</v>
      </c>
      <c r="AK24" s="48">
        <v>0</v>
      </c>
      <c r="AL24" s="86"/>
      <c r="AM24" s="48">
        <v>0</v>
      </c>
      <c r="AN24" s="48">
        <v>0</v>
      </c>
      <c r="AO24" s="48">
        <v>6</v>
      </c>
      <c r="AP24" s="86"/>
      <c r="AQ24" s="48">
        <v>0</v>
      </c>
      <c r="AR24" s="48">
        <v>0</v>
      </c>
      <c r="AS24" s="48">
        <v>0</v>
      </c>
      <c r="AT24" s="86"/>
      <c r="AU24" s="48">
        <v>0</v>
      </c>
      <c r="AV24" s="48">
        <v>0</v>
      </c>
      <c r="AW24" s="48">
        <v>6</v>
      </c>
      <c r="AX24" s="86"/>
      <c r="AY24" s="48">
        <v>0</v>
      </c>
      <c r="AZ24" s="48">
        <v>0</v>
      </c>
      <c r="BA24" s="48">
        <v>0</v>
      </c>
      <c r="BB24" s="86"/>
      <c r="BC24" s="48">
        <v>0</v>
      </c>
      <c r="BD24" s="48">
        <v>0</v>
      </c>
      <c r="BE24" s="48">
        <v>0</v>
      </c>
      <c r="BF24" s="86"/>
      <c r="BG24" s="48">
        <v>0</v>
      </c>
      <c r="BH24" s="48">
        <v>0</v>
      </c>
      <c r="BI24" s="48">
        <v>0</v>
      </c>
      <c r="BJ24" s="86"/>
      <c r="BK24" s="48">
        <v>0</v>
      </c>
      <c r="BL24" s="48">
        <v>0</v>
      </c>
      <c r="BM24" s="48">
        <v>0</v>
      </c>
      <c r="BN24" s="86"/>
      <c r="BO24" s="48">
        <v>0</v>
      </c>
      <c r="BP24" s="48">
        <v>0</v>
      </c>
      <c r="BQ24" s="48">
        <v>0</v>
      </c>
      <c r="BR24" s="86"/>
      <c r="BS24" s="48">
        <v>0</v>
      </c>
      <c r="BT24" s="48">
        <v>0</v>
      </c>
      <c r="BU24" s="48">
        <v>0</v>
      </c>
      <c r="BV24" s="86"/>
      <c r="BW24" s="48">
        <v>0</v>
      </c>
      <c r="BX24" s="48">
        <v>0</v>
      </c>
      <c r="BY24" s="48">
        <v>6</v>
      </c>
      <c r="BZ24" s="86"/>
      <c r="CA24" s="48">
        <v>0</v>
      </c>
      <c r="CB24" s="48">
        <v>0</v>
      </c>
      <c r="CC24" s="48">
        <v>0</v>
      </c>
      <c r="CD24" s="86"/>
      <c r="CE24" s="48">
        <v>0</v>
      </c>
      <c r="CF24" s="48">
        <v>0</v>
      </c>
      <c r="CG24" s="48">
        <v>0</v>
      </c>
      <c r="CH24" s="86"/>
      <c r="CI24" s="48">
        <v>0</v>
      </c>
      <c r="CJ24" s="48">
        <v>0</v>
      </c>
      <c r="CK24" s="48">
        <v>0</v>
      </c>
      <c r="CL24" s="86"/>
      <c r="CM24" s="48">
        <v>0</v>
      </c>
      <c r="CN24" s="48">
        <v>0</v>
      </c>
      <c r="CO24" s="48">
        <v>0</v>
      </c>
      <c r="CP24" s="86"/>
      <c r="CQ24" s="48">
        <v>0</v>
      </c>
      <c r="CR24" s="48">
        <v>0</v>
      </c>
      <c r="CS24" s="48">
        <v>0</v>
      </c>
      <c r="CT24" s="86"/>
      <c r="CU24" s="48">
        <v>0</v>
      </c>
      <c r="CV24" s="48">
        <v>0</v>
      </c>
      <c r="CW24" s="48">
        <v>6</v>
      </c>
      <c r="CX24" s="86"/>
      <c r="CY24" s="48">
        <v>0</v>
      </c>
      <c r="CZ24" s="48">
        <v>0</v>
      </c>
      <c r="DA24" s="48">
        <v>0</v>
      </c>
      <c r="DB24" s="86"/>
      <c r="DC24" s="48">
        <v>0</v>
      </c>
      <c r="DD24" s="48">
        <v>0</v>
      </c>
      <c r="DE24" s="48">
        <v>0</v>
      </c>
      <c r="DF24" s="86"/>
      <c r="DG24" s="48">
        <v>0</v>
      </c>
      <c r="DH24" s="48">
        <v>0</v>
      </c>
      <c r="DI24" s="48">
        <v>0</v>
      </c>
      <c r="DJ24" s="86"/>
      <c r="DK24" s="48">
        <v>0</v>
      </c>
      <c r="DL24" s="48">
        <v>0</v>
      </c>
      <c r="DM24" s="48">
        <v>0</v>
      </c>
      <c r="DN24" s="86"/>
      <c r="DO24" s="49">
        <f t="shared" ref="DO24:DQ28" si="61">CU24+CY24+DC24+DG24+DK24</f>
        <v>0</v>
      </c>
      <c r="DP24" s="49">
        <f t="shared" si="61"/>
        <v>0</v>
      </c>
      <c r="DQ24" s="49">
        <f t="shared" si="61"/>
        <v>6</v>
      </c>
      <c r="DR24" s="46">
        <v>0</v>
      </c>
      <c r="DS24" s="46">
        <v>0</v>
      </c>
      <c r="DT24" s="46">
        <v>10</v>
      </c>
    </row>
    <row r="25" spans="1:124" ht="13.5" customHeight="1" thickBot="1" x14ac:dyDescent="0.3">
      <c r="A25" s="177"/>
      <c r="B25" s="47" t="s">
        <v>303</v>
      </c>
      <c r="C25" s="48">
        <v>0</v>
      </c>
      <c r="D25" s="48">
        <v>0</v>
      </c>
      <c r="E25" s="80">
        <v>0</v>
      </c>
      <c r="F25" s="86"/>
      <c r="G25" s="83">
        <v>0</v>
      </c>
      <c r="H25" s="48">
        <v>0</v>
      </c>
      <c r="I25" s="48">
        <v>0</v>
      </c>
      <c r="J25" s="86"/>
      <c r="K25" s="48">
        <v>0</v>
      </c>
      <c r="L25" s="48">
        <v>0</v>
      </c>
      <c r="M25" s="48">
        <v>0</v>
      </c>
      <c r="N25" s="86"/>
      <c r="O25" s="48">
        <v>0</v>
      </c>
      <c r="P25" s="48">
        <v>0</v>
      </c>
      <c r="Q25" s="48">
        <v>0</v>
      </c>
      <c r="R25" s="86"/>
      <c r="S25" s="48">
        <v>0</v>
      </c>
      <c r="T25" s="48">
        <v>0</v>
      </c>
      <c r="U25" s="48">
        <v>0</v>
      </c>
      <c r="V25" s="86"/>
      <c r="W25" s="48">
        <v>0</v>
      </c>
      <c r="X25" s="48">
        <v>0</v>
      </c>
      <c r="Y25" s="48">
        <v>0</v>
      </c>
      <c r="Z25" s="86"/>
      <c r="AA25" s="48">
        <v>0</v>
      </c>
      <c r="AB25" s="48">
        <v>0</v>
      </c>
      <c r="AC25" s="48">
        <v>0</v>
      </c>
      <c r="AD25" s="86"/>
      <c r="AE25" s="48">
        <v>0</v>
      </c>
      <c r="AF25" s="48">
        <v>0</v>
      </c>
      <c r="AG25" s="48">
        <v>0</v>
      </c>
      <c r="AH25" s="86"/>
      <c r="AI25" s="48">
        <v>0</v>
      </c>
      <c r="AJ25" s="48">
        <v>0</v>
      </c>
      <c r="AK25" s="48">
        <v>0</v>
      </c>
      <c r="AL25" s="86"/>
      <c r="AM25" s="48">
        <v>0</v>
      </c>
      <c r="AN25" s="48">
        <v>0</v>
      </c>
      <c r="AO25" s="48">
        <v>0</v>
      </c>
      <c r="AP25" s="86"/>
      <c r="AQ25" s="48">
        <v>0</v>
      </c>
      <c r="AR25" s="48">
        <v>0</v>
      </c>
      <c r="AS25" s="48">
        <v>0</v>
      </c>
      <c r="AT25" s="86"/>
      <c r="AU25" s="48">
        <v>0</v>
      </c>
      <c r="AV25" s="48">
        <v>0</v>
      </c>
      <c r="AW25" s="48">
        <v>5</v>
      </c>
      <c r="AX25" s="86"/>
      <c r="AY25" s="48">
        <v>0</v>
      </c>
      <c r="AZ25" s="48">
        <v>0</v>
      </c>
      <c r="BA25" s="48">
        <v>0</v>
      </c>
      <c r="BB25" s="86"/>
      <c r="BC25" s="48">
        <v>0</v>
      </c>
      <c r="BD25" s="48">
        <v>0</v>
      </c>
      <c r="BE25" s="48">
        <v>0</v>
      </c>
      <c r="BF25" s="86"/>
      <c r="BG25" s="48">
        <v>0</v>
      </c>
      <c r="BH25" s="48">
        <v>0</v>
      </c>
      <c r="BI25" s="48">
        <v>0</v>
      </c>
      <c r="BJ25" s="86"/>
      <c r="BK25" s="48">
        <v>0</v>
      </c>
      <c r="BL25" s="48">
        <v>0</v>
      </c>
      <c r="BM25" s="48">
        <v>0</v>
      </c>
      <c r="BN25" s="86"/>
      <c r="BO25" s="48">
        <v>0</v>
      </c>
      <c r="BP25" s="48">
        <v>0</v>
      </c>
      <c r="BQ25" s="48">
        <v>0</v>
      </c>
      <c r="BR25" s="86"/>
      <c r="BS25" s="48">
        <v>0</v>
      </c>
      <c r="BT25" s="48">
        <v>0</v>
      </c>
      <c r="BU25" s="48">
        <v>0</v>
      </c>
      <c r="BV25" s="86"/>
      <c r="BW25" s="48">
        <v>0</v>
      </c>
      <c r="BX25" s="48">
        <v>0</v>
      </c>
      <c r="BY25" s="48">
        <v>5</v>
      </c>
      <c r="BZ25" s="86"/>
      <c r="CA25" s="48">
        <v>0</v>
      </c>
      <c r="CB25" s="48">
        <v>0</v>
      </c>
      <c r="CC25" s="48">
        <v>0</v>
      </c>
      <c r="CD25" s="86"/>
      <c r="CE25" s="48">
        <v>0</v>
      </c>
      <c r="CF25" s="48">
        <v>0</v>
      </c>
      <c r="CG25" s="48">
        <v>0</v>
      </c>
      <c r="CH25" s="86"/>
      <c r="CI25" s="48">
        <v>0</v>
      </c>
      <c r="CJ25" s="48">
        <v>0</v>
      </c>
      <c r="CK25" s="48">
        <v>0</v>
      </c>
      <c r="CL25" s="86"/>
      <c r="CM25" s="48">
        <v>0</v>
      </c>
      <c r="CN25" s="48">
        <v>0</v>
      </c>
      <c r="CO25" s="48">
        <v>0</v>
      </c>
      <c r="CP25" s="86"/>
      <c r="CQ25" s="48">
        <v>0</v>
      </c>
      <c r="CR25" s="48">
        <v>0</v>
      </c>
      <c r="CS25" s="48">
        <v>0</v>
      </c>
      <c r="CT25" s="86"/>
      <c r="CU25" s="48">
        <v>0</v>
      </c>
      <c r="CV25" s="48">
        <v>0</v>
      </c>
      <c r="CW25" s="48">
        <v>5</v>
      </c>
      <c r="CX25" s="86"/>
      <c r="CY25" s="48">
        <v>0</v>
      </c>
      <c r="CZ25" s="48">
        <v>0</v>
      </c>
      <c r="DA25" s="48">
        <v>0</v>
      </c>
      <c r="DB25" s="86"/>
      <c r="DC25" s="48">
        <v>0</v>
      </c>
      <c r="DD25" s="48">
        <v>0</v>
      </c>
      <c r="DE25" s="48">
        <v>0</v>
      </c>
      <c r="DF25" s="86"/>
      <c r="DG25" s="48">
        <v>0</v>
      </c>
      <c r="DH25" s="48">
        <v>0</v>
      </c>
      <c r="DI25" s="48">
        <v>0</v>
      </c>
      <c r="DJ25" s="86"/>
      <c r="DK25" s="48">
        <v>0</v>
      </c>
      <c r="DL25" s="48">
        <v>0</v>
      </c>
      <c r="DM25" s="48">
        <v>0</v>
      </c>
      <c r="DN25" s="86"/>
      <c r="DO25" s="49">
        <f t="shared" si="61"/>
        <v>0</v>
      </c>
      <c r="DP25" s="49">
        <f t="shared" si="61"/>
        <v>0</v>
      </c>
      <c r="DQ25" s="49">
        <f t="shared" si="61"/>
        <v>5</v>
      </c>
      <c r="DR25" s="46">
        <v>0</v>
      </c>
      <c r="DS25" s="46">
        <v>0</v>
      </c>
      <c r="DT25" s="46">
        <v>9</v>
      </c>
    </row>
    <row r="26" spans="1:124" ht="13.5" customHeight="1" thickBot="1" x14ac:dyDescent="0.3">
      <c r="A26" s="178"/>
      <c r="B26" s="53" t="s">
        <v>304</v>
      </c>
      <c r="C26" s="48">
        <v>0</v>
      </c>
      <c r="D26" s="48">
        <v>0</v>
      </c>
      <c r="E26" s="80">
        <v>0</v>
      </c>
      <c r="F26" s="86"/>
      <c r="G26" s="83">
        <v>0</v>
      </c>
      <c r="H26" s="48">
        <v>0</v>
      </c>
      <c r="I26" s="48">
        <v>0</v>
      </c>
      <c r="J26" s="86"/>
      <c r="K26" s="48">
        <v>0</v>
      </c>
      <c r="L26" s="48">
        <v>0</v>
      </c>
      <c r="M26" s="48">
        <v>0</v>
      </c>
      <c r="N26" s="86"/>
      <c r="O26" s="48">
        <v>0</v>
      </c>
      <c r="P26" s="48">
        <v>0</v>
      </c>
      <c r="Q26" s="48">
        <v>0</v>
      </c>
      <c r="R26" s="86"/>
      <c r="S26" s="48">
        <v>0</v>
      </c>
      <c r="T26" s="48">
        <v>0</v>
      </c>
      <c r="U26" s="48">
        <v>0</v>
      </c>
      <c r="V26" s="86"/>
      <c r="W26" s="48">
        <v>0</v>
      </c>
      <c r="X26" s="48">
        <v>0</v>
      </c>
      <c r="Y26" s="48">
        <v>0</v>
      </c>
      <c r="Z26" s="86"/>
      <c r="AA26" s="48">
        <v>0</v>
      </c>
      <c r="AB26" s="48">
        <v>0</v>
      </c>
      <c r="AC26" s="48">
        <v>0</v>
      </c>
      <c r="AD26" s="86"/>
      <c r="AE26" s="48">
        <v>0</v>
      </c>
      <c r="AF26" s="48">
        <v>0</v>
      </c>
      <c r="AG26" s="48">
        <v>0</v>
      </c>
      <c r="AH26" s="86"/>
      <c r="AI26" s="48">
        <v>0</v>
      </c>
      <c r="AJ26" s="48">
        <v>0</v>
      </c>
      <c r="AK26" s="48">
        <v>0</v>
      </c>
      <c r="AL26" s="86"/>
      <c r="AM26" s="48">
        <v>0</v>
      </c>
      <c r="AN26" s="48">
        <v>0</v>
      </c>
      <c r="AO26" s="48">
        <v>0</v>
      </c>
      <c r="AP26" s="86"/>
      <c r="AQ26" s="48">
        <v>0</v>
      </c>
      <c r="AR26" s="48">
        <v>0</v>
      </c>
      <c r="AS26" s="48">
        <v>0</v>
      </c>
      <c r="AT26" s="86"/>
      <c r="AU26" s="48">
        <v>2</v>
      </c>
      <c r="AV26" s="48">
        <v>0</v>
      </c>
      <c r="AW26" s="48">
        <v>0</v>
      </c>
      <c r="AX26" s="86"/>
      <c r="AY26" s="48">
        <v>0</v>
      </c>
      <c r="AZ26" s="48">
        <v>0</v>
      </c>
      <c r="BA26" s="48">
        <v>0</v>
      </c>
      <c r="BB26" s="86"/>
      <c r="BC26" s="48">
        <v>0</v>
      </c>
      <c r="BD26" s="48">
        <v>0</v>
      </c>
      <c r="BE26" s="48">
        <v>0</v>
      </c>
      <c r="BF26" s="86"/>
      <c r="BG26" s="48">
        <v>0</v>
      </c>
      <c r="BH26" s="48">
        <v>0</v>
      </c>
      <c r="BI26" s="48">
        <v>0</v>
      </c>
      <c r="BJ26" s="86"/>
      <c r="BK26" s="48">
        <v>0</v>
      </c>
      <c r="BL26" s="48">
        <v>0</v>
      </c>
      <c r="BM26" s="48">
        <v>0</v>
      </c>
      <c r="BN26" s="86"/>
      <c r="BO26" s="48">
        <v>0</v>
      </c>
      <c r="BP26" s="48">
        <v>0</v>
      </c>
      <c r="BQ26" s="48">
        <v>0</v>
      </c>
      <c r="BR26" s="86"/>
      <c r="BS26" s="48">
        <v>0</v>
      </c>
      <c r="BT26" s="48">
        <v>0</v>
      </c>
      <c r="BU26" s="48">
        <v>0</v>
      </c>
      <c r="BV26" s="86"/>
      <c r="BW26" s="48">
        <v>2</v>
      </c>
      <c r="BX26" s="48">
        <v>0</v>
      </c>
      <c r="BY26" s="48">
        <v>0</v>
      </c>
      <c r="BZ26" s="86"/>
      <c r="CA26" s="48">
        <v>0</v>
      </c>
      <c r="CB26" s="48">
        <v>0</v>
      </c>
      <c r="CC26" s="48">
        <v>0</v>
      </c>
      <c r="CD26" s="86"/>
      <c r="CE26" s="48">
        <v>0</v>
      </c>
      <c r="CF26" s="48">
        <v>0</v>
      </c>
      <c r="CG26" s="48">
        <v>0</v>
      </c>
      <c r="CH26" s="86"/>
      <c r="CI26" s="48">
        <v>0</v>
      </c>
      <c r="CJ26" s="48">
        <v>0</v>
      </c>
      <c r="CK26" s="48">
        <v>0</v>
      </c>
      <c r="CL26" s="86"/>
      <c r="CM26" s="48">
        <v>0</v>
      </c>
      <c r="CN26" s="48">
        <v>0</v>
      </c>
      <c r="CO26" s="48">
        <v>0</v>
      </c>
      <c r="CP26" s="86"/>
      <c r="CQ26" s="48">
        <v>0</v>
      </c>
      <c r="CR26" s="48">
        <v>0</v>
      </c>
      <c r="CS26" s="48">
        <v>0</v>
      </c>
      <c r="CT26" s="86"/>
      <c r="CU26" s="48">
        <v>2</v>
      </c>
      <c r="CV26" s="48">
        <v>0</v>
      </c>
      <c r="CW26" s="48">
        <v>0</v>
      </c>
      <c r="CX26" s="86"/>
      <c r="CY26" s="48">
        <v>0</v>
      </c>
      <c r="CZ26" s="48">
        <v>0</v>
      </c>
      <c r="DA26" s="48">
        <v>0</v>
      </c>
      <c r="DB26" s="86"/>
      <c r="DC26" s="48">
        <v>0</v>
      </c>
      <c r="DD26" s="48">
        <v>0</v>
      </c>
      <c r="DE26" s="48">
        <v>0</v>
      </c>
      <c r="DF26" s="86"/>
      <c r="DG26" s="48">
        <v>2</v>
      </c>
      <c r="DH26" s="48">
        <v>0</v>
      </c>
      <c r="DI26" s="48">
        <v>0</v>
      </c>
      <c r="DJ26" s="86"/>
      <c r="DK26" s="48">
        <v>0</v>
      </c>
      <c r="DL26" s="48">
        <v>0</v>
      </c>
      <c r="DM26" s="48">
        <v>0</v>
      </c>
      <c r="DN26" s="86"/>
      <c r="DO26" s="49">
        <f t="shared" si="61"/>
        <v>4</v>
      </c>
      <c r="DP26" s="49">
        <f t="shared" si="61"/>
        <v>0</v>
      </c>
      <c r="DQ26" s="49">
        <f t="shared" si="61"/>
        <v>0</v>
      </c>
      <c r="DR26" s="46">
        <v>5</v>
      </c>
      <c r="DS26" s="46">
        <v>0</v>
      </c>
      <c r="DT26" s="46">
        <v>0</v>
      </c>
    </row>
    <row r="27" spans="1:124" ht="13.5" customHeight="1" thickBot="1" x14ac:dyDescent="0.3">
      <c r="A27" s="176">
        <v>9</v>
      </c>
      <c r="B27" s="69" t="s">
        <v>103</v>
      </c>
      <c r="C27" s="44">
        <f t="shared" ref="C27:Q27" si="62">SUM(C28:C29)</f>
        <v>159</v>
      </c>
      <c r="D27" s="44">
        <f t="shared" si="62"/>
        <v>10</v>
      </c>
      <c r="E27" s="81">
        <f t="shared" si="62"/>
        <v>713</v>
      </c>
      <c r="F27" s="86"/>
      <c r="G27" s="45">
        <f t="shared" si="62"/>
        <v>0</v>
      </c>
      <c r="H27" s="44">
        <f t="shared" si="62"/>
        <v>0</v>
      </c>
      <c r="I27" s="44">
        <f t="shared" si="62"/>
        <v>0</v>
      </c>
      <c r="J27" s="86"/>
      <c r="K27" s="44">
        <f t="shared" si="62"/>
        <v>138</v>
      </c>
      <c r="L27" s="44">
        <f t="shared" si="62"/>
        <v>29</v>
      </c>
      <c r="M27" s="44">
        <f t="shared" si="62"/>
        <v>278</v>
      </c>
      <c r="N27" s="86"/>
      <c r="O27" s="44">
        <f t="shared" si="62"/>
        <v>57</v>
      </c>
      <c r="P27" s="44">
        <f t="shared" si="62"/>
        <v>10</v>
      </c>
      <c r="Q27" s="44">
        <f t="shared" si="62"/>
        <v>323</v>
      </c>
      <c r="R27" s="86"/>
      <c r="S27" s="44">
        <f t="shared" ref="S27:Y27" si="63">SUM(S28:S29)</f>
        <v>34</v>
      </c>
      <c r="T27" s="44">
        <f t="shared" si="63"/>
        <v>12</v>
      </c>
      <c r="U27" s="44">
        <f t="shared" si="63"/>
        <v>123</v>
      </c>
      <c r="V27" s="86"/>
      <c r="W27" s="44">
        <f t="shared" si="63"/>
        <v>0</v>
      </c>
      <c r="X27" s="44">
        <f t="shared" si="63"/>
        <v>0</v>
      </c>
      <c r="Y27" s="44">
        <f t="shared" si="63"/>
        <v>0</v>
      </c>
      <c r="Z27" s="86"/>
      <c r="AA27" s="44">
        <f t="shared" ref="AA27:AG27" si="64">SUM(AA28:AA29)</f>
        <v>0</v>
      </c>
      <c r="AB27" s="44">
        <f t="shared" si="64"/>
        <v>0</v>
      </c>
      <c r="AC27" s="44">
        <f t="shared" si="64"/>
        <v>0</v>
      </c>
      <c r="AD27" s="86"/>
      <c r="AE27" s="44">
        <f t="shared" si="64"/>
        <v>0</v>
      </c>
      <c r="AF27" s="44">
        <f t="shared" si="64"/>
        <v>0</v>
      </c>
      <c r="AG27" s="44">
        <f t="shared" si="64"/>
        <v>0</v>
      </c>
      <c r="AH27" s="86"/>
      <c r="AI27" s="44">
        <f t="shared" ref="AI27:AO27" si="65">SUM(AI28:AI29)</f>
        <v>0</v>
      </c>
      <c r="AJ27" s="44">
        <f t="shared" si="65"/>
        <v>0</v>
      </c>
      <c r="AK27" s="44">
        <f t="shared" si="65"/>
        <v>0</v>
      </c>
      <c r="AL27" s="86"/>
      <c r="AM27" s="44">
        <f t="shared" si="65"/>
        <v>3</v>
      </c>
      <c r="AN27" s="44">
        <f t="shared" si="65"/>
        <v>1</v>
      </c>
      <c r="AO27" s="44">
        <f t="shared" si="65"/>
        <v>34</v>
      </c>
      <c r="AP27" s="86"/>
      <c r="AQ27" s="44">
        <f t="shared" ref="AQ27:BA27" si="66">SUM(AQ28:AQ29)</f>
        <v>0</v>
      </c>
      <c r="AR27" s="44">
        <f t="shared" si="66"/>
        <v>0</v>
      </c>
      <c r="AS27" s="44">
        <f t="shared" si="66"/>
        <v>0</v>
      </c>
      <c r="AT27" s="86"/>
      <c r="AU27" s="44">
        <f t="shared" si="66"/>
        <v>0</v>
      </c>
      <c r="AV27" s="44">
        <f t="shared" si="66"/>
        <v>0</v>
      </c>
      <c r="AW27" s="44">
        <f t="shared" si="66"/>
        <v>0</v>
      </c>
      <c r="AX27" s="86"/>
      <c r="AY27" s="44">
        <f t="shared" si="66"/>
        <v>10</v>
      </c>
      <c r="AZ27" s="44">
        <f t="shared" si="66"/>
        <v>0</v>
      </c>
      <c r="BA27" s="44">
        <f t="shared" si="66"/>
        <v>37</v>
      </c>
      <c r="BB27" s="86"/>
      <c r="BC27" s="44">
        <f t="shared" ref="BC27:BI27" si="67">SUM(BC28:BC29)</f>
        <v>0</v>
      </c>
      <c r="BD27" s="44">
        <f t="shared" si="67"/>
        <v>0</v>
      </c>
      <c r="BE27" s="44">
        <f t="shared" si="67"/>
        <v>0</v>
      </c>
      <c r="BF27" s="86"/>
      <c r="BG27" s="44">
        <f t="shared" si="67"/>
        <v>0</v>
      </c>
      <c r="BH27" s="44">
        <f t="shared" si="67"/>
        <v>0</v>
      </c>
      <c r="BI27" s="44">
        <f t="shared" si="67"/>
        <v>0</v>
      </c>
      <c r="BJ27" s="86"/>
      <c r="BK27" s="44">
        <f t="shared" ref="BK27:BU27" si="68">SUM(BK28:BK29)</f>
        <v>0</v>
      </c>
      <c r="BL27" s="44">
        <f t="shared" si="68"/>
        <v>0</v>
      </c>
      <c r="BM27" s="44">
        <f t="shared" si="68"/>
        <v>0</v>
      </c>
      <c r="BN27" s="86"/>
      <c r="BO27" s="44">
        <f t="shared" si="68"/>
        <v>115</v>
      </c>
      <c r="BP27" s="44">
        <f t="shared" si="68"/>
        <v>23</v>
      </c>
      <c r="BQ27" s="44">
        <f t="shared" si="68"/>
        <v>359</v>
      </c>
      <c r="BR27" s="86"/>
      <c r="BS27" s="44">
        <f t="shared" si="68"/>
        <v>115</v>
      </c>
      <c r="BT27" s="44">
        <f t="shared" si="68"/>
        <v>21</v>
      </c>
      <c r="BU27" s="44">
        <f t="shared" si="68"/>
        <v>360</v>
      </c>
      <c r="BV27" s="86"/>
      <c r="BW27" s="44">
        <f t="shared" ref="BW27:CC27" si="69">SUM(BW28:BW29)</f>
        <v>4</v>
      </c>
      <c r="BX27" s="44">
        <f t="shared" si="69"/>
        <v>0</v>
      </c>
      <c r="BY27" s="44">
        <f>SUM(BY28:BY29)</f>
        <v>10</v>
      </c>
      <c r="BZ27" s="86"/>
      <c r="CA27" s="44">
        <f t="shared" si="69"/>
        <v>115</v>
      </c>
      <c r="CB27" s="44">
        <f t="shared" si="69"/>
        <v>21</v>
      </c>
      <c r="CC27" s="44">
        <f t="shared" si="69"/>
        <v>360</v>
      </c>
      <c r="CD27" s="86"/>
      <c r="CE27" s="44">
        <f t="shared" ref="CE27:CK27" si="70">SUM(CE28:CE29)</f>
        <v>115</v>
      </c>
      <c r="CF27" s="44">
        <f t="shared" si="70"/>
        <v>21</v>
      </c>
      <c r="CG27" s="44">
        <f t="shared" si="70"/>
        <v>360</v>
      </c>
      <c r="CH27" s="86"/>
      <c r="CI27" s="44">
        <f t="shared" si="70"/>
        <v>10</v>
      </c>
      <c r="CJ27" s="44">
        <f t="shared" si="70"/>
        <v>0</v>
      </c>
      <c r="CK27" s="44">
        <f t="shared" si="70"/>
        <v>37</v>
      </c>
      <c r="CL27" s="86"/>
      <c r="CM27" s="44">
        <f>SUM(CM28:CM29)</f>
        <v>0</v>
      </c>
      <c r="CN27" s="44">
        <f>SUM(CN28:CN29)</f>
        <v>0</v>
      </c>
      <c r="CO27" s="44">
        <f>SUM(CO28:CO29)</f>
        <v>0</v>
      </c>
      <c r="CP27" s="86"/>
      <c r="CQ27" s="44">
        <f t="shared" ref="CQ27:CS27" si="71">SUM(CQ28:CQ29)</f>
        <v>10</v>
      </c>
      <c r="CR27" s="44">
        <f t="shared" si="71"/>
        <v>0</v>
      </c>
      <c r="CS27" s="44">
        <f t="shared" si="71"/>
        <v>37</v>
      </c>
      <c r="CT27" s="86"/>
      <c r="CU27" s="44">
        <f t="shared" ref="CU27:CW27" si="72">SUM(CU28:CU29)</f>
        <v>0</v>
      </c>
      <c r="CV27" s="44">
        <f t="shared" si="72"/>
        <v>0</v>
      </c>
      <c r="CW27" s="44">
        <f t="shared" si="72"/>
        <v>0</v>
      </c>
      <c r="CX27" s="86"/>
      <c r="CY27" s="44">
        <f t="shared" ref="CY27:DA27" si="73">SUM(CY28:CY29)</f>
        <v>0</v>
      </c>
      <c r="CZ27" s="44">
        <f t="shared" si="73"/>
        <v>0</v>
      </c>
      <c r="DA27" s="44">
        <f t="shared" si="73"/>
        <v>0</v>
      </c>
      <c r="DB27" s="86"/>
      <c r="DC27" s="44">
        <f t="shared" ref="DC27:DE27" si="74">SUM(DC28:DC29)</f>
        <v>0</v>
      </c>
      <c r="DD27" s="44">
        <f t="shared" si="74"/>
        <v>0</v>
      </c>
      <c r="DE27" s="44">
        <f t="shared" si="74"/>
        <v>0</v>
      </c>
      <c r="DF27" s="86"/>
      <c r="DG27" s="44">
        <f t="shared" ref="DG27:DI27" si="75">SUM(DG28:DG29)</f>
        <v>0</v>
      </c>
      <c r="DH27" s="44">
        <f t="shared" si="75"/>
        <v>0</v>
      </c>
      <c r="DI27" s="44">
        <f t="shared" si="75"/>
        <v>0</v>
      </c>
      <c r="DJ27" s="86"/>
      <c r="DK27" s="44">
        <f t="shared" ref="DK27:DM27" si="76">SUM(DK28:DK29)</f>
        <v>0</v>
      </c>
      <c r="DL27" s="44">
        <f t="shared" si="76"/>
        <v>0</v>
      </c>
      <c r="DM27" s="44">
        <f t="shared" si="76"/>
        <v>0</v>
      </c>
      <c r="DN27" s="86"/>
      <c r="DO27" s="49">
        <f t="shared" si="61"/>
        <v>0</v>
      </c>
      <c r="DP27" s="49">
        <f t="shared" si="61"/>
        <v>0</v>
      </c>
      <c r="DQ27" s="49">
        <f t="shared" si="61"/>
        <v>0</v>
      </c>
      <c r="DR27" s="46">
        <v>5</v>
      </c>
      <c r="DS27" s="46">
        <v>1</v>
      </c>
      <c r="DT27" s="46">
        <v>61</v>
      </c>
    </row>
    <row r="28" spans="1:124" ht="13.5" customHeight="1" thickBot="1" x14ac:dyDescent="0.3">
      <c r="A28" s="177"/>
      <c r="B28" s="70" t="s">
        <v>104</v>
      </c>
      <c r="C28" s="48">
        <v>34</v>
      </c>
      <c r="D28" s="48">
        <v>0</v>
      </c>
      <c r="E28" s="80">
        <v>34</v>
      </c>
      <c r="F28" s="86"/>
      <c r="G28" s="83">
        <v>0</v>
      </c>
      <c r="H28" s="48">
        <v>0</v>
      </c>
      <c r="I28" s="48">
        <v>0</v>
      </c>
      <c r="J28" s="86"/>
      <c r="K28" s="48">
        <v>95</v>
      </c>
      <c r="L28" s="48">
        <v>0</v>
      </c>
      <c r="M28" s="48">
        <v>6</v>
      </c>
      <c r="N28" s="86"/>
      <c r="O28" s="48">
        <v>26</v>
      </c>
      <c r="P28" s="48">
        <v>0</v>
      </c>
      <c r="Q28" s="48">
        <v>12</v>
      </c>
      <c r="R28" s="86"/>
      <c r="S28" s="48">
        <v>0</v>
      </c>
      <c r="T28" s="48">
        <v>0</v>
      </c>
      <c r="U28" s="48">
        <v>1</v>
      </c>
      <c r="V28" s="86"/>
      <c r="W28" s="48">
        <v>0</v>
      </c>
      <c r="X28" s="48">
        <v>0</v>
      </c>
      <c r="Y28" s="48">
        <v>0</v>
      </c>
      <c r="Z28" s="86"/>
      <c r="AA28" s="48">
        <v>0</v>
      </c>
      <c r="AB28" s="48">
        <v>0</v>
      </c>
      <c r="AC28" s="48">
        <v>0</v>
      </c>
      <c r="AD28" s="86"/>
      <c r="AE28" s="48">
        <v>0</v>
      </c>
      <c r="AF28" s="48">
        <v>0</v>
      </c>
      <c r="AG28" s="48">
        <v>0</v>
      </c>
      <c r="AH28" s="86"/>
      <c r="AI28" s="48">
        <v>0</v>
      </c>
      <c r="AJ28" s="48">
        <v>0</v>
      </c>
      <c r="AK28" s="48">
        <v>0</v>
      </c>
      <c r="AL28" s="86"/>
      <c r="AM28" s="48">
        <v>0</v>
      </c>
      <c r="AN28" s="48">
        <v>0</v>
      </c>
      <c r="AO28" s="48">
        <v>2</v>
      </c>
      <c r="AP28" s="86"/>
      <c r="AQ28" s="48">
        <v>0</v>
      </c>
      <c r="AR28" s="48">
        <v>0</v>
      </c>
      <c r="AS28" s="48">
        <v>0</v>
      </c>
      <c r="AT28" s="86"/>
      <c r="AU28" s="48">
        <v>0</v>
      </c>
      <c r="AV28" s="48">
        <v>0</v>
      </c>
      <c r="AW28" s="48">
        <v>0</v>
      </c>
      <c r="AX28" s="86"/>
      <c r="AY28" s="48">
        <v>0</v>
      </c>
      <c r="AZ28" s="48">
        <v>0</v>
      </c>
      <c r="BA28" s="48">
        <v>8</v>
      </c>
      <c r="BB28" s="86"/>
      <c r="BC28" s="48">
        <v>0</v>
      </c>
      <c r="BD28" s="48">
        <v>0</v>
      </c>
      <c r="BE28" s="48">
        <v>0</v>
      </c>
      <c r="BF28" s="86"/>
      <c r="BG28" s="48">
        <v>0</v>
      </c>
      <c r="BH28" s="48">
        <v>0</v>
      </c>
      <c r="BI28" s="48">
        <v>0</v>
      </c>
      <c r="BJ28" s="86"/>
      <c r="BK28" s="48">
        <v>0</v>
      </c>
      <c r="BL28" s="48">
        <v>0</v>
      </c>
      <c r="BM28" s="48">
        <v>0</v>
      </c>
      <c r="BN28" s="86"/>
      <c r="BO28" s="48">
        <v>64</v>
      </c>
      <c r="BP28" s="48">
        <v>0</v>
      </c>
      <c r="BQ28" s="48">
        <v>6</v>
      </c>
      <c r="BR28" s="86"/>
      <c r="BS28" s="48">
        <v>64</v>
      </c>
      <c r="BT28" s="48">
        <v>0</v>
      </c>
      <c r="BU28" s="48">
        <v>6</v>
      </c>
      <c r="BV28" s="86"/>
      <c r="BW28" s="48">
        <v>0</v>
      </c>
      <c r="BX28" s="48">
        <v>0</v>
      </c>
      <c r="BY28" s="48">
        <v>5</v>
      </c>
      <c r="BZ28" s="86"/>
      <c r="CA28" s="48">
        <v>64</v>
      </c>
      <c r="CB28" s="48">
        <v>0</v>
      </c>
      <c r="CC28" s="48">
        <v>6</v>
      </c>
      <c r="CD28" s="86"/>
      <c r="CE28" s="48">
        <v>64</v>
      </c>
      <c r="CF28" s="48">
        <v>0</v>
      </c>
      <c r="CG28" s="48">
        <v>6</v>
      </c>
      <c r="CH28" s="86"/>
      <c r="CI28" s="48">
        <v>0</v>
      </c>
      <c r="CJ28" s="48">
        <v>0</v>
      </c>
      <c r="CK28" s="48">
        <v>10</v>
      </c>
      <c r="CL28" s="86"/>
      <c r="CM28" s="48">
        <v>0</v>
      </c>
      <c r="CN28" s="48">
        <v>0</v>
      </c>
      <c r="CO28" s="48">
        <v>0</v>
      </c>
      <c r="CP28" s="86"/>
      <c r="CQ28" s="48">
        <v>0</v>
      </c>
      <c r="CR28" s="48">
        <v>0</v>
      </c>
      <c r="CS28" s="48">
        <v>10</v>
      </c>
      <c r="CT28" s="86"/>
      <c r="CU28" s="48">
        <v>0</v>
      </c>
      <c r="CV28" s="48">
        <v>0</v>
      </c>
      <c r="CW28" s="48">
        <v>0</v>
      </c>
      <c r="CX28" s="86"/>
      <c r="CY28" s="48">
        <v>0</v>
      </c>
      <c r="CZ28" s="48">
        <v>0</v>
      </c>
      <c r="DA28" s="48">
        <v>0</v>
      </c>
      <c r="DB28" s="86"/>
      <c r="DC28" s="48">
        <v>0</v>
      </c>
      <c r="DD28" s="48">
        <v>0</v>
      </c>
      <c r="DE28" s="48">
        <v>0</v>
      </c>
      <c r="DF28" s="86"/>
      <c r="DG28" s="48">
        <v>0</v>
      </c>
      <c r="DH28" s="48">
        <v>0</v>
      </c>
      <c r="DI28" s="48">
        <v>0</v>
      </c>
      <c r="DJ28" s="86"/>
      <c r="DK28" s="48">
        <v>0</v>
      </c>
      <c r="DL28" s="48">
        <v>0</v>
      </c>
      <c r="DM28" s="48">
        <v>0</v>
      </c>
      <c r="DN28" s="86"/>
      <c r="DO28" s="49">
        <f t="shared" si="61"/>
        <v>0</v>
      </c>
      <c r="DP28" s="49">
        <f t="shared" si="61"/>
        <v>0</v>
      </c>
      <c r="DQ28" s="49">
        <f t="shared" si="61"/>
        <v>0</v>
      </c>
      <c r="DR28" s="46">
        <v>0</v>
      </c>
      <c r="DS28" s="46">
        <v>0</v>
      </c>
      <c r="DT28" s="46">
        <v>29</v>
      </c>
    </row>
    <row r="29" spans="1:124" ht="13.5" customHeight="1" thickBot="1" x14ac:dyDescent="0.3">
      <c r="A29" s="178"/>
      <c r="B29" s="70" t="s">
        <v>105</v>
      </c>
      <c r="C29" s="48">
        <v>125</v>
      </c>
      <c r="D29" s="48">
        <v>10</v>
      </c>
      <c r="E29" s="80">
        <v>679</v>
      </c>
      <c r="F29" s="86"/>
      <c r="G29" s="83">
        <v>0</v>
      </c>
      <c r="H29" s="48">
        <v>0</v>
      </c>
      <c r="I29" s="48">
        <v>0</v>
      </c>
      <c r="J29" s="86"/>
      <c r="K29" s="48">
        <v>43</v>
      </c>
      <c r="L29" s="48">
        <v>29</v>
      </c>
      <c r="M29" s="48">
        <v>272</v>
      </c>
      <c r="N29" s="86"/>
      <c r="O29" s="48">
        <v>31</v>
      </c>
      <c r="P29" s="48">
        <v>10</v>
      </c>
      <c r="Q29" s="48">
        <v>311</v>
      </c>
      <c r="R29" s="86"/>
      <c r="S29" s="48">
        <v>34</v>
      </c>
      <c r="T29" s="48">
        <v>12</v>
      </c>
      <c r="U29" s="48">
        <v>122</v>
      </c>
      <c r="V29" s="86"/>
      <c r="W29" s="48">
        <v>0</v>
      </c>
      <c r="X29" s="48">
        <v>0</v>
      </c>
      <c r="Y29" s="48">
        <v>0</v>
      </c>
      <c r="Z29" s="86"/>
      <c r="AA29" s="48">
        <v>0</v>
      </c>
      <c r="AB29" s="48">
        <v>0</v>
      </c>
      <c r="AC29" s="48">
        <v>0</v>
      </c>
      <c r="AD29" s="86"/>
      <c r="AE29" s="48">
        <v>0</v>
      </c>
      <c r="AF29" s="48">
        <v>0</v>
      </c>
      <c r="AG29" s="48">
        <v>0</v>
      </c>
      <c r="AH29" s="86"/>
      <c r="AI29" s="48">
        <v>0</v>
      </c>
      <c r="AJ29" s="48">
        <v>0</v>
      </c>
      <c r="AK29" s="48">
        <v>0</v>
      </c>
      <c r="AL29" s="86"/>
      <c r="AM29" s="48">
        <v>3</v>
      </c>
      <c r="AN29" s="48">
        <v>1</v>
      </c>
      <c r="AO29" s="48">
        <v>32</v>
      </c>
      <c r="AP29" s="86"/>
      <c r="AQ29" s="48">
        <v>0</v>
      </c>
      <c r="AR29" s="48">
        <v>0</v>
      </c>
      <c r="AS29" s="48">
        <v>0</v>
      </c>
      <c r="AT29" s="86"/>
      <c r="AU29" s="48">
        <v>0</v>
      </c>
      <c r="AV29" s="48">
        <v>0</v>
      </c>
      <c r="AW29" s="48">
        <v>0</v>
      </c>
      <c r="AX29" s="86"/>
      <c r="AY29" s="48">
        <v>10</v>
      </c>
      <c r="AZ29" s="48">
        <v>0</v>
      </c>
      <c r="BA29" s="48">
        <v>29</v>
      </c>
      <c r="BB29" s="86"/>
      <c r="BC29" s="48">
        <v>0</v>
      </c>
      <c r="BD29" s="48">
        <v>0</v>
      </c>
      <c r="BE29" s="48">
        <v>0</v>
      </c>
      <c r="BF29" s="86"/>
      <c r="BG29" s="48">
        <v>0</v>
      </c>
      <c r="BH29" s="48">
        <v>0</v>
      </c>
      <c r="BI29" s="48">
        <v>0</v>
      </c>
      <c r="BJ29" s="86"/>
      <c r="BK29" s="48">
        <v>0</v>
      </c>
      <c r="BL29" s="48">
        <v>0</v>
      </c>
      <c r="BM29" s="48">
        <v>0</v>
      </c>
      <c r="BN29" s="86"/>
      <c r="BO29" s="48">
        <v>51</v>
      </c>
      <c r="BP29" s="48">
        <v>23</v>
      </c>
      <c r="BQ29" s="48">
        <v>353</v>
      </c>
      <c r="BR29" s="86"/>
      <c r="BS29" s="48">
        <v>51</v>
      </c>
      <c r="BT29" s="48">
        <v>21</v>
      </c>
      <c r="BU29" s="48">
        <v>354</v>
      </c>
      <c r="BV29" s="86"/>
      <c r="BW29" s="48">
        <v>4</v>
      </c>
      <c r="BX29" s="48">
        <v>0</v>
      </c>
      <c r="BY29" s="48">
        <v>5</v>
      </c>
      <c r="BZ29" s="86"/>
      <c r="CA29" s="48">
        <v>51</v>
      </c>
      <c r="CB29" s="48">
        <v>21</v>
      </c>
      <c r="CC29" s="48">
        <v>354</v>
      </c>
      <c r="CD29" s="86"/>
      <c r="CE29" s="48">
        <v>51</v>
      </c>
      <c r="CF29" s="48">
        <v>21</v>
      </c>
      <c r="CG29" s="48">
        <v>354</v>
      </c>
      <c r="CH29" s="86"/>
      <c r="CI29" s="48">
        <v>10</v>
      </c>
      <c r="CJ29" s="48">
        <v>0</v>
      </c>
      <c r="CK29" s="48">
        <v>27</v>
      </c>
      <c r="CL29" s="86"/>
      <c r="CM29" s="48">
        <v>0</v>
      </c>
      <c r="CN29" s="48">
        <v>0</v>
      </c>
      <c r="CO29" s="48">
        <v>0</v>
      </c>
      <c r="CP29" s="86"/>
      <c r="CQ29" s="48">
        <v>10</v>
      </c>
      <c r="CR29" s="48">
        <v>0</v>
      </c>
      <c r="CS29" s="48">
        <v>27</v>
      </c>
      <c r="CT29" s="86"/>
      <c r="CU29" s="48">
        <v>0</v>
      </c>
      <c r="CV29" s="48">
        <v>0</v>
      </c>
      <c r="CW29" s="48">
        <v>0</v>
      </c>
      <c r="CX29" s="86"/>
      <c r="CY29" s="48">
        <v>0</v>
      </c>
      <c r="CZ29" s="48">
        <v>0</v>
      </c>
      <c r="DA29" s="48">
        <v>0</v>
      </c>
      <c r="DB29" s="86"/>
      <c r="DC29" s="48">
        <v>0</v>
      </c>
      <c r="DD29" s="48">
        <v>0</v>
      </c>
      <c r="DE29" s="48">
        <v>0</v>
      </c>
      <c r="DF29" s="86"/>
      <c r="DG29" s="48">
        <v>0</v>
      </c>
      <c r="DH29" s="48">
        <v>0</v>
      </c>
      <c r="DI29" s="48">
        <v>0</v>
      </c>
      <c r="DJ29" s="86"/>
      <c r="DK29" s="48">
        <v>0</v>
      </c>
      <c r="DL29" s="48">
        <v>0</v>
      </c>
      <c r="DM29" s="48">
        <v>0</v>
      </c>
      <c r="DN29" s="86"/>
      <c r="DO29" s="49">
        <f>CU29+CY29+DG29+DG29+DK29</f>
        <v>0</v>
      </c>
      <c r="DP29" s="49">
        <f>CV29+CZ29+DD29+DH29+DL29</f>
        <v>0</v>
      </c>
      <c r="DQ29" s="49">
        <f>CW29+DA29+DE29+DI29+DM29</f>
        <v>0</v>
      </c>
      <c r="DR29" s="46">
        <v>5</v>
      </c>
      <c r="DS29" s="46">
        <v>1</v>
      </c>
      <c r="DT29" s="46">
        <v>32</v>
      </c>
    </row>
    <row r="30" spans="1:124" ht="13.5" customHeight="1" thickBot="1" x14ac:dyDescent="0.3">
      <c r="A30" s="179">
        <v>10</v>
      </c>
      <c r="B30" s="71" t="s">
        <v>106</v>
      </c>
      <c r="C30" s="44">
        <v>34</v>
      </c>
      <c r="D30" s="44">
        <v>0</v>
      </c>
      <c r="E30" s="81">
        <v>34</v>
      </c>
      <c r="F30" s="86"/>
      <c r="G30" s="45">
        <v>0</v>
      </c>
      <c r="H30" s="44">
        <v>0</v>
      </c>
      <c r="I30" s="44">
        <v>0</v>
      </c>
      <c r="J30" s="86"/>
      <c r="K30" s="44">
        <v>95</v>
      </c>
      <c r="L30" s="44">
        <v>0</v>
      </c>
      <c r="M30" s="44">
        <v>6</v>
      </c>
      <c r="N30" s="86"/>
      <c r="O30" s="48">
        <v>26</v>
      </c>
      <c r="P30" s="48">
        <v>0</v>
      </c>
      <c r="Q30" s="44">
        <v>12</v>
      </c>
      <c r="R30" s="86"/>
      <c r="S30" s="48">
        <v>0</v>
      </c>
      <c r="T30" s="48">
        <v>0</v>
      </c>
      <c r="U30" s="44">
        <v>1</v>
      </c>
      <c r="V30" s="86"/>
      <c r="W30" s="48">
        <v>0</v>
      </c>
      <c r="X30" s="48">
        <v>0</v>
      </c>
      <c r="Y30" s="44">
        <v>0</v>
      </c>
      <c r="Z30" s="86"/>
      <c r="AA30" s="48">
        <v>0</v>
      </c>
      <c r="AB30" s="48">
        <v>0</v>
      </c>
      <c r="AC30" s="44">
        <v>0</v>
      </c>
      <c r="AD30" s="86"/>
      <c r="AE30" s="48">
        <v>0</v>
      </c>
      <c r="AF30" s="48">
        <v>0</v>
      </c>
      <c r="AG30" s="44">
        <v>0</v>
      </c>
      <c r="AH30" s="86"/>
      <c r="AI30" s="48">
        <v>0</v>
      </c>
      <c r="AJ30" s="48">
        <v>0</v>
      </c>
      <c r="AK30" s="44">
        <v>0</v>
      </c>
      <c r="AL30" s="86"/>
      <c r="AM30" s="48">
        <v>0</v>
      </c>
      <c r="AN30" s="48">
        <v>0</v>
      </c>
      <c r="AO30" s="44">
        <v>7</v>
      </c>
      <c r="AP30" s="86"/>
      <c r="AQ30" s="48">
        <v>0</v>
      </c>
      <c r="AR30" s="48">
        <v>0</v>
      </c>
      <c r="AS30" s="44">
        <v>0</v>
      </c>
      <c r="AT30" s="86"/>
      <c r="AU30" s="48">
        <v>0</v>
      </c>
      <c r="AV30" s="48">
        <v>0</v>
      </c>
      <c r="AW30" s="44">
        <v>0</v>
      </c>
      <c r="AX30" s="86"/>
      <c r="AY30" s="48">
        <v>0</v>
      </c>
      <c r="AZ30" s="48">
        <v>0</v>
      </c>
      <c r="BA30" s="44">
        <v>19</v>
      </c>
      <c r="BB30" s="86"/>
      <c r="BC30" s="48">
        <v>0</v>
      </c>
      <c r="BD30" s="48">
        <v>0</v>
      </c>
      <c r="BE30" s="44">
        <v>0</v>
      </c>
      <c r="BF30" s="86"/>
      <c r="BG30" s="48">
        <v>0</v>
      </c>
      <c r="BH30" s="48">
        <v>0</v>
      </c>
      <c r="BI30" s="44">
        <v>0</v>
      </c>
      <c r="BJ30" s="86"/>
      <c r="BK30" s="48">
        <v>0</v>
      </c>
      <c r="BL30" s="48">
        <v>0</v>
      </c>
      <c r="BM30" s="44">
        <v>0</v>
      </c>
      <c r="BN30" s="86"/>
      <c r="BO30" s="48">
        <v>64</v>
      </c>
      <c r="BP30" s="48">
        <v>0</v>
      </c>
      <c r="BQ30" s="44">
        <v>6</v>
      </c>
      <c r="BR30" s="86"/>
      <c r="BS30" s="48">
        <v>64</v>
      </c>
      <c r="BT30" s="48">
        <v>0</v>
      </c>
      <c r="BU30" s="44">
        <v>6</v>
      </c>
      <c r="BV30" s="86"/>
      <c r="BW30" s="48">
        <v>1</v>
      </c>
      <c r="BX30" s="48">
        <v>0</v>
      </c>
      <c r="BY30" s="44">
        <v>7</v>
      </c>
      <c r="BZ30" s="86"/>
      <c r="CA30" s="48">
        <v>64</v>
      </c>
      <c r="CB30" s="48">
        <v>0</v>
      </c>
      <c r="CC30" s="44">
        <v>6</v>
      </c>
      <c r="CD30" s="86"/>
      <c r="CE30" s="48">
        <v>64</v>
      </c>
      <c r="CF30" s="48">
        <v>0</v>
      </c>
      <c r="CG30" s="44">
        <v>6</v>
      </c>
      <c r="CH30" s="86"/>
      <c r="CI30" s="48">
        <v>0</v>
      </c>
      <c r="CJ30" s="48">
        <v>0</v>
      </c>
      <c r="CK30" s="44">
        <v>26</v>
      </c>
      <c r="CL30" s="86"/>
      <c r="CM30" s="48">
        <v>0</v>
      </c>
      <c r="CN30" s="48">
        <v>0</v>
      </c>
      <c r="CO30" s="44">
        <v>0</v>
      </c>
      <c r="CP30" s="86"/>
      <c r="CQ30" s="48">
        <v>0</v>
      </c>
      <c r="CR30" s="48">
        <v>0</v>
      </c>
      <c r="CS30" s="44">
        <v>26</v>
      </c>
      <c r="CT30" s="86"/>
      <c r="CU30" s="48">
        <v>0</v>
      </c>
      <c r="CV30" s="48">
        <v>0</v>
      </c>
      <c r="CW30" s="44">
        <v>0</v>
      </c>
      <c r="CX30" s="86"/>
      <c r="CY30" s="48">
        <v>0</v>
      </c>
      <c r="CZ30" s="48">
        <v>0</v>
      </c>
      <c r="DA30" s="44">
        <v>0</v>
      </c>
      <c r="DB30" s="86"/>
      <c r="DC30" s="48">
        <v>0</v>
      </c>
      <c r="DD30" s="48">
        <v>0</v>
      </c>
      <c r="DE30" s="44">
        <v>0</v>
      </c>
      <c r="DF30" s="86"/>
      <c r="DG30" s="48">
        <v>0</v>
      </c>
      <c r="DH30" s="48">
        <v>0</v>
      </c>
      <c r="DI30" s="44">
        <v>0</v>
      </c>
      <c r="DJ30" s="86"/>
      <c r="DK30" s="48">
        <v>0</v>
      </c>
      <c r="DL30" s="48">
        <v>0</v>
      </c>
      <c r="DM30" s="44">
        <v>0</v>
      </c>
      <c r="DN30" s="86"/>
      <c r="DO30" s="49">
        <f>CU30+CY30+DC30+DG30+DK30</f>
        <v>0</v>
      </c>
      <c r="DP30" s="49">
        <f>CV30+CZ30+DD30+DH30+DL30</f>
        <v>0</v>
      </c>
      <c r="DQ30" s="49">
        <f>CW30+DA30+DE30+DI30+DM30</f>
        <v>0</v>
      </c>
      <c r="DR30" s="46">
        <v>41</v>
      </c>
      <c r="DS30" s="46">
        <v>42</v>
      </c>
      <c r="DT30" s="46">
        <v>177</v>
      </c>
    </row>
    <row r="31" spans="1:124" ht="13.5" customHeight="1" thickBot="1" x14ac:dyDescent="0.3">
      <c r="A31" s="180"/>
      <c r="B31" s="54" t="s">
        <v>107</v>
      </c>
      <c r="C31" s="55">
        <f t="shared" ref="C31:I31" si="77">(C30-C28)/C30</f>
        <v>0</v>
      </c>
      <c r="D31" s="55" t="e">
        <f t="shared" si="77"/>
        <v>#DIV/0!</v>
      </c>
      <c r="E31" s="82">
        <f t="shared" si="77"/>
        <v>0</v>
      </c>
      <c r="F31" s="86"/>
      <c r="G31" s="84" t="e">
        <f t="shared" si="77"/>
        <v>#DIV/0!</v>
      </c>
      <c r="H31" s="55" t="e">
        <f t="shared" si="77"/>
        <v>#DIV/0!</v>
      </c>
      <c r="I31" s="55" t="e">
        <f t="shared" si="77"/>
        <v>#DIV/0!</v>
      </c>
      <c r="J31" s="86"/>
      <c r="K31" s="55" t="s">
        <v>108</v>
      </c>
      <c r="L31" s="55" t="s">
        <v>108</v>
      </c>
      <c r="M31" s="55">
        <f>(M30-M28)/M30</f>
        <v>0</v>
      </c>
      <c r="N31" s="86"/>
      <c r="O31" s="55">
        <f>(O30-O28)/O30</f>
        <v>0</v>
      </c>
      <c r="P31" s="55" t="e">
        <f>(P30-P28)/P30</f>
        <v>#DIV/0!</v>
      </c>
      <c r="Q31" s="55">
        <f>(Q30-Q28)/Q30</f>
        <v>0</v>
      </c>
      <c r="R31" s="86"/>
      <c r="S31" s="55" t="e">
        <f t="shared" ref="S31:Y31" si="78">(S30-S28)/S30</f>
        <v>#DIV/0!</v>
      </c>
      <c r="T31" s="55" t="e">
        <f t="shared" si="78"/>
        <v>#DIV/0!</v>
      </c>
      <c r="U31" s="55">
        <f t="shared" si="78"/>
        <v>0</v>
      </c>
      <c r="V31" s="86"/>
      <c r="W31" s="55" t="e">
        <f t="shared" si="78"/>
        <v>#DIV/0!</v>
      </c>
      <c r="X31" s="55" t="e">
        <f t="shared" si="78"/>
        <v>#DIV/0!</v>
      </c>
      <c r="Y31" s="55" t="e">
        <f t="shared" si="78"/>
        <v>#DIV/0!</v>
      </c>
      <c r="Z31" s="86"/>
      <c r="AA31" s="55" t="e">
        <f t="shared" ref="AA31:AG31" si="79">(AA30-AA28)/AA30</f>
        <v>#DIV/0!</v>
      </c>
      <c r="AB31" s="55" t="e">
        <f t="shared" si="79"/>
        <v>#DIV/0!</v>
      </c>
      <c r="AC31" s="55" t="e">
        <f t="shared" si="79"/>
        <v>#DIV/0!</v>
      </c>
      <c r="AD31" s="86"/>
      <c r="AE31" s="55" t="e">
        <f t="shared" si="79"/>
        <v>#DIV/0!</v>
      </c>
      <c r="AF31" s="55" t="e">
        <f t="shared" si="79"/>
        <v>#DIV/0!</v>
      </c>
      <c r="AG31" s="55" t="e">
        <f t="shared" si="79"/>
        <v>#DIV/0!</v>
      </c>
      <c r="AH31" s="86"/>
      <c r="AI31" s="55" t="e">
        <f t="shared" ref="AI31:AO31" si="80">(AI30-AI28)/AI30</f>
        <v>#DIV/0!</v>
      </c>
      <c r="AJ31" s="55" t="e">
        <f t="shared" si="80"/>
        <v>#DIV/0!</v>
      </c>
      <c r="AK31" s="55" t="e">
        <f t="shared" si="80"/>
        <v>#DIV/0!</v>
      </c>
      <c r="AL31" s="86"/>
      <c r="AM31" s="55" t="e">
        <f t="shared" si="80"/>
        <v>#DIV/0!</v>
      </c>
      <c r="AN31" s="55" t="e">
        <f t="shared" si="80"/>
        <v>#DIV/0!</v>
      </c>
      <c r="AO31" s="55">
        <f t="shared" si="80"/>
        <v>0.7142857142857143</v>
      </c>
      <c r="AP31" s="86"/>
      <c r="AQ31" s="55" t="e">
        <f t="shared" ref="AQ31:BA31" si="81">(AQ30-AQ28)/AQ30</f>
        <v>#DIV/0!</v>
      </c>
      <c r="AR31" s="55" t="e">
        <f t="shared" si="81"/>
        <v>#DIV/0!</v>
      </c>
      <c r="AS31" s="55" t="e">
        <f t="shared" si="81"/>
        <v>#DIV/0!</v>
      </c>
      <c r="AT31" s="86"/>
      <c r="AU31" s="55" t="e">
        <f t="shared" si="81"/>
        <v>#DIV/0!</v>
      </c>
      <c r="AV31" s="55" t="e">
        <f t="shared" si="81"/>
        <v>#DIV/0!</v>
      </c>
      <c r="AW31" s="55" t="e">
        <f t="shared" si="81"/>
        <v>#DIV/0!</v>
      </c>
      <c r="AX31" s="86"/>
      <c r="AY31" s="55" t="e">
        <f t="shared" si="81"/>
        <v>#DIV/0!</v>
      </c>
      <c r="AZ31" s="55" t="e">
        <f t="shared" si="81"/>
        <v>#DIV/0!</v>
      </c>
      <c r="BA31" s="55">
        <f t="shared" si="81"/>
        <v>0.57894736842105265</v>
      </c>
      <c r="BB31" s="86"/>
      <c r="BC31" s="55" t="e">
        <f t="shared" ref="BC31:BI31" si="82">(BC30-BC28)/BC30</f>
        <v>#DIV/0!</v>
      </c>
      <c r="BD31" s="55" t="e">
        <f t="shared" si="82"/>
        <v>#DIV/0!</v>
      </c>
      <c r="BE31" s="55" t="e">
        <f t="shared" si="82"/>
        <v>#DIV/0!</v>
      </c>
      <c r="BF31" s="86"/>
      <c r="BG31" s="55" t="e">
        <f t="shared" si="82"/>
        <v>#DIV/0!</v>
      </c>
      <c r="BH31" s="55" t="e">
        <f t="shared" si="82"/>
        <v>#DIV/0!</v>
      </c>
      <c r="BI31" s="55" t="e">
        <f t="shared" si="82"/>
        <v>#DIV/0!</v>
      </c>
      <c r="BJ31" s="86"/>
      <c r="BK31" s="55" t="e">
        <f t="shared" ref="BK31:BU31" si="83">(BK30-BK28)/BK30</f>
        <v>#DIV/0!</v>
      </c>
      <c r="BL31" s="55" t="e">
        <f t="shared" si="83"/>
        <v>#DIV/0!</v>
      </c>
      <c r="BM31" s="55" t="e">
        <f t="shared" si="83"/>
        <v>#DIV/0!</v>
      </c>
      <c r="BN31" s="86"/>
      <c r="BO31" s="55">
        <f t="shared" si="83"/>
        <v>0</v>
      </c>
      <c r="BP31" s="55" t="e">
        <f t="shared" si="83"/>
        <v>#DIV/0!</v>
      </c>
      <c r="BQ31" s="55">
        <f t="shared" si="83"/>
        <v>0</v>
      </c>
      <c r="BR31" s="86"/>
      <c r="BS31" s="55">
        <f t="shared" si="83"/>
        <v>0</v>
      </c>
      <c r="BT31" s="55" t="e">
        <f t="shared" si="83"/>
        <v>#DIV/0!</v>
      </c>
      <c r="BU31" s="55">
        <f t="shared" si="83"/>
        <v>0</v>
      </c>
      <c r="BV31" s="86"/>
      <c r="BW31" s="55">
        <f t="shared" ref="BW31:CC31" si="84">(BW30-BW28)/BW30</f>
        <v>1</v>
      </c>
      <c r="BX31" s="55" t="e">
        <f t="shared" si="84"/>
        <v>#DIV/0!</v>
      </c>
      <c r="BY31" s="55">
        <f t="shared" si="84"/>
        <v>0.2857142857142857</v>
      </c>
      <c r="BZ31" s="86"/>
      <c r="CA31" s="55">
        <f t="shared" si="84"/>
        <v>0</v>
      </c>
      <c r="CB31" s="55" t="e">
        <f t="shared" si="84"/>
        <v>#DIV/0!</v>
      </c>
      <c r="CC31" s="55">
        <f t="shared" si="84"/>
        <v>0</v>
      </c>
      <c r="CD31" s="86"/>
      <c r="CE31" s="55">
        <f t="shared" ref="CE31:CK31" si="85">(CE30-CE28)/CE30</f>
        <v>0</v>
      </c>
      <c r="CF31" s="55" t="e">
        <f t="shared" si="85"/>
        <v>#DIV/0!</v>
      </c>
      <c r="CG31" s="55">
        <f t="shared" si="85"/>
        <v>0</v>
      </c>
      <c r="CH31" s="86"/>
      <c r="CI31" s="55" t="e">
        <f t="shared" si="85"/>
        <v>#DIV/0!</v>
      </c>
      <c r="CJ31" s="55" t="e">
        <f t="shared" si="85"/>
        <v>#DIV/0!</v>
      </c>
      <c r="CK31" s="55">
        <f t="shared" si="85"/>
        <v>0.61538461538461542</v>
      </c>
      <c r="CL31" s="86"/>
      <c r="CM31" s="55" t="e">
        <f>(CM30-CM28)/CM30</f>
        <v>#DIV/0!</v>
      </c>
      <c r="CN31" s="55" t="e">
        <f>(CN30-CN28)/CN30</f>
        <v>#DIV/0!</v>
      </c>
      <c r="CO31" s="55" t="e">
        <f>(CO30-CO28)/CO30</f>
        <v>#DIV/0!</v>
      </c>
      <c r="CP31" s="86"/>
      <c r="CQ31" s="55" t="e">
        <f t="shared" ref="CQ31:CS31" si="86">(CQ30-CQ28)/CQ30</f>
        <v>#DIV/0!</v>
      </c>
      <c r="CR31" s="55" t="e">
        <f t="shared" si="86"/>
        <v>#DIV/0!</v>
      </c>
      <c r="CS31" s="55">
        <f t="shared" si="86"/>
        <v>0.61538461538461542</v>
      </c>
      <c r="CT31" s="86"/>
      <c r="CU31" s="55" t="e">
        <f t="shared" ref="CU31:CW31" si="87">(CU30-CU28)/CU30</f>
        <v>#DIV/0!</v>
      </c>
      <c r="CV31" s="55" t="e">
        <f t="shared" si="87"/>
        <v>#DIV/0!</v>
      </c>
      <c r="CW31" s="55" t="e">
        <f t="shared" si="87"/>
        <v>#DIV/0!</v>
      </c>
      <c r="CX31" s="86"/>
      <c r="CY31" s="55" t="e">
        <f t="shared" ref="CY31:DA31" si="88">(CY30-CY28)/CY30</f>
        <v>#DIV/0!</v>
      </c>
      <c r="CZ31" s="55" t="e">
        <f t="shared" si="88"/>
        <v>#DIV/0!</v>
      </c>
      <c r="DA31" s="55" t="e">
        <f t="shared" si="88"/>
        <v>#DIV/0!</v>
      </c>
      <c r="DB31" s="86"/>
      <c r="DC31" s="55" t="e">
        <f t="shared" ref="DC31:DE31" si="89">(DC30-DC28)/DC30</f>
        <v>#DIV/0!</v>
      </c>
      <c r="DD31" s="55" t="e">
        <f t="shared" si="89"/>
        <v>#DIV/0!</v>
      </c>
      <c r="DE31" s="55" t="e">
        <f t="shared" si="89"/>
        <v>#DIV/0!</v>
      </c>
      <c r="DF31" s="86"/>
      <c r="DG31" s="55" t="e">
        <f t="shared" ref="DG31:DI31" si="90">(DG30-DG28)/DG30</f>
        <v>#DIV/0!</v>
      </c>
      <c r="DH31" s="55" t="e">
        <f t="shared" si="90"/>
        <v>#DIV/0!</v>
      </c>
      <c r="DI31" s="55" t="e">
        <f t="shared" si="90"/>
        <v>#DIV/0!</v>
      </c>
      <c r="DJ31" s="86"/>
      <c r="DK31" s="55" t="e">
        <f t="shared" ref="DK31:DM31" si="91">(DK30-DK28)/DK30</f>
        <v>#DIV/0!</v>
      </c>
      <c r="DL31" s="55" t="e">
        <f t="shared" si="91"/>
        <v>#DIV/0!</v>
      </c>
      <c r="DM31" s="55" t="e">
        <f t="shared" si="91"/>
        <v>#DIV/0!</v>
      </c>
      <c r="DN31" s="86"/>
      <c r="DO31" s="56" t="e">
        <f t="shared" ref="DO31:DQ33" si="92">AVERAGE(CU31,CY31,DC31,DG31,DK31)</f>
        <v>#DIV/0!</v>
      </c>
      <c r="DP31" s="56" t="e">
        <f t="shared" si="92"/>
        <v>#DIV/0!</v>
      </c>
      <c r="DQ31" s="56" t="e">
        <f t="shared" si="92"/>
        <v>#DIV/0!</v>
      </c>
      <c r="DR31" s="42">
        <v>1</v>
      </c>
      <c r="DS31" s="42" t="e">
        <v>#DIV/0!</v>
      </c>
      <c r="DT31" s="42">
        <v>0.546875</v>
      </c>
    </row>
    <row r="32" spans="1:124" ht="13.5" customHeight="1" thickBot="1" x14ac:dyDescent="0.3">
      <c r="A32" s="181"/>
      <c r="B32" s="57" t="s">
        <v>109</v>
      </c>
      <c r="C32" s="55">
        <f t="shared" ref="C32:Q32" si="93">(C9-C28)/C9</f>
        <v>0.88741721854304634</v>
      </c>
      <c r="D32" s="55">
        <f t="shared" si="93"/>
        <v>1</v>
      </c>
      <c r="E32" s="82">
        <f t="shared" si="93"/>
        <v>0.94985250737463123</v>
      </c>
      <c r="F32" s="86"/>
      <c r="G32" s="84" t="e">
        <f t="shared" si="93"/>
        <v>#DIV/0!</v>
      </c>
      <c r="H32" s="55" t="e">
        <f t="shared" si="93"/>
        <v>#DIV/0!</v>
      </c>
      <c r="I32" s="55" t="e">
        <f t="shared" si="93"/>
        <v>#DIV/0!</v>
      </c>
      <c r="J32" s="86"/>
      <c r="K32" s="55">
        <f t="shared" si="93"/>
        <v>0.65454545454545454</v>
      </c>
      <c r="L32" s="55">
        <f t="shared" si="93"/>
        <v>1</v>
      </c>
      <c r="M32" s="55">
        <f t="shared" si="93"/>
        <v>0.97818181818181815</v>
      </c>
      <c r="N32" s="86"/>
      <c r="O32" s="55">
        <f t="shared" si="93"/>
        <v>0.75471698113207553</v>
      </c>
      <c r="P32" s="55">
        <f t="shared" si="93"/>
        <v>1</v>
      </c>
      <c r="Q32" s="55">
        <f t="shared" si="93"/>
        <v>0.95833333333333337</v>
      </c>
      <c r="R32" s="86"/>
      <c r="S32" s="55">
        <f t="shared" ref="S32:Y32" si="94">(S9-S28)/S9</f>
        <v>1</v>
      </c>
      <c r="T32" s="55">
        <f t="shared" si="94"/>
        <v>1</v>
      </c>
      <c r="U32" s="55">
        <f t="shared" si="94"/>
        <v>0.98611111111111116</v>
      </c>
      <c r="V32" s="86"/>
      <c r="W32" s="55" t="e">
        <f t="shared" si="94"/>
        <v>#DIV/0!</v>
      </c>
      <c r="X32" s="55" t="e">
        <f t="shared" si="94"/>
        <v>#DIV/0!</v>
      </c>
      <c r="Y32" s="55" t="e">
        <f t="shared" si="94"/>
        <v>#DIV/0!</v>
      </c>
      <c r="Z32" s="86"/>
      <c r="AA32" s="55" t="e">
        <f t="shared" ref="AA32:AG32" si="95">(AA9-AA28)/AA9</f>
        <v>#DIV/0!</v>
      </c>
      <c r="AB32" s="55" t="e">
        <f t="shared" si="95"/>
        <v>#DIV/0!</v>
      </c>
      <c r="AC32" s="55" t="e">
        <f t="shared" si="95"/>
        <v>#DIV/0!</v>
      </c>
      <c r="AD32" s="86"/>
      <c r="AE32" s="55" t="e">
        <f t="shared" si="95"/>
        <v>#DIV/0!</v>
      </c>
      <c r="AF32" s="55" t="e">
        <f t="shared" si="95"/>
        <v>#DIV/0!</v>
      </c>
      <c r="AG32" s="55" t="e">
        <f t="shared" si="95"/>
        <v>#DIV/0!</v>
      </c>
      <c r="AH32" s="86"/>
      <c r="AI32" s="55" t="e">
        <f t="shared" ref="AI32:AO32" si="96">(AI9-AI28)/AI9</f>
        <v>#DIV/0!</v>
      </c>
      <c r="AJ32" s="55" t="e">
        <f t="shared" si="96"/>
        <v>#DIV/0!</v>
      </c>
      <c r="AK32" s="55" t="e">
        <f t="shared" si="96"/>
        <v>#DIV/0!</v>
      </c>
      <c r="AL32" s="86"/>
      <c r="AM32" s="55">
        <f t="shared" si="96"/>
        <v>1</v>
      </c>
      <c r="AN32" s="55">
        <f t="shared" si="96"/>
        <v>1</v>
      </c>
      <c r="AO32" s="55">
        <f t="shared" si="96"/>
        <v>0.98734177215189878</v>
      </c>
      <c r="AP32" s="86"/>
      <c r="AQ32" s="55" t="e">
        <f t="shared" ref="AQ32:BA32" si="97">(AQ9-AQ28)/AQ9</f>
        <v>#DIV/0!</v>
      </c>
      <c r="AR32" s="55" t="e">
        <f t="shared" si="97"/>
        <v>#DIV/0!</v>
      </c>
      <c r="AS32" s="55" t="e">
        <f t="shared" si="97"/>
        <v>#DIV/0!</v>
      </c>
      <c r="AT32" s="86"/>
      <c r="AU32" s="55" t="e">
        <f t="shared" si="97"/>
        <v>#DIV/0!</v>
      </c>
      <c r="AV32" s="55" t="e">
        <f t="shared" si="97"/>
        <v>#DIV/0!</v>
      </c>
      <c r="AW32" s="55" t="e">
        <f t="shared" si="97"/>
        <v>#DIV/0!</v>
      </c>
      <c r="AX32" s="86"/>
      <c r="AY32" s="55">
        <f t="shared" si="97"/>
        <v>1</v>
      </c>
      <c r="AZ32" s="55">
        <f t="shared" si="97"/>
        <v>1</v>
      </c>
      <c r="BA32" s="55">
        <f t="shared" si="97"/>
        <v>0.94936708860759489</v>
      </c>
      <c r="BB32" s="86"/>
      <c r="BC32" s="55" t="e">
        <f t="shared" ref="BC32:BI32" si="98">(BC9-BC28)/BC9</f>
        <v>#DIV/0!</v>
      </c>
      <c r="BD32" s="55" t="e">
        <f t="shared" si="98"/>
        <v>#DIV/0!</v>
      </c>
      <c r="BE32" s="55" t="e">
        <f t="shared" si="98"/>
        <v>#DIV/0!</v>
      </c>
      <c r="BF32" s="86"/>
      <c r="BG32" s="55" t="e">
        <f t="shared" si="98"/>
        <v>#DIV/0!</v>
      </c>
      <c r="BH32" s="55" t="e">
        <f t="shared" si="98"/>
        <v>#DIV/0!</v>
      </c>
      <c r="BI32" s="55" t="e">
        <f t="shared" si="98"/>
        <v>#DIV/0!</v>
      </c>
      <c r="BJ32" s="86"/>
      <c r="BK32" s="55" t="e">
        <f t="shared" ref="BK32:BU32" si="99">(BK9-BK28)/BK9</f>
        <v>#DIV/0!</v>
      </c>
      <c r="BL32" s="55" t="e">
        <f t="shared" si="99"/>
        <v>#DIV/0!</v>
      </c>
      <c r="BM32" s="55" t="e">
        <f t="shared" si="99"/>
        <v>#DIV/0!</v>
      </c>
      <c r="BN32" s="86"/>
      <c r="BO32" s="55">
        <f t="shared" si="99"/>
        <v>0.7168141592920354</v>
      </c>
      <c r="BP32" s="55">
        <f t="shared" si="99"/>
        <v>1</v>
      </c>
      <c r="BQ32" s="55">
        <f t="shared" si="99"/>
        <v>0.98275862068965514</v>
      </c>
      <c r="BR32" s="86"/>
      <c r="BS32" s="55">
        <f t="shared" si="99"/>
        <v>0.7168141592920354</v>
      </c>
      <c r="BT32" s="55">
        <f t="shared" si="99"/>
        <v>1</v>
      </c>
      <c r="BU32" s="55">
        <f t="shared" si="99"/>
        <v>0.98280802292263614</v>
      </c>
      <c r="BV32" s="86"/>
      <c r="BW32" s="55">
        <f t="shared" ref="BW32:CC32" si="100">(BW9-BW28)/BW9</f>
        <v>1</v>
      </c>
      <c r="BX32" s="55">
        <f t="shared" si="100"/>
        <v>1</v>
      </c>
      <c r="BY32" s="55">
        <f t="shared" si="100"/>
        <v>0.97975708502024295</v>
      </c>
      <c r="BZ32" s="86"/>
      <c r="CA32" s="55">
        <f t="shared" si="100"/>
        <v>0.7168141592920354</v>
      </c>
      <c r="CB32" s="55">
        <f t="shared" si="100"/>
        <v>1</v>
      </c>
      <c r="CC32" s="55">
        <f t="shared" si="100"/>
        <v>0.98300283286118983</v>
      </c>
      <c r="CD32" s="86"/>
      <c r="CE32" s="55">
        <f t="shared" ref="CE32:CK32" si="101">(CE9-CE28)/CE9</f>
        <v>0.7168141592920354</v>
      </c>
      <c r="CF32" s="55">
        <f t="shared" si="101"/>
        <v>1</v>
      </c>
      <c r="CG32" s="55">
        <f t="shared" si="101"/>
        <v>0.98280802292263614</v>
      </c>
      <c r="CH32" s="86"/>
      <c r="CI32" s="55">
        <f t="shared" si="101"/>
        <v>1</v>
      </c>
      <c r="CJ32" s="55">
        <f t="shared" si="101"/>
        <v>1</v>
      </c>
      <c r="CK32" s="55">
        <f t="shared" si="101"/>
        <v>0.93670886075949367</v>
      </c>
      <c r="CL32" s="86"/>
      <c r="CM32" s="55" t="e">
        <f>(CM9-CM28)/CM9</f>
        <v>#DIV/0!</v>
      </c>
      <c r="CN32" s="55" t="e">
        <f>(CN9-CN28)/CN9</f>
        <v>#DIV/0!</v>
      </c>
      <c r="CO32" s="55" t="e">
        <f>(CO9-CO28)/CO9</f>
        <v>#DIV/0!</v>
      </c>
      <c r="CP32" s="86"/>
      <c r="CQ32" s="55">
        <f t="shared" ref="CQ32:CS32" si="102">(CQ9-CQ28)/CQ9</f>
        <v>1</v>
      </c>
      <c r="CR32" s="55">
        <f t="shared" si="102"/>
        <v>1</v>
      </c>
      <c r="CS32" s="55">
        <f t="shared" si="102"/>
        <v>0.93670886075949367</v>
      </c>
      <c r="CT32" s="86"/>
      <c r="CU32" s="55" t="e">
        <f t="shared" ref="CU32:CW32" si="103">(CU9-CU28)/CU9</f>
        <v>#DIV/0!</v>
      </c>
      <c r="CV32" s="55" t="e">
        <f t="shared" si="103"/>
        <v>#DIV/0!</v>
      </c>
      <c r="CW32" s="55" t="e">
        <f t="shared" si="103"/>
        <v>#DIV/0!</v>
      </c>
      <c r="CX32" s="86"/>
      <c r="CY32" s="55" t="e">
        <f t="shared" ref="CY32:DA32" si="104">(CY9-CY28)/CY9</f>
        <v>#DIV/0!</v>
      </c>
      <c r="CZ32" s="55" t="e">
        <f t="shared" si="104"/>
        <v>#DIV/0!</v>
      </c>
      <c r="DA32" s="55" t="e">
        <f t="shared" si="104"/>
        <v>#DIV/0!</v>
      </c>
      <c r="DB32" s="86"/>
      <c r="DC32" s="55" t="e">
        <f t="shared" ref="DC32:DE32" si="105">(DC9-DC28)/DC9</f>
        <v>#DIV/0!</v>
      </c>
      <c r="DD32" s="55" t="e">
        <f t="shared" si="105"/>
        <v>#DIV/0!</v>
      </c>
      <c r="DE32" s="55" t="e">
        <f t="shared" si="105"/>
        <v>#DIV/0!</v>
      </c>
      <c r="DF32" s="86"/>
      <c r="DG32" s="55" t="e">
        <f t="shared" ref="DG32:DI32" si="106">(DG9-DG28)/DG9</f>
        <v>#DIV/0!</v>
      </c>
      <c r="DH32" s="55" t="e">
        <f t="shared" si="106"/>
        <v>#DIV/0!</v>
      </c>
      <c r="DI32" s="55" t="e">
        <f t="shared" si="106"/>
        <v>#DIV/0!</v>
      </c>
      <c r="DJ32" s="86"/>
      <c r="DK32" s="55" t="e">
        <f t="shared" ref="DK32:DM32" si="107">(DK9-DK28)/DK9</f>
        <v>#DIV/0!</v>
      </c>
      <c r="DL32" s="55" t="e">
        <f t="shared" si="107"/>
        <v>#DIV/0!</v>
      </c>
      <c r="DM32" s="55" t="e">
        <f t="shared" si="107"/>
        <v>#DIV/0!</v>
      </c>
      <c r="DN32" s="86"/>
      <c r="DO32" s="56" t="e">
        <f t="shared" si="92"/>
        <v>#DIV/0!</v>
      </c>
      <c r="DP32" s="56" t="e">
        <f t="shared" si="92"/>
        <v>#DIV/0!</v>
      </c>
      <c r="DQ32" s="56" t="e">
        <f t="shared" si="92"/>
        <v>#DIV/0!</v>
      </c>
      <c r="DR32" s="42">
        <v>1</v>
      </c>
      <c r="DS32" s="42">
        <v>1</v>
      </c>
      <c r="DT32" s="42">
        <v>0.97534013605442182</v>
      </c>
    </row>
    <row r="33" spans="1:124" ht="13.5" customHeight="1" thickBot="1" x14ac:dyDescent="0.3">
      <c r="A33" s="58">
        <v>11</v>
      </c>
      <c r="B33" s="59" t="s">
        <v>110</v>
      </c>
      <c r="C33" s="41">
        <f>C11/C9</f>
        <v>2.9801324503311258E-2</v>
      </c>
      <c r="D33" s="41">
        <f>D11/D9</f>
        <v>0</v>
      </c>
      <c r="E33" s="77">
        <f>E18/E9</f>
        <v>4.8672566371681415E-2</v>
      </c>
      <c r="F33" s="86"/>
      <c r="G33" s="78" t="e">
        <f>G11/G9</f>
        <v>#DIV/0!</v>
      </c>
      <c r="H33" s="41" t="e">
        <f>H11/H9</f>
        <v>#DIV/0!</v>
      </c>
      <c r="I33" s="41" t="e">
        <f>I18/I9</f>
        <v>#DIV/0!</v>
      </c>
      <c r="J33" s="86"/>
      <c r="K33" s="41">
        <f>K11/K9</f>
        <v>4.7272727272727272E-2</v>
      </c>
      <c r="L33" s="41">
        <f>L11/L9</f>
        <v>0.125</v>
      </c>
      <c r="M33" s="41">
        <f>M18/M9</f>
        <v>0.13818181818181818</v>
      </c>
      <c r="N33" s="86"/>
      <c r="O33" s="41">
        <f>O11/O9</f>
        <v>4.716981132075472E-2</v>
      </c>
      <c r="P33" s="41">
        <f>P11/P9</f>
        <v>0</v>
      </c>
      <c r="Q33" s="41">
        <f>Q18/Q9</f>
        <v>9.375E-2</v>
      </c>
      <c r="R33" s="86"/>
      <c r="S33" s="41">
        <f>S11/S9</f>
        <v>0</v>
      </c>
      <c r="T33" s="41">
        <f>T11/T9</f>
        <v>0</v>
      </c>
      <c r="U33" s="41">
        <f>U18/U9</f>
        <v>4.1666666666666664E-2</v>
      </c>
      <c r="V33" s="86"/>
      <c r="W33" s="41" t="e">
        <f>W11/W9</f>
        <v>#DIV/0!</v>
      </c>
      <c r="X33" s="41" t="e">
        <f>X11/X9</f>
        <v>#DIV/0!</v>
      </c>
      <c r="Y33" s="41" t="e">
        <f>Y18/Y9</f>
        <v>#DIV/0!</v>
      </c>
      <c r="Z33" s="86"/>
      <c r="AA33" s="41" t="e">
        <f>AA11/AA9</f>
        <v>#DIV/0!</v>
      </c>
      <c r="AB33" s="41" t="e">
        <f>AB11/AB9</f>
        <v>#DIV/0!</v>
      </c>
      <c r="AC33" s="41" t="e">
        <f>AC18/AC9</f>
        <v>#DIV/0!</v>
      </c>
      <c r="AD33" s="86"/>
      <c r="AE33" s="41" t="e">
        <f>AE11/AE9</f>
        <v>#DIV/0!</v>
      </c>
      <c r="AF33" s="41" t="e">
        <f>AF11/AF9</f>
        <v>#DIV/0!</v>
      </c>
      <c r="AG33" s="41" t="e">
        <f>AG18/AG9</f>
        <v>#DIV/0!</v>
      </c>
      <c r="AH33" s="86"/>
      <c r="AI33" s="41" t="e">
        <f>AI11/AI9</f>
        <v>#DIV/0!</v>
      </c>
      <c r="AJ33" s="41" t="e">
        <f>AJ11/AJ9</f>
        <v>#DIV/0!</v>
      </c>
      <c r="AK33" s="41" t="e">
        <f>AK18/AK9</f>
        <v>#DIV/0!</v>
      </c>
      <c r="AL33" s="86"/>
      <c r="AM33" s="41">
        <f>AM11/AM9</f>
        <v>7.7669902912621352E-2</v>
      </c>
      <c r="AN33" s="41">
        <f>AN11/AN9</f>
        <v>7.1428571428571425E-2</v>
      </c>
      <c r="AO33" s="41">
        <f>AO18/AO9</f>
        <v>6.3291139240506333E-2</v>
      </c>
      <c r="AP33" s="86"/>
      <c r="AQ33" s="41" t="e">
        <f>AQ11/AQ9</f>
        <v>#DIV/0!</v>
      </c>
      <c r="AR33" s="41" t="e">
        <f>AR11/AR9</f>
        <v>#DIV/0!</v>
      </c>
      <c r="AS33" s="41" t="e">
        <f>AS18/AS9</f>
        <v>#DIV/0!</v>
      </c>
      <c r="AT33" s="86"/>
      <c r="AU33" s="41" t="e">
        <f>AU11/AU9</f>
        <v>#DIV/0!</v>
      </c>
      <c r="AV33" s="41" t="e">
        <f>AV11/AV9</f>
        <v>#DIV/0!</v>
      </c>
      <c r="AW33" s="41" t="e">
        <f>AW18/AW9</f>
        <v>#DIV/0!</v>
      </c>
      <c r="AX33" s="86"/>
      <c r="AY33" s="41">
        <f>AY11/AY9</f>
        <v>5.5555555555555552E-2</v>
      </c>
      <c r="AZ33" s="41">
        <f>AZ11/AZ9</f>
        <v>0</v>
      </c>
      <c r="BA33" s="41">
        <f>BA18/BA9</f>
        <v>0.10759493670886076</v>
      </c>
      <c r="BB33" s="86"/>
      <c r="BC33" s="41" t="e">
        <f>BC11/BC9</f>
        <v>#DIV/0!</v>
      </c>
      <c r="BD33" s="41" t="e">
        <f>BD11/BD9</f>
        <v>#DIV/0!</v>
      </c>
      <c r="BE33" s="41" t="e">
        <f>BE18/BE9</f>
        <v>#DIV/0!</v>
      </c>
      <c r="BF33" s="86"/>
      <c r="BG33" s="41" t="e">
        <f>BG11/BG9</f>
        <v>#DIV/0!</v>
      </c>
      <c r="BH33" s="41" t="e">
        <f>BH11/BH9</f>
        <v>#DIV/0!</v>
      </c>
      <c r="BI33" s="41" t="e">
        <f>BI18/BI9</f>
        <v>#DIV/0!</v>
      </c>
      <c r="BJ33" s="86"/>
      <c r="BK33" s="41" t="e">
        <f>BK11/BK9</f>
        <v>#DIV/0!</v>
      </c>
      <c r="BL33" s="41" t="e">
        <f>BL11/BL9</f>
        <v>#DIV/0!</v>
      </c>
      <c r="BM33" s="41" t="e">
        <f>BM18/BM9</f>
        <v>#DIV/0!</v>
      </c>
      <c r="BN33" s="86"/>
      <c r="BO33" s="41">
        <f>BO11/BO9</f>
        <v>7.9646017699115043E-2</v>
      </c>
      <c r="BP33" s="41">
        <f>BP11/BP9</f>
        <v>0.2</v>
      </c>
      <c r="BQ33" s="41">
        <f>BQ18/BQ9</f>
        <v>4.8850574712643681E-2</v>
      </c>
      <c r="BR33" s="86"/>
      <c r="BS33" s="41">
        <f>BS11/BS9</f>
        <v>7.9646017699115043E-2</v>
      </c>
      <c r="BT33" s="41">
        <f>BT11/BT9</f>
        <v>0.18367346938775511</v>
      </c>
      <c r="BU33" s="41">
        <f>BU18/BU9</f>
        <v>4.8710601719197708E-2</v>
      </c>
      <c r="BV33" s="86"/>
      <c r="BW33" s="41">
        <f>BW11/BW9</f>
        <v>4.4247787610619468E-2</v>
      </c>
      <c r="BX33" s="41">
        <f>BX11/BX9</f>
        <v>0</v>
      </c>
      <c r="BY33" s="41">
        <f>BY18/BY9</f>
        <v>4.048582995951417E-2</v>
      </c>
      <c r="BZ33" s="86"/>
      <c r="CA33" s="41">
        <f>CA11/CA9</f>
        <v>7.9646017699115043E-2</v>
      </c>
      <c r="CB33" s="41">
        <f>CB11/CB9</f>
        <v>0.18367346938775511</v>
      </c>
      <c r="CC33" s="41">
        <f>CC18/CC9</f>
        <v>4.8158640226628892E-2</v>
      </c>
      <c r="CD33" s="86"/>
      <c r="CE33" s="41">
        <f>CE11/CE9</f>
        <v>7.9646017699115043E-2</v>
      </c>
      <c r="CF33" s="41">
        <f>CF11/CF9</f>
        <v>0.18367346938775511</v>
      </c>
      <c r="CG33" s="41">
        <f>CG18/CG9</f>
        <v>4.8710601719197708E-2</v>
      </c>
      <c r="CH33" s="86"/>
      <c r="CI33" s="41">
        <f>CI11/CI9</f>
        <v>5.5555555555555552E-2</v>
      </c>
      <c r="CJ33" s="41">
        <f>CJ11/CJ9</f>
        <v>0</v>
      </c>
      <c r="CK33" s="41">
        <f>CK18/CK9</f>
        <v>0.10759493670886076</v>
      </c>
      <c r="CL33" s="86"/>
      <c r="CM33" s="41" t="e">
        <f>CM11/CM9</f>
        <v>#DIV/0!</v>
      </c>
      <c r="CN33" s="41" t="e">
        <f>CN11/CN9</f>
        <v>#DIV/0!</v>
      </c>
      <c r="CO33" s="41" t="e">
        <f>CO18/CO9</f>
        <v>#DIV/0!</v>
      </c>
      <c r="CP33" s="86"/>
      <c r="CQ33" s="41">
        <f>CQ11/CQ9</f>
        <v>5.5555555555555552E-2</v>
      </c>
      <c r="CR33" s="41">
        <f>CR11/CR9</f>
        <v>0</v>
      </c>
      <c r="CS33" s="41">
        <f>CS18/CS9</f>
        <v>0.10759493670886076</v>
      </c>
      <c r="CT33" s="86"/>
      <c r="CU33" s="41" t="e">
        <f>CU11/CU9</f>
        <v>#DIV/0!</v>
      </c>
      <c r="CV33" s="41" t="e">
        <f>CV11/CV9</f>
        <v>#DIV/0!</v>
      </c>
      <c r="CW33" s="41" t="e">
        <f>CW18/CW9</f>
        <v>#DIV/0!</v>
      </c>
      <c r="CX33" s="86"/>
      <c r="CY33" s="41" t="e">
        <f>CY11/CY9</f>
        <v>#DIV/0!</v>
      </c>
      <c r="CZ33" s="41" t="e">
        <f>CZ11/CZ9</f>
        <v>#DIV/0!</v>
      </c>
      <c r="DA33" s="41" t="e">
        <f>DA18/DA9</f>
        <v>#DIV/0!</v>
      </c>
      <c r="DB33" s="86"/>
      <c r="DC33" s="41" t="e">
        <f>DC11/DC9</f>
        <v>#DIV/0!</v>
      </c>
      <c r="DD33" s="41" t="e">
        <f>DD11/DD9</f>
        <v>#DIV/0!</v>
      </c>
      <c r="DE33" s="41" t="e">
        <f>DE18/DE9</f>
        <v>#DIV/0!</v>
      </c>
      <c r="DF33" s="86"/>
      <c r="DG33" s="41" t="e">
        <f>DG11/DG9</f>
        <v>#DIV/0!</v>
      </c>
      <c r="DH33" s="41" t="e">
        <f>DH11/DH9</f>
        <v>#DIV/0!</v>
      </c>
      <c r="DI33" s="41" t="e">
        <f>DI18/DI9</f>
        <v>#DIV/0!</v>
      </c>
      <c r="DJ33" s="86"/>
      <c r="DK33" s="41" t="e">
        <f>DK11/DK9</f>
        <v>#DIV/0!</v>
      </c>
      <c r="DL33" s="41" t="e">
        <f>DL11/DL9</f>
        <v>#DIV/0!</v>
      </c>
      <c r="DM33" s="41" t="e">
        <f>DM18/DM9</f>
        <v>#DIV/0!</v>
      </c>
      <c r="DN33" s="86"/>
      <c r="DO33" s="56" t="e">
        <f t="shared" si="92"/>
        <v>#DIV/0!</v>
      </c>
      <c r="DP33" s="56" t="e">
        <f t="shared" si="92"/>
        <v>#DIV/0!</v>
      </c>
      <c r="DQ33" s="56" t="e">
        <f t="shared" si="92"/>
        <v>#DIV/0!</v>
      </c>
      <c r="DR33" s="42">
        <v>4.8328123177451832E-2</v>
      </c>
      <c r="DS33" s="42">
        <v>8.4219858156028365E-2</v>
      </c>
      <c r="DT33" s="42">
        <v>9.0241396319591452E-2</v>
      </c>
    </row>
    <row r="34" spans="1:124" ht="13.5" customHeight="1" thickBot="1" x14ac:dyDescent="0.3">
      <c r="A34" s="37">
        <v>12</v>
      </c>
      <c r="B34" s="40" t="s">
        <v>111</v>
      </c>
      <c r="C34" s="44">
        <v>0</v>
      </c>
      <c r="D34" s="44">
        <v>0</v>
      </c>
      <c r="E34" s="81">
        <v>0</v>
      </c>
      <c r="F34" s="86"/>
      <c r="G34" s="45">
        <v>0</v>
      </c>
      <c r="H34" s="44">
        <v>0</v>
      </c>
      <c r="I34" s="44">
        <v>0</v>
      </c>
      <c r="J34" s="86"/>
      <c r="K34" s="44">
        <v>0</v>
      </c>
      <c r="L34" s="44">
        <v>0</v>
      </c>
      <c r="M34" s="44">
        <v>0</v>
      </c>
      <c r="N34" s="86"/>
      <c r="O34" s="44">
        <v>0</v>
      </c>
      <c r="P34" s="44">
        <v>0</v>
      </c>
      <c r="Q34" s="44">
        <v>0</v>
      </c>
      <c r="R34" s="86"/>
      <c r="S34" s="44">
        <v>0</v>
      </c>
      <c r="T34" s="44">
        <v>0</v>
      </c>
      <c r="U34" s="44">
        <v>0</v>
      </c>
      <c r="V34" s="86"/>
      <c r="W34" s="44">
        <v>0</v>
      </c>
      <c r="X34" s="44">
        <v>0</v>
      </c>
      <c r="Y34" s="44">
        <v>0</v>
      </c>
      <c r="Z34" s="86"/>
      <c r="AA34" s="44">
        <v>0</v>
      </c>
      <c r="AB34" s="44">
        <v>0</v>
      </c>
      <c r="AC34" s="44">
        <v>0</v>
      </c>
      <c r="AD34" s="86"/>
      <c r="AE34" s="44">
        <v>0</v>
      </c>
      <c r="AF34" s="44">
        <v>0</v>
      </c>
      <c r="AG34" s="44">
        <v>0</v>
      </c>
      <c r="AH34" s="86"/>
      <c r="AI34" s="44">
        <v>0</v>
      </c>
      <c r="AJ34" s="44">
        <v>0</v>
      </c>
      <c r="AK34" s="44">
        <v>0</v>
      </c>
      <c r="AL34" s="86"/>
      <c r="AM34" s="44">
        <v>0</v>
      </c>
      <c r="AN34" s="44">
        <v>0</v>
      </c>
      <c r="AO34" s="44">
        <v>0</v>
      </c>
      <c r="AP34" s="86"/>
      <c r="AQ34" s="44">
        <v>0</v>
      </c>
      <c r="AR34" s="44">
        <v>0</v>
      </c>
      <c r="AS34" s="44">
        <v>0</v>
      </c>
      <c r="AT34" s="86"/>
      <c r="AU34" s="44">
        <v>0</v>
      </c>
      <c r="AV34" s="44">
        <v>0</v>
      </c>
      <c r="AW34" s="44">
        <v>0</v>
      </c>
      <c r="AX34" s="86"/>
      <c r="AY34" s="44">
        <v>0</v>
      </c>
      <c r="AZ34" s="44">
        <v>0</v>
      </c>
      <c r="BA34" s="44">
        <v>0</v>
      </c>
      <c r="BB34" s="86"/>
      <c r="BC34" s="44">
        <v>0</v>
      </c>
      <c r="BD34" s="44">
        <v>0</v>
      </c>
      <c r="BE34" s="44">
        <v>0</v>
      </c>
      <c r="BF34" s="86"/>
      <c r="BG34" s="44">
        <v>0</v>
      </c>
      <c r="BH34" s="44">
        <v>0</v>
      </c>
      <c r="BI34" s="44">
        <v>0</v>
      </c>
      <c r="BJ34" s="86"/>
      <c r="BK34" s="44">
        <v>0</v>
      </c>
      <c r="BL34" s="44">
        <v>0</v>
      </c>
      <c r="BM34" s="44">
        <v>0</v>
      </c>
      <c r="BN34" s="86"/>
      <c r="BO34" s="44">
        <v>0</v>
      </c>
      <c r="BP34" s="44">
        <v>0</v>
      </c>
      <c r="BQ34" s="44">
        <v>0</v>
      </c>
      <c r="BR34" s="86"/>
      <c r="BS34" s="44">
        <v>0</v>
      </c>
      <c r="BT34" s="44">
        <v>0</v>
      </c>
      <c r="BU34" s="44">
        <v>0</v>
      </c>
      <c r="BV34" s="86"/>
      <c r="BW34" s="44">
        <v>0</v>
      </c>
      <c r="BX34" s="44">
        <v>0</v>
      </c>
      <c r="BY34" s="44">
        <v>0</v>
      </c>
      <c r="BZ34" s="86"/>
      <c r="CA34" s="44">
        <v>0</v>
      </c>
      <c r="CB34" s="44">
        <v>0</v>
      </c>
      <c r="CC34" s="44">
        <v>0</v>
      </c>
      <c r="CD34" s="86"/>
      <c r="CE34" s="44">
        <v>0</v>
      </c>
      <c r="CF34" s="44">
        <v>0</v>
      </c>
      <c r="CG34" s="44">
        <v>0</v>
      </c>
      <c r="CH34" s="86"/>
      <c r="CI34" s="44">
        <v>0</v>
      </c>
      <c r="CJ34" s="44">
        <v>0</v>
      </c>
      <c r="CK34" s="44">
        <v>0</v>
      </c>
      <c r="CL34" s="86"/>
      <c r="CM34" s="44">
        <v>0</v>
      </c>
      <c r="CN34" s="44">
        <v>0</v>
      </c>
      <c r="CO34" s="44">
        <v>0</v>
      </c>
      <c r="CP34" s="86"/>
      <c r="CQ34" s="44">
        <v>0</v>
      </c>
      <c r="CR34" s="44">
        <v>0</v>
      </c>
      <c r="CS34" s="44">
        <v>0</v>
      </c>
      <c r="CT34" s="86"/>
      <c r="CU34" s="44">
        <v>0</v>
      </c>
      <c r="CV34" s="44">
        <v>0</v>
      </c>
      <c r="CW34" s="44">
        <v>0</v>
      </c>
      <c r="CX34" s="86"/>
      <c r="CY34" s="44">
        <v>0</v>
      </c>
      <c r="CZ34" s="44">
        <v>0</v>
      </c>
      <c r="DA34" s="44">
        <v>0</v>
      </c>
      <c r="DB34" s="86"/>
      <c r="DC34" s="44">
        <v>0</v>
      </c>
      <c r="DD34" s="44">
        <v>0</v>
      </c>
      <c r="DE34" s="44">
        <v>0</v>
      </c>
      <c r="DF34" s="86"/>
      <c r="DG34" s="44">
        <v>0</v>
      </c>
      <c r="DH34" s="44">
        <v>0</v>
      </c>
      <c r="DI34" s="44">
        <v>0</v>
      </c>
      <c r="DJ34" s="86"/>
      <c r="DK34" s="44">
        <v>0</v>
      </c>
      <c r="DL34" s="44">
        <v>0</v>
      </c>
      <c r="DM34" s="44">
        <v>0</v>
      </c>
      <c r="DN34" s="86"/>
      <c r="DO34" s="46">
        <v>0</v>
      </c>
      <c r="DP34" s="46">
        <v>0</v>
      </c>
      <c r="DQ34" s="46">
        <v>0</v>
      </c>
      <c r="DR34" s="46">
        <v>0</v>
      </c>
      <c r="DS34" s="46">
        <v>0</v>
      </c>
      <c r="DT34" s="46">
        <v>0</v>
      </c>
    </row>
    <row r="35" spans="1:124" ht="13.5" customHeight="1" thickBot="1" x14ac:dyDescent="0.3">
      <c r="A35" s="60">
        <v>13</v>
      </c>
      <c r="B35" s="61" t="s">
        <v>112</v>
      </c>
      <c r="C35" s="44">
        <v>19</v>
      </c>
      <c r="D35" s="44">
        <v>10</v>
      </c>
      <c r="E35" s="81">
        <v>0</v>
      </c>
      <c r="F35" s="87"/>
      <c r="G35" s="45">
        <v>34</v>
      </c>
      <c r="H35" s="44">
        <v>8</v>
      </c>
      <c r="I35" s="44">
        <v>0</v>
      </c>
      <c r="J35" s="87"/>
      <c r="K35" s="44">
        <v>57</v>
      </c>
      <c r="L35" s="44">
        <v>0</v>
      </c>
      <c r="M35" s="44">
        <v>0</v>
      </c>
      <c r="N35" s="87"/>
      <c r="O35" s="44">
        <v>47</v>
      </c>
      <c r="P35" s="44">
        <v>0</v>
      </c>
      <c r="Q35" s="44">
        <v>0</v>
      </c>
      <c r="R35" s="87"/>
      <c r="S35" s="44">
        <v>47</v>
      </c>
      <c r="T35" s="44">
        <v>0</v>
      </c>
      <c r="U35" s="44">
        <v>0</v>
      </c>
      <c r="V35" s="87"/>
      <c r="W35" s="44">
        <v>47</v>
      </c>
      <c r="X35" s="44">
        <v>0</v>
      </c>
      <c r="Y35" s="44">
        <v>0</v>
      </c>
      <c r="Z35" s="87"/>
      <c r="AA35" s="44">
        <v>47</v>
      </c>
      <c r="AB35" s="44">
        <v>0</v>
      </c>
      <c r="AC35" s="44">
        <v>0</v>
      </c>
      <c r="AD35" s="87"/>
      <c r="AE35" s="44">
        <v>47</v>
      </c>
      <c r="AF35" s="44">
        <v>0</v>
      </c>
      <c r="AG35" s="44">
        <v>0</v>
      </c>
      <c r="AH35" s="87"/>
      <c r="AI35" s="44">
        <v>47</v>
      </c>
      <c r="AJ35" s="44">
        <v>0</v>
      </c>
      <c r="AK35" s="44">
        <v>0</v>
      </c>
      <c r="AL35" s="87"/>
      <c r="AM35" s="44">
        <v>47</v>
      </c>
      <c r="AN35" s="44">
        <v>0</v>
      </c>
      <c r="AO35" s="44">
        <v>0</v>
      </c>
      <c r="AP35" s="87"/>
      <c r="AQ35" s="44">
        <v>47</v>
      </c>
      <c r="AR35" s="44">
        <v>0</v>
      </c>
      <c r="AS35" s="44">
        <v>0</v>
      </c>
      <c r="AT35" s="87"/>
      <c r="AU35" s="44">
        <v>47</v>
      </c>
      <c r="AV35" s="44">
        <v>0</v>
      </c>
      <c r="AW35" s="44">
        <v>0</v>
      </c>
      <c r="AX35" s="87"/>
      <c r="AY35" s="44">
        <v>47</v>
      </c>
      <c r="AZ35" s="44">
        <v>0</v>
      </c>
      <c r="BA35" s="44">
        <v>0</v>
      </c>
      <c r="BB35" s="87"/>
      <c r="BC35" s="44">
        <v>47</v>
      </c>
      <c r="BD35" s="44">
        <v>0</v>
      </c>
      <c r="BE35" s="44">
        <v>0</v>
      </c>
      <c r="BF35" s="87"/>
      <c r="BG35" s="44">
        <v>47</v>
      </c>
      <c r="BH35" s="44">
        <v>0</v>
      </c>
      <c r="BI35" s="44">
        <v>0</v>
      </c>
      <c r="BJ35" s="87"/>
      <c r="BK35" s="44">
        <v>47</v>
      </c>
      <c r="BL35" s="44">
        <v>0</v>
      </c>
      <c r="BM35" s="44">
        <v>0</v>
      </c>
      <c r="BN35" s="87"/>
      <c r="BO35" s="44">
        <v>47</v>
      </c>
      <c r="BP35" s="44">
        <v>0</v>
      </c>
      <c r="BQ35" s="44">
        <v>0</v>
      </c>
      <c r="BR35" s="87"/>
      <c r="BS35" s="44">
        <v>47</v>
      </c>
      <c r="BT35" s="44">
        <v>0</v>
      </c>
      <c r="BU35" s="44">
        <v>0</v>
      </c>
      <c r="BV35" s="87"/>
      <c r="BW35" s="44">
        <v>47</v>
      </c>
      <c r="BX35" s="44">
        <v>0</v>
      </c>
      <c r="BY35" s="44">
        <v>0</v>
      </c>
      <c r="BZ35" s="87"/>
      <c r="CA35" s="44">
        <v>47</v>
      </c>
      <c r="CB35" s="44">
        <v>0</v>
      </c>
      <c r="CC35" s="44">
        <v>0</v>
      </c>
      <c r="CD35" s="87"/>
      <c r="CE35" s="44">
        <v>47</v>
      </c>
      <c r="CF35" s="44">
        <v>0</v>
      </c>
      <c r="CG35" s="44">
        <v>0</v>
      </c>
      <c r="CH35" s="87"/>
      <c r="CI35" s="44">
        <v>47</v>
      </c>
      <c r="CJ35" s="44">
        <v>0</v>
      </c>
      <c r="CK35" s="44">
        <v>0</v>
      </c>
      <c r="CL35" s="87"/>
      <c r="CM35" s="44">
        <v>47</v>
      </c>
      <c r="CN35" s="44">
        <v>0</v>
      </c>
      <c r="CO35" s="44">
        <v>0</v>
      </c>
      <c r="CP35" s="87"/>
      <c r="CQ35" s="44">
        <v>47</v>
      </c>
      <c r="CR35" s="44">
        <v>0</v>
      </c>
      <c r="CS35" s="44">
        <v>0</v>
      </c>
      <c r="CT35" s="87"/>
      <c r="CU35" s="44">
        <v>47</v>
      </c>
      <c r="CV35" s="44">
        <v>0</v>
      </c>
      <c r="CW35" s="44">
        <v>0</v>
      </c>
      <c r="CX35" s="87"/>
      <c r="CY35" s="44">
        <v>47</v>
      </c>
      <c r="CZ35" s="44">
        <v>0</v>
      </c>
      <c r="DA35" s="44">
        <v>0</v>
      </c>
      <c r="DB35" s="87"/>
      <c r="DC35" s="44">
        <v>47</v>
      </c>
      <c r="DD35" s="44">
        <v>0</v>
      </c>
      <c r="DE35" s="44">
        <v>0</v>
      </c>
      <c r="DF35" s="87"/>
      <c r="DG35" s="44">
        <v>47</v>
      </c>
      <c r="DH35" s="44">
        <v>0</v>
      </c>
      <c r="DI35" s="44">
        <v>0</v>
      </c>
      <c r="DJ35" s="87"/>
      <c r="DK35" s="44">
        <v>47</v>
      </c>
      <c r="DL35" s="44">
        <v>0</v>
      </c>
      <c r="DM35" s="44">
        <v>0</v>
      </c>
      <c r="DN35" s="87"/>
      <c r="DO35" s="44">
        <f>C35+G35+K35+O35+AQ35</f>
        <v>204</v>
      </c>
      <c r="DP35" s="44">
        <f>D35+H35+L35+P35+T35</f>
        <v>18</v>
      </c>
      <c r="DQ35" s="44">
        <f>E35+I35+M35+Q35+U35</f>
        <v>0</v>
      </c>
      <c r="DR35" s="46">
        <v>407</v>
      </c>
      <c r="DS35" s="46">
        <v>27</v>
      </c>
      <c r="DT35" s="46">
        <v>0</v>
      </c>
    </row>
    <row r="36" spans="1:124" ht="13.5" customHeight="1" thickBot="1" x14ac:dyDescent="0.3">
      <c r="A36" s="62"/>
      <c r="B36" s="62"/>
      <c r="C36" s="63"/>
      <c r="D36" s="63"/>
      <c r="E36" s="63"/>
      <c r="F36" s="63"/>
      <c r="G36" s="63"/>
      <c r="H36" s="63"/>
      <c r="I36" s="63"/>
      <c r="J36" s="63"/>
      <c r="K36" s="62"/>
      <c r="L36" s="62"/>
      <c r="M36" s="62"/>
      <c r="N36" s="62"/>
      <c r="O36" s="63"/>
      <c r="P36" s="63"/>
      <c r="Q36" s="63"/>
      <c r="R36" s="64"/>
      <c r="S36" s="63"/>
      <c r="T36" s="63"/>
      <c r="U36" s="63"/>
      <c r="V36" s="63"/>
      <c r="W36" s="63"/>
      <c r="X36" s="63"/>
      <c r="Y36" s="63"/>
      <c r="Z36" s="64"/>
      <c r="AA36" s="63"/>
      <c r="AB36" s="63"/>
      <c r="AC36" s="63"/>
      <c r="AD36" s="63"/>
      <c r="AE36" s="63"/>
      <c r="AF36" s="63"/>
      <c r="AG36" s="63"/>
      <c r="AH36" s="64"/>
      <c r="AI36" s="63"/>
      <c r="AJ36" s="63"/>
      <c r="AK36" s="63"/>
      <c r="AL36" s="63"/>
      <c r="AM36" s="63"/>
      <c r="AN36" s="63"/>
      <c r="AO36" s="63"/>
      <c r="AP36" s="64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4"/>
      <c r="BC36" s="63"/>
      <c r="BD36" s="63"/>
      <c r="BE36" s="63"/>
      <c r="BF36" s="63"/>
      <c r="BG36" s="63"/>
      <c r="BH36" s="63"/>
      <c r="BI36" s="63"/>
      <c r="BJ36" s="64"/>
      <c r="BK36" s="63"/>
      <c r="BL36" s="63"/>
      <c r="BM36" s="63"/>
      <c r="BN36" s="63"/>
      <c r="BO36" s="63"/>
      <c r="BP36" s="63"/>
      <c r="BQ36" s="63"/>
      <c r="BR36" s="63"/>
      <c r="BS36" s="63"/>
      <c r="BT36" s="63"/>
      <c r="BU36" s="63"/>
      <c r="BV36" s="64"/>
      <c r="BW36" s="63"/>
      <c r="BX36" s="63"/>
      <c r="BY36" s="63"/>
      <c r="BZ36" s="63"/>
      <c r="CA36" s="63"/>
      <c r="CB36" s="63"/>
      <c r="CC36" s="63"/>
      <c r="CD36" s="64"/>
      <c r="CE36" s="63"/>
      <c r="CF36" s="63"/>
      <c r="CG36" s="63"/>
      <c r="CH36" s="63"/>
      <c r="CI36" s="63"/>
      <c r="CJ36" s="63"/>
      <c r="CK36" s="63"/>
      <c r="CL36" s="64"/>
      <c r="CM36" s="63"/>
      <c r="CN36" s="63"/>
      <c r="CO36" s="63"/>
      <c r="CP36" s="63"/>
      <c r="CQ36" s="63"/>
      <c r="CR36" s="63"/>
      <c r="CS36" s="63"/>
      <c r="CT36" s="63"/>
      <c r="CU36" s="63"/>
      <c r="CV36" s="63"/>
      <c r="CW36" s="63"/>
      <c r="CX36" s="64"/>
      <c r="CY36" s="63"/>
      <c r="CZ36" s="63"/>
      <c r="DA36" s="63"/>
      <c r="DB36" s="63"/>
      <c r="DC36" s="63"/>
      <c r="DD36" s="63"/>
      <c r="DE36" s="63"/>
      <c r="DF36" s="63"/>
      <c r="DG36" s="63"/>
      <c r="DH36" s="63"/>
      <c r="DI36" s="63"/>
      <c r="DJ36" s="63"/>
      <c r="DK36" s="63"/>
      <c r="DL36" s="63"/>
      <c r="DM36" s="63"/>
      <c r="DN36" s="63"/>
      <c r="DO36" s="62"/>
      <c r="DP36" s="62"/>
      <c r="DQ36" s="62"/>
      <c r="DR36" s="62"/>
      <c r="DS36" s="62"/>
      <c r="DT36" s="62"/>
    </row>
    <row r="37" spans="1:124" ht="13.5" customHeight="1" thickBot="1" x14ac:dyDescent="0.3">
      <c r="A37" s="62"/>
      <c r="B37" s="65" t="s">
        <v>113</v>
      </c>
      <c r="C37" s="66"/>
      <c r="D37" s="66"/>
      <c r="E37" s="66"/>
      <c r="F37" s="66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4"/>
      <c r="S37" s="62"/>
      <c r="T37" s="62"/>
      <c r="U37" s="62"/>
      <c r="V37" s="62"/>
      <c r="W37" s="62"/>
      <c r="X37" s="62"/>
      <c r="Y37" s="62"/>
      <c r="Z37" s="64"/>
      <c r="AA37" s="62"/>
      <c r="AB37" s="62"/>
      <c r="AC37" s="62"/>
      <c r="AD37" s="62"/>
      <c r="AE37" s="62"/>
      <c r="AF37" s="62"/>
      <c r="AG37" s="62"/>
      <c r="AH37" s="64"/>
      <c r="AI37" s="62"/>
      <c r="AJ37" s="62"/>
      <c r="AK37" s="62"/>
      <c r="AL37" s="62"/>
      <c r="AM37" s="62"/>
      <c r="AN37" s="62"/>
      <c r="AO37" s="62"/>
      <c r="AP37" s="64"/>
      <c r="AQ37" s="62"/>
      <c r="AR37" s="62"/>
      <c r="AS37" s="62"/>
      <c r="AT37" s="62"/>
      <c r="AU37" s="62"/>
      <c r="AV37" s="62"/>
      <c r="AW37" s="62"/>
      <c r="AX37" s="62"/>
      <c r="AY37" s="62"/>
      <c r="AZ37" s="62"/>
      <c r="BA37" s="62"/>
      <c r="BB37" s="64"/>
      <c r="BC37" s="62"/>
      <c r="BD37" s="62"/>
      <c r="BE37" s="62"/>
      <c r="BF37" s="62"/>
      <c r="BG37" s="62"/>
      <c r="BH37" s="62"/>
      <c r="BI37" s="62"/>
      <c r="BJ37" s="64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4"/>
      <c r="BW37" s="62"/>
      <c r="BX37" s="62"/>
      <c r="BY37" s="62"/>
      <c r="BZ37" s="62"/>
      <c r="CA37" s="62"/>
      <c r="CB37" s="62"/>
      <c r="CC37" s="62"/>
      <c r="CD37" s="64"/>
      <c r="CE37" s="62"/>
      <c r="CF37" s="62"/>
      <c r="CG37" s="62"/>
      <c r="CH37" s="62"/>
      <c r="CI37" s="62"/>
      <c r="CJ37" s="62"/>
      <c r="CK37" s="62"/>
      <c r="CL37" s="64"/>
      <c r="CM37" s="62"/>
      <c r="CN37" s="62"/>
      <c r="CO37" s="62"/>
      <c r="CP37" s="62"/>
      <c r="CQ37" s="62"/>
      <c r="CR37" s="62"/>
      <c r="CS37" s="62"/>
      <c r="CT37" s="62"/>
      <c r="CU37" s="62"/>
      <c r="CV37" s="62"/>
      <c r="CW37" s="62"/>
      <c r="CX37" s="64"/>
      <c r="CY37" s="62"/>
      <c r="CZ37" s="62"/>
      <c r="DA37" s="62"/>
      <c r="DB37" s="62"/>
      <c r="DC37" s="62"/>
      <c r="DD37" s="62"/>
      <c r="DE37" s="62"/>
      <c r="DF37" s="62"/>
      <c r="DG37" s="62"/>
      <c r="DH37" s="62"/>
      <c r="DI37" s="62"/>
      <c r="DJ37" s="62"/>
      <c r="DK37" s="62"/>
      <c r="DL37" s="62"/>
      <c r="DM37" s="62"/>
      <c r="DN37" s="62"/>
      <c r="DO37" s="62"/>
      <c r="DP37" s="62"/>
      <c r="DQ37" s="62"/>
      <c r="DR37" s="62"/>
      <c r="DS37" s="62"/>
      <c r="DT37" s="62"/>
    </row>
    <row r="38" spans="1:124" ht="13.5" customHeight="1" thickBot="1" x14ac:dyDescent="0.3">
      <c r="A38" s="62"/>
      <c r="B38" s="67" t="s">
        <v>114</v>
      </c>
      <c r="C38" s="66"/>
      <c r="D38" s="66"/>
      <c r="E38" s="66"/>
      <c r="F38" s="66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8"/>
      <c r="S38" s="62"/>
      <c r="T38" s="62"/>
      <c r="U38" s="62"/>
      <c r="V38" s="62"/>
      <c r="W38" s="62"/>
      <c r="X38" s="62"/>
      <c r="Y38" s="62"/>
      <c r="Z38" s="68"/>
      <c r="AA38" s="62"/>
      <c r="AB38" s="62"/>
      <c r="AC38" s="62"/>
      <c r="AD38" s="62"/>
      <c r="AE38" s="62"/>
      <c r="AF38" s="62"/>
      <c r="AG38" s="62"/>
      <c r="AH38" s="68"/>
      <c r="AI38" s="62"/>
      <c r="AJ38" s="62"/>
      <c r="AK38" s="62"/>
      <c r="AL38" s="62"/>
      <c r="AM38" s="62"/>
      <c r="AN38" s="62"/>
      <c r="AO38" s="62"/>
      <c r="AP38" s="68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8"/>
      <c r="BC38" s="62"/>
      <c r="BD38" s="62"/>
      <c r="BE38" s="62"/>
      <c r="BF38" s="62"/>
      <c r="BG38" s="62"/>
      <c r="BH38" s="62"/>
      <c r="BI38" s="62"/>
      <c r="BJ38" s="68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8"/>
      <c r="BW38" s="62"/>
      <c r="BX38" s="62"/>
      <c r="BY38" s="62"/>
      <c r="BZ38" s="62"/>
      <c r="CA38" s="62"/>
      <c r="CB38" s="62"/>
      <c r="CC38" s="62"/>
      <c r="CD38" s="68"/>
      <c r="CE38" s="62"/>
      <c r="CF38" s="62"/>
      <c r="CG38" s="62"/>
      <c r="CH38" s="62"/>
      <c r="CI38" s="62"/>
      <c r="CJ38" s="62"/>
      <c r="CK38" s="62"/>
      <c r="CL38" s="68"/>
      <c r="CM38" s="62"/>
      <c r="CN38" s="62"/>
      <c r="CO38" s="62"/>
      <c r="CP38" s="62"/>
      <c r="CQ38" s="62"/>
      <c r="CR38" s="62"/>
      <c r="CS38" s="62"/>
      <c r="CT38" s="62"/>
      <c r="CU38" s="62"/>
      <c r="CV38" s="62"/>
      <c r="CW38" s="62"/>
      <c r="CX38" s="68"/>
      <c r="CY38" s="62"/>
      <c r="CZ38" s="62"/>
      <c r="DA38" s="62"/>
      <c r="DB38" s="62"/>
      <c r="DC38" s="62"/>
      <c r="DD38" s="62"/>
      <c r="DE38" s="62"/>
      <c r="DF38" s="62"/>
      <c r="DG38" s="62"/>
      <c r="DH38" s="62"/>
      <c r="DI38" s="62"/>
      <c r="DJ38" s="62"/>
      <c r="DK38" s="62"/>
      <c r="DL38" s="62"/>
      <c r="DM38" s="62"/>
      <c r="DN38" s="62"/>
      <c r="DO38" s="62"/>
      <c r="DP38" s="62"/>
      <c r="DQ38" s="62"/>
      <c r="DR38" s="62"/>
      <c r="DS38" s="62"/>
      <c r="DT38" s="62"/>
    </row>
  </sheetData>
  <mergeCells count="100">
    <mergeCell ref="A1:DT1"/>
    <mergeCell ref="A2:A3"/>
    <mergeCell ref="B2:B3"/>
    <mergeCell ref="C2:E2"/>
    <mergeCell ref="G2:I2"/>
    <mergeCell ref="K2:M2"/>
    <mergeCell ref="O2:Q2"/>
    <mergeCell ref="DO2:DQ2"/>
    <mergeCell ref="DR2:DT2"/>
    <mergeCell ref="S2:U2"/>
    <mergeCell ref="AE2:AG2"/>
    <mergeCell ref="W2:Y2"/>
    <mergeCell ref="AA2:AC2"/>
    <mergeCell ref="AQ2:AS2"/>
    <mergeCell ref="AU2:AW2"/>
    <mergeCell ref="AY2:BA2"/>
    <mergeCell ref="BC2:BE2"/>
    <mergeCell ref="BW2:BY2"/>
    <mergeCell ref="CA2:CC2"/>
    <mergeCell ref="CQ2:CS2"/>
    <mergeCell ref="CY2:DA2"/>
    <mergeCell ref="CE2:CG2"/>
    <mergeCell ref="BO2:BQ2"/>
    <mergeCell ref="BS2:BU2"/>
    <mergeCell ref="A9:A21"/>
    <mergeCell ref="A23:A26"/>
    <mergeCell ref="A27:A29"/>
    <mergeCell ref="A30:A32"/>
    <mergeCell ref="DR4:DT4"/>
    <mergeCell ref="C5:E5"/>
    <mergeCell ref="G5:I5"/>
    <mergeCell ref="K5:M5"/>
    <mergeCell ref="O5:Q5"/>
    <mergeCell ref="DO5:DQ5"/>
    <mergeCell ref="DR5:DT5"/>
    <mergeCell ref="C4:E4"/>
    <mergeCell ref="G4:I4"/>
    <mergeCell ref="K4:M4"/>
    <mergeCell ref="O4:Q4"/>
    <mergeCell ref="DO4:DQ4"/>
    <mergeCell ref="S4:U4"/>
    <mergeCell ref="S5:U5"/>
    <mergeCell ref="W4:Y4"/>
    <mergeCell ref="AA4:AC4"/>
    <mergeCell ref="W5:Y5"/>
    <mergeCell ref="AA5:AC5"/>
    <mergeCell ref="AE5:AG5"/>
    <mergeCell ref="AI5:AK5"/>
    <mergeCell ref="AM5:AO5"/>
    <mergeCell ref="AI2:AK2"/>
    <mergeCell ref="AM2:AO2"/>
    <mergeCell ref="AE4:AG4"/>
    <mergeCell ref="AI4:AK4"/>
    <mergeCell ref="AM4:AO4"/>
    <mergeCell ref="AQ4:AS4"/>
    <mergeCell ref="AU4:AW4"/>
    <mergeCell ref="AY4:BA4"/>
    <mergeCell ref="BC4:BE4"/>
    <mergeCell ref="BG4:BI4"/>
    <mergeCell ref="AQ5:AS5"/>
    <mergeCell ref="AU5:AW5"/>
    <mergeCell ref="AY5:BA5"/>
    <mergeCell ref="BC5:BE5"/>
    <mergeCell ref="BG5:BI5"/>
    <mergeCell ref="BO4:BQ4"/>
    <mergeCell ref="BS4:BU4"/>
    <mergeCell ref="BO5:BQ5"/>
    <mergeCell ref="BS5:BU5"/>
    <mergeCell ref="BG2:BI2"/>
    <mergeCell ref="BK2:BM2"/>
    <mergeCell ref="BK4:BM4"/>
    <mergeCell ref="BK5:BM5"/>
    <mergeCell ref="BW5:BY5"/>
    <mergeCell ref="CA5:CC5"/>
    <mergeCell ref="CE5:CG5"/>
    <mergeCell ref="BW4:BY4"/>
    <mergeCell ref="CA4:CC4"/>
    <mergeCell ref="CE4:CG4"/>
    <mergeCell ref="CQ4:CS4"/>
    <mergeCell ref="CQ5:CS5"/>
    <mergeCell ref="CU2:CW2"/>
    <mergeCell ref="CU4:CW4"/>
    <mergeCell ref="CU5:CW5"/>
    <mergeCell ref="CI5:CK5"/>
    <mergeCell ref="CM5:CO5"/>
    <mergeCell ref="CI2:CK2"/>
    <mergeCell ref="CM2:CO2"/>
    <mergeCell ref="CI4:CK4"/>
    <mergeCell ref="CM4:CO4"/>
    <mergeCell ref="CY4:DA4"/>
    <mergeCell ref="CY5:DA5"/>
    <mergeCell ref="DC2:DE2"/>
    <mergeCell ref="DC4:DE4"/>
    <mergeCell ref="DC5:DE5"/>
    <mergeCell ref="DG2:DI2"/>
    <mergeCell ref="DG4:DI4"/>
    <mergeCell ref="DG5:DI5"/>
    <mergeCell ref="DK2:DM2"/>
    <mergeCell ref="DK4:DM4"/>
    <mergeCell ref="DK5:DM5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/>
  </sheetViews>
  <sheetFormatPr defaultColWidth="8.7109375" defaultRowHeight="13.5" customHeight="1" x14ac:dyDescent="0.25"/>
  <cols>
    <col min="1" max="1" width="7.85546875" bestFit="1" customWidth="1"/>
    <col min="2" max="2" width="6" bestFit="1" customWidth="1"/>
    <col min="3" max="3" width="10.140625" bestFit="1" customWidth="1"/>
    <col min="4" max="4" width="8.28515625" customWidth="1"/>
    <col min="5" max="5" width="11.140625" customWidth="1"/>
    <col min="6" max="6" width="7.28515625" bestFit="1" customWidth="1"/>
    <col min="7" max="7" width="31.28515625" customWidth="1"/>
    <col min="9" max="9" width="9.42578125" customWidth="1"/>
    <col min="10" max="10" width="12.140625" bestFit="1" customWidth="1"/>
    <col min="11" max="11" width="5.85546875" bestFit="1" customWidth="1"/>
    <col min="12" max="12" width="8.7109375" bestFit="1" customWidth="1"/>
    <col min="13" max="13" width="3.85546875" bestFit="1" customWidth="1"/>
    <col min="14" max="14" width="10.85546875" bestFit="1" customWidth="1"/>
    <col min="15" max="15" width="9.85546875" bestFit="1" customWidth="1"/>
    <col min="16" max="16" width="24.140625" bestFit="1" customWidth="1"/>
    <col min="17" max="17" width="10.140625" bestFit="1" customWidth="1"/>
    <col min="18" max="18" width="15" bestFit="1" customWidth="1"/>
    <col min="19" max="19" width="11.5703125" bestFit="1" customWidth="1"/>
    <col min="20" max="20" width="9.7109375" bestFit="1" customWidth="1"/>
    <col min="21" max="21" width="4.140625" bestFit="1" customWidth="1"/>
    <col min="22" max="22" width="15.42578125" bestFit="1" customWidth="1"/>
    <col min="23" max="23" width="7.85546875" bestFit="1" customWidth="1"/>
    <col min="25" max="25" width="7.42578125" bestFit="1" customWidth="1"/>
  </cols>
  <sheetData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/>
  </sheetViews>
  <sheetFormatPr defaultColWidth="16" defaultRowHeight="13.5" customHeight="1" x14ac:dyDescent="0.25"/>
  <cols>
    <col min="1" max="1" width="9.85546875" bestFit="1" customWidth="1"/>
    <col min="2" max="2" width="15.42578125" bestFit="1" customWidth="1"/>
    <col min="3" max="3" width="10" bestFit="1" customWidth="1"/>
    <col min="4" max="4" width="8.7109375" bestFit="1" customWidth="1"/>
    <col min="5" max="5" width="10.7109375" bestFit="1" customWidth="1"/>
    <col min="6" max="6" width="37.5703125" bestFit="1" customWidth="1"/>
    <col min="7" max="7" width="50.5703125" bestFit="1" customWidth="1"/>
    <col min="8" max="8" width="16.28515625" bestFit="1" customWidth="1"/>
    <col min="9" max="9" width="4.5703125" bestFit="1" customWidth="1"/>
    <col min="10" max="10" width="10.85546875" bestFit="1" customWidth="1"/>
    <col min="11" max="11" width="10" bestFit="1" customWidth="1"/>
    <col min="12" max="12" width="9.5703125" bestFit="1" customWidth="1"/>
    <col min="13" max="13" width="11.7109375" bestFit="1" customWidth="1"/>
    <col min="14" max="14" width="11.28515625" bestFit="1" customWidth="1"/>
    <col min="15" max="15" width="16.140625" bestFit="1" customWidth="1"/>
    <col min="16" max="16" width="9.85546875" bestFit="1" customWidth="1"/>
    <col min="17" max="17" width="10.5703125" bestFit="1" customWidth="1"/>
    <col min="18" max="18" width="8.140625" bestFit="1" customWidth="1"/>
  </cols>
  <sheetData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cols>
    <col min="1" max="2" width="8.28515625" customWidth="1"/>
    <col min="3" max="3" width="7.140625" customWidth="1"/>
    <col min="4" max="4" width="11.7109375" bestFit="1" customWidth="1"/>
    <col min="5" max="5" width="6.42578125" customWidth="1"/>
    <col min="6" max="6" width="8.28515625" customWidth="1"/>
    <col min="7" max="7" width="6.85546875" customWidth="1"/>
    <col min="8" max="8" width="17.7109375" customWidth="1"/>
    <col min="9" max="9" width="10" bestFit="1" customWidth="1"/>
    <col min="10" max="10" width="11.5703125" customWidth="1"/>
    <col min="11" max="11" width="11.28515625" customWidth="1"/>
    <col min="12" max="12" width="5" customWidth="1"/>
    <col min="13" max="13" width="10.140625" customWidth="1"/>
    <col min="14" max="14" width="4.42578125" customWidth="1"/>
    <col min="15" max="15" width="12.85546875" bestFit="1" customWidth="1"/>
    <col min="16" max="16" width="11.28515625" customWidth="1"/>
    <col min="17" max="17" width="11.28515625" bestFit="1" customWidth="1"/>
    <col min="18" max="18" width="8.28515625" customWidth="1"/>
    <col min="19" max="19" width="21" bestFit="1" customWidth="1"/>
    <col min="20" max="20" width="10.42578125" customWidth="1"/>
    <col min="21" max="21" width="6.5703125" bestFit="1" customWidth="1"/>
    <col min="22" max="22" width="10.140625" customWidth="1"/>
    <col min="23" max="23" width="8" customWidth="1"/>
    <col min="24" max="24" width="11.5703125" bestFit="1" customWidth="1"/>
    <col min="25" max="25" width="13.5703125" bestFit="1" customWidth="1"/>
    <col min="26" max="26" width="13.7109375" bestFit="1" customWidth="1"/>
    <col min="27" max="27" width="11.140625" bestFit="1" customWidth="1"/>
    <col min="28" max="28" width="4.7109375" customWidth="1"/>
    <col min="29" max="29" width="18.42578125" bestFit="1" customWidth="1"/>
    <col min="30" max="30" width="9.28515625" bestFit="1" customWidth="1"/>
    <col min="31" max="31" width="10.42578125" customWidth="1"/>
    <col min="32" max="32" width="8.85546875" customWidth="1"/>
  </cols>
  <sheetData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38"/>
  <sheetViews>
    <sheetView workbookViewId="0">
      <selection activeCell="N2" sqref="N2"/>
    </sheetView>
  </sheetViews>
  <sheetFormatPr defaultRowHeight="15" x14ac:dyDescent="0.25"/>
  <cols>
    <col min="1" max="1" width="2.7109375" customWidth="1"/>
    <col min="2" max="2" width="75" bestFit="1" customWidth="1"/>
    <col min="3" max="3" width="11.5703125" customWidth="1"/>
    <col min="4" max="4" width="11.42578125" customWidth="1"/>
    <col min="5" max="5" width="10.85546875" customWidth="1"/>
    <col min="6" max="6" width="4.140625" customWidth="1"/>
    <col min="7" max="7" width="11.28515625" customWidth="1"/>
    <col min="8" max="8" width="11.140625" customWidth="1"/>
    <col min="9" max="9" width="10.7109375" customWidth="1"/>
    <col min="10" max="10" width="3.7109375" customWidth="1"/>
    <col min="11" max="11" width="11.28515625" bestFit="1" customWidth="1"/>
    <col min="12" max="13" width="10" bestFit="1" customWidth="1"/>
    <col min="14" max="14" width="11.28515625" bestFit="1" customWidth="1"/>
    <col min="15" max="16" width="10" bestFit="1" customWidth="1"/>
  </cols>
  <sheetData>
    <row r="1" spans="1:16" ht="15.75" thickBot="1" x14ac:dyDescent="0.3">
      <c r="A1" s="111"/>
      <c r="B1" s="112"/>
      <c r="C1" s="112" t="s">
        <v>73</v>
      </c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3"/>
    </row>
    <row r="2" spans="1:16" ht="15.75" thickBot="1" x14ac:dyDescent="0.3">
      <c r="A2" s="110"/>
      <c r="B2" s="116" t="s">
        <v>74</v>
      </c>
      <c r="C2" s="141"/>
      <c r="D2" s="142">
        <v>43153</v>
      </c>
      <c r="E2" s="143"/>
      <c r="F2" s="110"/>
      <c r="G2" s="141"/>
      <c r="H2" s="142">
        <v>43154</v>
      </c>
      <c r="I2" s="143"/>
      <c r="J2" s="110"/>
      <c r="K2" s="144"/>
      <c r="L2" s="145" t="s">
        <v>75</v>
      </c>
      <c r="M2" s="146"/>
      <c r="N2" s="144"/>
      <c r="O2" s="145" t="s">
        <v>76</v>
      </c>
      <c r="P2" s="146"/>
    </row>
    <row r="3" spans="1:16" ht="15.75" thickBot="1" x14ac:dyDescent="0.3">
      <c r="A3" s="92"/>
      <c r="B3" s="92"/>
      <c r="C3" s="86" t="s">
        <v>77</v>
      </c>
      <c r="D3" s="86" t="s">
        <v>78</v>
      </c>
      <c r="E3" s="118" t="s">
        <v>79</v>
      </c>
      <c r="F3" s="110"/>
      <c r="G3" s="36" t="s">
        <v>77</v>
      </c>
      <c r="H3" s="34" t="s">
        <v>78</v>
      </c>
      <c r="I3" s="34" t="s">
        <v>79</v>
      </c>
      <c r="J3" s="110"/>
      <c r="K3" s="34" t="s">
        <v>77</v>
      </c>
      <c r="L3" s="34" t="s">
        <v>78</v>
      </c>
      <c r="M3" s="35" t="s">
        <v>79</v>
      </c>
      <c r="N3" s="34" t="s">
        <v>77</v>
      </c>
      <c r="O3" s="34" t="s">
        <v>78</v>
      </c>
      <c r="P3" s="34" t="s">
        <v>79</v>
      </c>
    </row>
    <row r="4" spans="1:16" ht="15.75" thickBot="1" x14ac:dyDescent="0.3">
      <c r="A4" s="37">
        <v>1</v>
      </c>
      <c r="B4" s="38" t="s">
        <v>80</v>
      </c>
      <c r="C4" s="122"/>
      <c r="D4" s="114" t="e">
        <v>#DIV/0!</v>
      </c>
      <c r="E4" s="115"/>
      <c r="F4" s="110"/>
      <c r="G4" s="127"/>
      <c r="H4" s="128">
        <v>0.20985691573926868</v>
      </c>
      <c r="I4" s="129"/>
      <c r="J4" s="110"/>
      <c r="K4" s="107"/>
      <c r="L4" s="108" t="e">
        <v>#DIV/0!</v>
      </c>
      <c r="M4" s="109"/>
      <c r="N4" s="107"/>
      <c r="O4" s="108">
        <v>0.89965316771169379</v>
      </c>
      <c r="P4" s="109"/>
    </row>
    <row r="5" spans="1:16" ht="16.5" customHeight="1" thickBot="1" x14ac:dyDescent="0.3">
      <c r="A5" s="37">
        <v>2</v>
      </c>
      <c r="B5" s="40" t="s">
        <v>81</v>
      </c>
      <c r="C5" s="119"/>
      <c r="D5" s="120" t="e">
        <v>#DIV/0!</v>
      </c>
      <c r="E5" s="121"/>
      <c r="F5" s="110"/>
      <c r="G5" s="130"/>
      <c r="H5" s="131">
        <v>0.23613595706618962</v>
      </c>
      <c r="I5" s="132"/>
      <c r="J5" s="110"/>
      <c r="K5" s="107"/>
      <c r="L5" s="108" t="e">
        <v>#DIV/0!</v>
      </c>
      <c r="M5" s="109"/>
      <c r="N5" s="107"/>
      <c r="O5" s="108">
        <v>0.93896045215599955</v>
      </c>
      <c r="P5" s="109"/>
    </row>
    <row r="6" spans="1:16" ht="15.75" thickBot="1" x14ac:dyDescent="0.3">
      <c r="A6" s="37">
        <v>3</v>
      </c>
      <c r="B6" s="40" t="s">
        <v>82</v>
      </c>
      <c r="C6" s="117" t="e">
        <v>#DIV/0!</v>
      </c>
      <c r="D6" s="117" t="e">
        <v>#DIV/0!</v>
      </c>
      <c r="E6" s="117" t="e">
        <v>#DIV/0!</v>
      </c>
      <c r="F6" s="110"/>
      <c r="G6" s="133">
        <v>0.49115044247787609</v>
      </c>
      <c r="H6" s="134">
        <v>0.58181818181818179</v>
      </c>
      <c r="I6" s="134">
        <v>-3.1609195402298854E-2</v>
      </c>
      <c r="J6" s="110"/>
      <c r="K6" s="42" t="e">
        <v>#DIV/0!</v>
      </c>
      <c r="L6" s="42" t="e">
        <v>#DIV/0!</v>
      </c>
      <c r="M6" s="42" t="e">
        <v>#DIV/0!</v>
      </c>
      <c r="N6" s="42">
        <v>0.93567037430513855</v>
      </c>
      <c r="O6" s="42">
        <v>0.89969622741031496</v>
      </c>
      <c r="P6" s="42">
        <v>0.88604291182498762</v>
      </c>
    </row>
    <row r="7" spans="1:16" ht="15.75" thickBot="1" x14ac:dyDescent="0.3">
      <c r="A7" s="37">
        <v>4</v>
      </c>
      <c r="B7" s="43" t="s">
        <v>83</v>
      </c>
      <c r="C7" s="41" t="e">
        <v>#DIV/0!</v>
      </c>
      <c r="D7" s="41" t="e">
        <v>#DIV/0!</v>
      </c>
      <c r="E7" s="41" t="e">
        <v>#DIV/0!</v>
      </c>
      <c r="F7" s="110"/>
      <c r="G7" s="133">
        <v>0.68518518518518523</v>
      </c>
      <c r="H7" s="134">
        <v>0.58181818181818179</v>
      </c>
      <c r="I7" s="134">
        <v>-3.2163742690058478E-2</v>
      </c>
      <c r="J7" s="110"/>
      <c r="K7" s="42" t="e">
        <v>#DIV/0!</v>
      </c>
      <c r="L7" s="42" t="e">
        <v>#DIV/0!</v>
      </c>
      <c r="M7" s="42" t="e">
        <v>#DIV/0!</v>
      </c>
      <c r="N7" s="42">
        <v>0.95251364215789103</v>
      </c>
      <c r="O7" s="42">
        <v>0.9248479694908267</v>
      </c>
      <c r="P7" s="42">
        <v>0.93321946275675316</v>
      </c>
    </row>
    <row r="8" spans="1:16" ht="15.75" thickBot="1" x14ac:dyDescent="0.3">
      <c r="A8" s="37">
        <v>5</v>
      </c>
      <c r="B8" s="43" t="s">
        <v>84</v>
      </c>
      <c r="C8" s="41" t="e">
        <v>#DIV/0!</v>
      </c>
      <c r="D8" s="41" t="e">
        <v>#DIV/0!</v>
      </c>
      <c r="E8" s="41" t="e">
        <v>#DIV/0!</v>
      </c>
      <c r="F8" s="110"/>
      <c r="G8" s="133">
        <v>0.49115044247787609</v>
      </c>
      <c r="H8" s="134">
        <v>0.58181818181818179</v>
      </c>
      <c r="I8" s="134">
        <v>-3.1609195402298854E-2</v>
      </c>
      <c r="J8" s="110"/>
      <c r="K8" s="42" t="e">
        <v>#DIV/0!</v>
      </c>
      <c r="L8" s="42" t="e">
        <v>#DIV/0!</v>
      </c>
      <c r="M8" s="42" t="e">
        <v>#DIV/0!</v>
      </c>
      <c r="N8" s="42">
        <v>0.99356499356499361</v>
      </c>
      <c r="O8" s="42">
        <v>0.99880952380952392</v>
      </c>
      <c r="P8" s="42">
        <v>0.9739490245923047</v>
      </c>
    </row>
    <row r="9" spans="1:16" ht="15.75" thickBot="1" x14ac:dyDescent="0.3">
      <c r="A9" s="93">
        <v>6</v>
      </c>
      <c r="B9" s="43" t="s">
        <v>85</v>
      </c>
      <c r="C9" s="44">
        <v>0</v>
      </c>
      <c r="D9" s="45">
        <v>0</v>
      </c>
      <c r="E9" s="45">
        <v>0</v>
      </c>
      <c r="F9" s="110"/>
      <c r="G9" s="135">
        <v>226</v>
      </c>
      <c r="H9" s="135">
        <v>55</v>
      </c>
      <c r="I9" s="135">
        <v>348</v>
      </c>
      <c r="J9" s="110"/>
      <c r="K9" s="46">
        <v>0</v>
      </c>
      <c r="L9" s="46">
        <v>0</v>
      </c>
      <c r="M9" s="46">
        <v>0</v>
      </c>
      <c r="N9" s="46">
        <v>876</v>
      </c>
      <c r="O9" s="46">
        <v>334</v>
      </c>
      <c r="P9" s="46">
        <v>2637</v>
      </c>
    </row>
    <row r="10" spans="1:16" ht="15.75" thickBot="1" x14ac:dyDescent="0.3">
      <c r="A10" s="94"/>
      <c r="B10" s="99" t="s">
        <v>86</v>
      </c>
      <c r="C10" s="48">
        <v>0</v>
      </c>
      <c r="D10" s="48">
        <v>0</v>
      </c>
      <c r="E10" s="48">
        <v>0</v>
      </c>
      <c r="F10" s="110"/>
      <c r="G10" s="136">
        <v>0</v>
      </c>
      <c r="H10" s="137">
        <v>0</v>
      </c>
      <c r="I10" s="137">
        <v>0</v>
      </c>
      <c r="J10" s="110"/>
      <c r="K10" s="49">
        <v>0</v>
      </c>
      <c r="L10" s="49">
        <v>0</v>
      </c>
      <c r="M10" s="49">
        <v>0</v>
      </c>
      <c r="N10" s="46">
        <v>220</v>
      </c>
      <c r="O10" s="46">
        <v>22</v>
      </c>
      <c r="P10" s="46">
        <v>0</v>
      </c>
    </row>
    <row r="11" spans="1:16" ht="15.75" thickBot="1" x14ac:dyDescent="0.3">
      <c r="A11" s="94"/>
      <c r="B11" s="99" t="s">
        <v>87</v>
      </c>
      <c r="C11" s="48">
        <v>0</v>
      </c>
      <c r="D11" s="48">
        <v>0</v>
      </c>
      <c r="E11" s="48">
        <v>0</v>
      </c>
      <c r="F11" s="110"/>
      <c r="G11" s="136">
        <v>18</v>
      </c>
      <c r="H11" s="137">
        <v>11</v>
      </c>
      <c r="I11" s="137">
        <v>0</v>
      </c>
      <c r="J11" s="110"/>
      <c r="K11" s="49">
        <v>0</v>
      </c>
      <c r="L11" s="49">
        <v>0</v>
      </c>
      <c r="M11" s="49">
        <v>0</v>
      </c>
      <c r="N11" s="46">
        <v>57</v>
      </c>
      <c r="O11" s="46">
        <v>36</v>
      </c>
      <c r="P11" s="46">
        <v>0</v>
      </c>
    </row>
    <row r="12" spans="1:16" ht="15.75" thickBot="1" x14ac:dyDescent="0.3">
      <c r="A12" s="94"/>
      <c r="B12" s="100" t="s">
        <v>88</v>
      </c>
      <c r="C12" s="48">
        <v>0</v>
      </c>
      <c r="D12" s="48">
        <v>0</v>
      </c>
      <c r="E12" s="48">
        <v>0</v>
      </c>
      <c r="F12" s="110"/>
      <c r="G12" s="136">
        <v>93</v>
      </c>
      <c r="H12" s="137">
        <v>11</v>
      </c>
      <c r="I12" s="137">
        <v>0</v>
      </c>
      <c r="J12" s="110"/>
      <c r="K12" s="49">
        <v>0</v>
      </c>
      <c r="L12" s="49">
        <v>0</v>
      </c>
      <c r="M12" s="49">
        <v>0</v>
      </c>
      <c r="N12" s="46">
        <v>592</v>
      </c>
      <c r="O12" s="46">
        <v>0</v>
      </c>
      <c r="P12" s="46">
        <v>0</v>
      </c>
    </row>
    <row r="13" spans="1:16" ht="15.75" thickBot="1" x14ac:dyDescent="0.3">
      <c r="A13" s="94"/>
      <c r="B13" s="99" t="s">
        <v>89</v>
      </c>
      <c r="C13" s="48">
        <v>0</v>
      </c>
      <c r="D13" s="48">
        <v>0</v>
      </c>
      <c r="E13" s="48">
        <v>0</v>
      </c>
      <c r="F13" s="110"/>
      <c r="G13" s="136">
        <v>0</v>
      </c>
      <c r="H13" s="137">
        <v>0</v>
      </c>
      <c r="I13" s="137">
        <v>0</v>
      </c>
      <c r="J13" s="110"/>
      <c r="K13" s="49">
        <v>0</v>
      </c>
      <c r="L13" s="49">
        <v>0</v>
      </c>
      <c r="M13" s="49">
        <v>0</v>
      </c>
      <c r="N13" s="46">
        <v>2</v>
      </c>
      <c r="O13" s="46">
        <v>0</v>
      </c>
      <c r="P13" s="46">
        <v>0</v>
      </c>
    </row>
    <row r="14" spans="1:16" ht="15.75" thickBot="1" x14ac:dyDescent="0.3">
      <c r="A14" s="94"/>
      <c r="B14" s="99" t="s">
        <v>90</v>
      </c>
      <c r="C14" s="48">
        <v>0</v>
      </c>
      <c r="D14" s="48">
        <v>0</v>
      </c>
      <c r="E14" s="48">
        <v>0</v>
      </c>
      <c r="F14" s="110"/>
      <c r="G14" s="136">
        <v>0</v>
      </c>
      <c r="H14" s="137">
        <v>0</v>
      </c>
      <c r="I14" s="137">
        <v>0</v>
      </c>
      <c r="J14" s="110"/>
      <c r="K14" s="49">
        <v>0</v>
      </c>
      <c r="L14" s="49">
        <v>0</v>
      </c>
      <c r="M14" s="49">
        <v>0</v>
      </c>
      <c r="N14" s="46">
        <v>0</v>
      </c>
      <c r="O14" s="46">
        <v>0</v>
      </c>
      <c r="P14" s="46">
        <v>0</v>
      </c>
    </row>
    <row r="15" spans="1:16" ht="15.75" thickBot="1" x14ac:dyDescent="0.3">
      <c r="A15" s="94"/>
      <c r="B15" s="99" t="s">
        <v>91</v>
      </c>
      <c r="C15" s="48">
        <v>0</v>
      </c>
      <c r="D15" s="48">
        <v>0</v>
      </c>
      <c r="E15" s="48">
        <v>0</v>
      </c>
      <c r="F15" s="110"/>
      <c r="G15" s="136">
        <v>0</v>
      </c>
      <c r="H15" s="137">
        <v>0</v>
      </c>
      <c r="I15" s="137">
        <v>0</v>
      </c>
      <c r="J15" s="110"/>
      <c r="K15" s="49">
        <v>0</v>
      </c>
      <c r="L15" s="49">
        <v>0</v>
      </c>
      <c r="M15" s="49">
        <v>0</v>
      </c>
      <c r="N15" s="46">
        <v>0</v>
      </c>
      <c r="O15" s="46">
        <v>0</v>
      </c>
      <c r="P15" s="46">
        <v>0</v>
      </c>
    </row>
    <row r="16" spans="1:16" ht="15.75" thickBot="1" x14ac:dyDescent="0.3">
      <c r="A16" s="94"/>
      <c r="B16" s="99" t="s">
        <v>92</v>
      </c>
      <c r="C16" s="48">
        <v>0</v>
      </c>
      <c r="D16" s="48">
        <v>0</v>
      </c>
      <c r="E16" s="48">
        <v>0</v>
      </c>
      <c r="F16" s="110"/>
      <c r="G16" s="136">
        <v>0</v>
      </c>
      <c r="H16" s="137">
        <v>0</v>
      </c>
      <c r="I16" s="137">
        <v>0</v>
      </c>
      <c r="J16" s="110"/>
      <c r="K16" s="49">
        <v>0</v>
      </c>
      <c r="L16" s="49">
        <v>0</v>
      </c>
      <c r="M16" s="49">
        <v>0</v>
      </c>
      <c r="N16" s="46">
        <v>0</v>
      </c>
      <c r="O16" s="46">
        <v>0</v>
      </c>
      <c r="P16" s="46">
        <v>0</v>
      </c>
    </row>
    <row r="17" spans="1:16" ht="15.75" thickBot="1" x14ac:dyDescent="0.3">
      <c r="A17" s="94"/>
      <c r="B17" s="101" t="s">
        <v>93</v>
      </c>
      <c r="C17" s="48">
        <v>0</v>
      </c>
      <c r="D17" s="48">
        <v>0</v>
      </c>
      <c r="E17" s="48">
        <v>0</v>
      </c>
      <c r="F17" s="110"/>
      <c r="G17" s="136">
        <v>0</v>
      </c>
      <c r="H17" s="137">
        <v>10</v>
      </c>
      <c r="I17" s="137">
        <v>331</v>
      </c>
      <c r="J17" s="110"/>
      <c r="K17" s="49">
        <v>0</v>
      </c>
      <c r="L17" s="49">
        <v>0</v>
      </c>
      <c r="M17" s="49">
        <v>0</v>
      </c>
      <c r="N17" s="46">
        <v>0</v>
      </c>
      <c r="O17" s="46">
        <v>249</v>
      </c>
      <c r="P17" s="46">
        <v>2349</v>
      </c>
    </row>
    <row r="18" spans="1:16" ht="15.75" thickBot="1" x14ac:dyDescent="0.3">
      <c r="A18" s="94"/>
      <c r="B18" s="101" t="s">
        <v>94</v>
      </c>
      <c r="C18" s="48">
        <v>0</v>
      </c>
      <c r="D18" s="48">
        <v>0</v>
      </c>
      <c r="E18" s="48">
        <v>0</v>
      </c>
      <c r="F18" s="110"/>
      <c r="G18" s="136">
        <v>0</v>
      </c>
      <c r="H18" s="137">
        <v>0</v>
      </c>
      <c r="I18" s="137">
        <v>17</v>
      </c>
      <c r="J18" s="110"/>
      <c r="K18" s="49">
        <v>0</v>
      </c>
      <c r="L18" s="49">
        <v>0</v>
      </c>
      <c r="M18" s="49">
        <v>0</v>
      </c>
      <c r="N18" s="46">
        <v>0</v>
      </c>
      <c r="O18" s="46">
        <v>26</v>
      </c>
      <c r="P18" s="46">
        <v>227</v>
      </c>
    </row>
    <row r="19" spans="1:16" ht="15.75" thickBot="1" x14ac:dyDescent="0.3">
      <c r="A19" s="94"/>
      <c r="B19" s="101" t="s">
        <v>95</v>
      </c>
      <c r="C19" s="48">
        <v>0</v>
      </c>
      <c r="D19" s="48">
        <v>0</v>
      </c>
      <c r="E19" s="48">
        <v>0</v>
      </c>
      <c r="F19" s="110"/>
      <c r="G19" s="136">
        <v>0</v>
      </c>
      <c r="H19" s="137">
        <v>0</v>
      </c>
      <c r="I19" s="137">
        <v>0</v>
      </c>
      <c r="J19" s="110"/>
      <c r="K19" s="49">
        <v>0</v>
      </c>
      <c r="L19" s="49">
        <v>0</v>
      </c>
      <c r="M19" s="49">
        <v>0</v>
      </c>
      <c r="N19" s="46">
        <v>0</v>
      </c>
      <c r="O19" s="46">
        <v>0</v>
      </c>
      <c r="P19" s="46">
        <v>61</v>
      </c>
    </row>
    <row r="20" spans="1:16" ht="15.75" thickBot="1" x14ac:dyDescent="0.3">
      <c r="A20" s="94"/>
      <c r="B20" s="101" t="s">
        <v>96</v>
      </c>
      <c r="C20" s="48">
        <v>0</v>
      </c>
      <c r="D20" s="48">
        <v>0</v>
      </c>
      <c r="E20" s="48">
        <v>0</v>
      </c>
      <c r="F20" s="110"/>
      <c r="G20" s="136">
        <v>0</v>
      </c>
      <c r="H20" s="137">
        <v>0</v>
      </c>
      <c r="I20" s="137">
        <v>1</v>
      </c>
      <c r="J20" s="110"/>
      <c r="K20" s="49">
        <v>0</v>
      </c>
      <c r="L20" s="49">
        <v>0</v>
      </c>
      <c r="M20" s="49">
        <v>0</v>
      </c>
      <c r="N20" s="46">
        <v>0</v>
      </c>
      <c r="O20" s="46">
        <v>0</v>
      </c>
      <c r="P20" s="46">
        <v>18</v>
      </c>
    </row>
    <row r="21" spans="1:16" ht="15.75" thickBot="1" x14ac:dyDescent="0.3">
      <c r="A21" s="95"/>
      <c r="B21" s="102" t="s">
        <v>97</v>
      </c>
      <c r="C21" s="48">
        <v>0</v>
      </c>
      <c r="D21" s="48">
        <v>0</v>
      </c>
      <c r="E21" s="48">
        <v>0</v>
      </c>
      <c r="F21" s="110"/>
      <c r="G21" s="136">
        <v>0</v>
      </c>
      <c r="H21" s="137">
        <v>0</v>
      </c>
      <c r="I21" s="137">
        <v>1</v>
      </c>
      <c r="J21" s="110"/>
      <c r="K21" s="49">
        <v>0</v>
      </c>
      <c r="L21" s="49">
        <v>0</v>
      </c>
      <c r="M21" s="49">
        <v>0</v>
      </c>
      <c r="N21" s="46">
        <v>0</v>
      </c>
      <c r="O21" s="46">
        <v>0</v>
      </c>
      <c r="P21" s="46">
        <v>58</v>
      </c>
    </row>
    <row r="22" spans="1:16" ht="15.75" thickBot="1" x14ac:dyDescent="0.3">
      <c r="A22" s="37">
        <v>7</v>
      </c>
      <c r="B22" s="38" t="s">
        <v>98</v>
      </c>
      <c r="C22" s="44">
        <v>0</v>
      </c>
      <c r="D22" s="44">
        <v>0</v>
      </c>
      <c r="E22" s="44">
        <v>0</v>
      </c>
      <c r="F22" s="110"/>
      <c r="G22" s="135">
        <v>115</v>
      </c>
      <c r="H22" s="138">
        <v>23</v>
      </c>
      <c r="I22" s="138">
        <v>359</v>
      </c>
      <c r="J22" s="110"/>
      <c r="K22" s="46">
        <v>0</v>
      </c>
      <c r="L22" s="46">
        <v>0</v>
      </c>
      <c r="M22" s="46">
        <v>0</v>
      </c>
      <c r="N22" s="46">
        <v>5</v>
      </c>
      <c r="O22" s="46">
        <v>1</v>
      </c>
      <c r="P22" s="46">
        <v>61</v>
      </c>
    </row>
    <row r="23" spans="1:16" ht="15.75" thickBot="1" x14ac:dyDescent="0.3">
      <c r="A23" s="93">
        <v>8</v>
      </c>
      <c r="B23" s="43" t="s">
        <v>99</v>
      </c>
      <c r="C23" s="48"/>
      <c r="D23" s="48"/>
      <c r="E23" s="48"/>
      <c r="F23" s="110"/>
      <c r="G23" s="136"/>
      <c r="H23" s="137"/>
      <c r="I23" s="137"/>
      <c r="J23" s="110"/>
      <c r="K23" s="49"/>
      <c r="L23" s="49"/>
      <c r="M23" s="49"/>
      <c r="N23" s="46"/>
      <c r="O23" s="46"/>
      <c r="P23" s="46"/>
    </row>
    <row r="24" spans="1:16" ht="15.75" thickBot="1" x14ac:dyDescent="0.3">
      <c r="A24" s="94"/>
      <c r="B24" s="99" t="s">
        <v>100</v>
      </c>
      <c r="C24" s="48">
        <v>0</v>
      </c>
      <c r="D24" s="48">
        <v>0</v>
      </c>
      <c r="E24" s="48">
        <v>0</v>
      </c>
      <c r="F24" s="110"/>
      <c r="G24" s="136">
        <v>0</v>
      </c>
      <c r="H24" s="137">
        <v>0</v>
      </c>
      <c r="I24" s="137">
        <v>0</v>
      </c>
      <c r="J24" s="110"/>
      <c r="K24" s="49">
        <v>0</v>
      </c>
      <c r="L24" s="49">
        <v>0</v>
      </c>
      <c r="M24" s="49">
        <v>6</v>
      </c>
      <c r="N24" s="46">
        <v>0</v>
      </c>
      <c r="O24" s="46">
        <v>0</v>
      </c>
      <c r="P24" s="46">
        <v>10</v>
      </c>
    </row>
    <row r="25" spans="1:16" ht="15.75" thickBot="1" x14ac:dyDescent="0.3">
      <c r="A25" s="94"/>
      <c r="B25" s="99" t="s">
        <v>101</v>
      </c>
      <c r="C25" s="48">
        <v>0</v>
      </c>
      <c r="D25" s="48">
        <v>0</v>
      </c>
      <c r="E25" s="48">
        <v>0</v>
      </c>
      <c r="F25" s="110"/>
      <c r="G25" s="136">
        <v>0</v>
      </c>
      <c r="H25" s="137">
        <v>0</v>
      </c>
      <c r="I25" s="137">
        <v>0</v>
      </c>
      <c r="J25" s="110"/>
      <c r="K25" s="49">
        <v>0</v>
      </c>
      <c r="L25" s="49">
        <v>0</v>
      </c>
      <c r="M25" s="49">
        <v>5</v>
      </c>
      <c r="N25" s="46">
        <v>0</v>
      </c>
      <c r="O25" s="46">
        <v>0</v>
      </c>
      <c r="P25" s="46">
        <v>9</v>
      </c>
    </row>
    <row r="26" spans="1:16" ht="15.75" thickBot="1" x14ac:dyDescent="0.3">
      <c r="A26" s="95"/>
      <c r="B26" s="103" t="s">
        <v>102</v>
      </c>
      <c r="C26" s="48">
        <v>0</v>
      </c>
      <c r="D26" s="48">
        <v>0</v>
      </c>
      <c r="E26" s="48">
        <v>0</v>
      </c>
      <c r="F26" s="110"/>
      <c r="G26" s="136">
        <v>0</v>
      </c>
      <c r="H26" s="137">
        <v>0</v>
      </c>
      <c r="I26" s="137">
        <v>0</v>
      </c>
      <c r="J26" s="110"/>
      <c r="K26" s="49">
        <v>4</v>
      </c>
      <c r="L26" s="49">
        <v>0</v>
      </c>
      <c r="M26" s="49">
        <v>0</v>
      </c>
      <c r="N26" s="46">
        <v>5</v>
      </c>
      <c r="O26" s="46">
        <v>0</v>
      </c>
      <c r="P26" s="46">
        <v>0</v>
      </c>
    </row>
    <row r="27" spans="1:16" ht="15.75" thickBot="1" x14ac:dyDescent="0.3">
      <c r="A27" s="93">
        <v>9</v>
      </c>
      <c r="B27" s="69" t="s">
        <v>103</v>
      </c>
      <c r="C27" s="44">
        <v>0</v>
      </c>
      <c r="D27" s="44">
        <v>0</v>
      </c>
      <c r="E27" s="44">
        <v>0</v>
      </c>
      <c r="F27" s="110"/>
      <c r="G27" s="135">
        <v>115</v>
      </c>
      <c r="H27" s="138">
        <v>23</v>
      </c>
      <c r="I27" s="138">
        <v>359</v>
      </c>
      <c r="J27" s="110"/>
      <c r="K27" s="49">
        <v>0</v>
      </c>
      <c r="L27" s="49">
        <v>0</v>
      </c>
      <c r="M27" s="49">
        <v>0</v>
      </c>
      <c r="N27" s="46">
        <v>5</v>
      </c>
      <c r="O27" s="46">
        <v>1</v>
      </c>
      <c r="P27" s="46">
        <v>61</v>
      </c>
    </row>
    <row r="28" spans="1:16" ht="15.75" thickBot="1" x14ac:dyDescent="0.3">
      <c r="A28" s="94"/>
      <c r="B28" s="70" t="s">
        <v>104</v>
      </c>
      <c r="C28" s="48">
        <v>0</v>
      </c>
      <c r="D28" s="48">
        <v>0</v>
      </c>
      <c r="E28" s="48">
        <v>0</v>
      </c>
      <c r="F28" s="110"/>
      <c r="G28" s="136">
        <v>64</v>
      </c>
      <c r="H28" s="137">
        <v>0</v>
      </c>
      <c r="I28" s="137">
        <v>6</v>
      </c>
      <c r="J28" s="110"/>
      <c r="K28" s="49">
        <v>0</v>
      </c>
      <c r="L28" s="49">
        <v>0</v>
      </c>
      <c r="M28" s="49">
        <v>0</v>
      </c>
      <c r="N28" s="46">
        <v>0</v>
      </c>
      <c r="O28" s="46">
        <v>0</v>
      </c>
      <c r="P28" s="46">
        <v>29</v>
      </c>
    </row>
    <row r="29" spans="1:16" ht="15.75" thickBot="1" x14ac:dyDescent="0.3">
      <c r="A29" s="95"/>
      <c r="B29" s="70" t="s">
        <v>105</v>
      </c>
      <c r="C29" s="48">
        <v>0</v>
      </c>
      <c r="D29" s="48">
        <v>0</v>
      </c>
      <c r="E29" s="48">
        <v>0</v>
      </c>
      <c r="F29" s="110"/>
      <c r="G29" s="136">
        <v>51</v>
      </c>
      <c r="H29" s="137">
        <v>23</v>
      </c>
      <c r="I29" s="137">
        <v>353</v>
      </c>
      <c r="J29" s="110"/>
      <c r="K29" s="49">
        <v>0</v>
      </c>
      <c r="L29" s="49">
        <v>0</v>
      </c>
      <c r="M29" s="49">
        <v>0</v>
      </c>
      <c r="N29" s="46">
        <v>5</v>
      </c>
      <c r="O29" s="46">
        <v>1</v>
      </c>
      <c r="P29" s="46">
        <v>32</v>
      </c>
    </row>
    <row r="30" spans="1:16" ht="15.75" thickBot="1" x14ac:dyDescent="0.3">
      <c r="A30" s="96">
        <v>10</v>
      </c>
      <c r="B30" s="71" t="s">
        <v>106</v>
      </c>
      <c r="C30" s="48">
        <v>0</v>
      </c>
      <c r="D30" s="48">
        <v>0</v>
      </c>
      <c r="E30" s="44">
        <v>0</v>
      </c>
      <c r="F30" s="110"/>
      <c r="G30" s="136">
        <v>64</v>
      </c>
      <c r="H30" s="137">
        <v>0</v>
      </c>
      <c r="I30" s="138">
        <v>6</v>
      </c>
      <c r="J30" s="110"/>
      <c r="K30" s="49">
        <v>0</v>
      </c>
      <c r="L30" s="49">
        <v>0</v>
      </c>
      <c r="M30" s="49">
        <v>0</v>
      </c>
      <c r="N30" s="46">
        <v>41</v>
      </c>
      <c r="O30" s="46">
        <v>42</v>
      </c>
      <c r="P30" s="46">
        <v>177</v>
      </c>
    </row>
    <row r="31" spans="1:16" ht="15.75" thickBot="1" x14ac:dyDescent="0.3">
      <c r="A31" s="97"/>
      <c r="B31" s="54" t="s">
        <v>107</v>
      </c>
      <c r="C31" s="55" t="e">
        <v>#DIV/0!</v>
      </c>
      <c r="D31" s="55" t="e">
        <v>#DIV/0!</v>
      </c>
      <c r="E31" s="55" t="e">
        <v>#DIV/0!</v>
      </c>
      <c r="F31" s="110"/>
      <c r="G31" s="139">
        <v>0</v>
      </c>
      <c r="H31" s="140" t="e">
        <v>#DIV/0!</v>
      </c>
      <c r="I31" s="140">
        <v>0</v>
      </c>
      <c r="J31" s="110"/>
      <c r="K31" s="56" t="e">
        <v>#DIV/0!</v>
      </c>
      <c r="L31" s="56" t="e">
        <v>#DIV/0!</v>
      </c>
      <c r="M31" s="56" t="e">
        <v>#DIV/0!</v>
      </c>
      <c r="N31" s="42">
        <v>1</v>
      </c>
      <c r="O31" s="42" t="e">
        <v>#DIV/0!</v>
      </c>
      <c r="P31" s="42">
        <v>0.546875</v>
      </c>
    </row>
    <row r="32" spans="1:16" ht="15.75" thickBot="1" x14ac:dyDescent="0.3">
      <c r="A32" s="98"/>
      <c r="B32" s="57" t="s">
        <v>109</v>
      </c>
      <c r="C32" s="55" t="e">
        <v>#DIV/0!</v>
      </c>
      <c r="D32" s="55" t="e">
        <v>#DIV/0!</v>
      </c>
      <c r="E32" s="55" t="e">
        <v>#DIV/0!</v>
      </c>
      <c r="F32" s="110"/>
      <c r="G32" s="139">
        <v>0.7168141592920354</v>
      </c>
      <c r="H32" s="140">
        <v>1</v>
      </c>
      <c r="I32" s="140">
        <v>0.98275862068965514</v>
      </c>
      <c r="J32" s="110"/>
      <c r="K32" s="56" t="e">
        <v>#DIV/0!</v>
      </c>
      <c r="L32" s="56" t="e">
        <v>#DIV/0!</v>
      </c>
      <c r="M32" s="56" t="e">
        <v>#DIV/0!</v>
      </c>
      <c r="N32" s="42">
        <v>1</v>
      </c>
      <c r="O32" s="42">
        <v>1</v>
      </c>
      <c r="P32" s="42">
        <v>0.97534013605442182</v>
      </c>
    </row>
    <row r="33" spans="1:16" ht="15.75" thickBot="1" x14ac:dyDescent="0.3">
      <c r="A33" s="91">
        <v>11</v>
      </c>
      <c r="B33" s="59" t="s">
        <v>110</v>
      </c>
      <c r="C33" s="41" t="e">
        <v>#DIV/0!</v>
      </c>
      <c r="D33" s="41" t="e">
        <v>#DIV/0!</v>
      </c>
      <c r="E33" s="41" t="e">
        <v>#DIV/0!</v>
      </c>
      <c r="F33" s="110"/>
      <c r="G33" s="133">
        <v>7.9646017699115043E-2</v>
      </c>
      <c r="H33" s="134">
        <v>0.2</v>
      </c>
      <c r="I33" s="134">
        <v>4.8850574712643681E-2</v>
      </c>
      <c r="J33" s="110"/>
      <c r="K33" s="56" t="e">
        <v>#DIV/0!</v>
      </c>
      <c r="L33" s="56" t="e">
        <v>#DIV/0!</v>
      </c>
      <c r="M33" s="56" t="e">
        <v>#DIV/0!</v>
      </c>
      <c r="N33" s="42">
        <v>4.8328123177451832E-2</v>
      </c>
      <c r="O33" s="42">
        <v>8.4219858156028365E-2</v>
      </c>
      <c r="P33" s="42">
        <v>9.0241396319591452E-2</v>
      </c>
    </row>
    <row r="34" spans="1:16" ht="15.75" thickBot="1" x14ac:dyDescent="0.3">
      <c r="A34" s="37">
        <v>12</v>
      </c>
      <c r="B34" s="40" t="s">
        <v>111</v>
      </c>
      <c r="C34" s="44">
        <v>0</v>
      </c>
      <c r="D34" s="44">
        <v>0</v>
      </c>
      <c r="E34" s="44">
        <v>0</v>
      </c>
      <c r="F34" s="110"/>
      <c r="G34" s="135">
        <v>0</v>
      </c>
      <c r="H34" s="138">
        <v>0</v>
      </c>
      <c r="I34" s="138">
        <v>0</v>
      </c>
      <c r="J34" s="110"/>
      <c r="K34" s="46">
        <v>0</v>
      </c>
      <c r="L34" s="46">
        <v>0</v>
      </c>
      <c r="M34" s="46">
        <v>0</v>
      </c>
      <c r="N34" s="46">
        <v>0</v>
      </c>
      <c r="O34" s="46">
        <v>0</v>
      </c>
      <c r="P34" s="46">
        <v>0</v>
      </c>
    </row>
    <row r="35" spans="1:16" ht="15.75" thickBot="1" x14ac:dyDescent="0.3">
      <c r="A35" s="60">
        <v>13</v>
      </c>
      <c r="B35" s="61" t="s">
        <v>112</v>
      </c>
      <c r="C35" s="44">
        <v>47</v>
      </c>
      <c r="D35" s="44">
        <v>0</v>
      </c>
      <c r="E35" s="44">
        <v>0</v>
      </c>
      <c r="F35" s="92"/>
      <c r="G35" s="135">
        <v>47</v>
      </c>
      <c r="H35" s="138">
        <v>0</v>
      </c>
      <c r="I35" s="138">
        <v>0</v>
      </c>
      <c r="J35" s="92"/>
      <c r="K35" s="44">
        <v>204</v>
      </c>
      <c r="L35" s="44">
        <v>18</v>
      </c>
      <c r="M35" s="44">
        <v>0</v>
      </c>
      <c r="N35" s="46">
        <v>407</v>
      </c>
      <c r="O35" s="46">
        <v>27</v>
      </c>
      <c r="P35" s="46">
        <v>0</v>
      </c>
    </row>
    <row r="36" spans="1:16" ht="15.75" thickBot="1" x14ac:dyDescent="0.3">
      <c r="A36" s="104"/>
      <c r="B36" s="104"/>
    </row>
    <row r="37" spans="1:16" ht="15.75" thickBot="1" x14ac:dyDescent="0.3">
      <c r="A37" s="104"/>
      <c r="B37" s="105" t="s">
        <v>113</v>
      </c>
    </row>
    <row r="38" spans="1:16" ht="15.75" thickBot="1" x14ac:dyDescent="0.3">
      <c r="A38" s="104"/>
      <c r="B38" s="106" t="s">
        <v>114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32"/>
  <sheetViews>
    <sheetView workbookViewId="0">
      <selection sqref="A1:A32"/>
    </sheetView>
  </sheetViews>
  <sheetFormatPr defaultRowHeight="15" x14ac:dyDescent="0.25"/>
  <sheetData>
    <row r="1" spans="1:1" x14ac:dyDescent="0.25">
      <c r="A1" s="2" t="s">
        <v>115</v>
      </c>
    </row>
    <row r="2" spans="1:1" x14ac:dyDescent="0.25">
      <c r="A2" s="2" t="s">
        <v>116</v>
      </c>
    </row>
    <row r="3" spans="1:1" x14ac:dyDescent="0.25">
      <c r="A3" s="2" t="s">
        <v>117</v>
      </c>
    </row>
    <row r="4" spans="1:1" x14ac:dyDescent="0.25">
      <c r="A4" s="2" t="s">
        <v>118</v>
      </c>
    </row>
    <row r="5" spans="1:1" x14ac:dyDescent="0.25">
      <c r="A5" s="2" t="s">
        <v>119</v>
      </c>
    </row>
    <row r="6" spans="1:1" x14ac:dyDescent="0.25">
      <c r="A6" s="2" t="s">
        <v>47</v>
      </c>
    </row>
    <row r="7" spans="1:1" x14ac:dyDescent="0.25">
      <c r="A7" s="2" t="s">
        <v>309</v>
      </c>
    </row>
    <row r="8" spans="1:1" x14ac:dyDescent="0.25">
      <c r="A8" s="2" t="s">
        <v>120</v>
      </c>
    </row>
    <row r="9" spans="1:1" x14ac:dyDescent="0.25">
      <c r="A9" s="2" t="s">
        <v>121</v>
      </c>
    </row>
    <row r="10" spans="1:1" x14ac:dyDescent="0.25">
      <c r="A10" s="2" t="s">
        <v>122</v>
      </c>
    </row>
    <row r="11" spans="1:1" x14ac:dyDescent="0.25">
      <c r="A11" s="2" t="s">
        <v>123</v>
      </c>
    </row>
    <row r="12" spans="1:1" x14ac:dyDescent="0.25">
      <c r="A12" s="2" t="s">
        <v>124</v>
      </c>
    </row>
    <row r="13" spans="1:1" x14ac:dyDescent="0.25">
      <c r="A13" s="2" t="s">
        <v>125</v>
      </c>
    </row>
    <row r="14" spans="1:1" x14ac:dyDescent="0.25">
      <c r="A14" s="2" t="s">
        <v>126</v>
      </c>
    </row>
    <row r="15" spans="1:1" x14ac:dyDescent="0.25">
      <c r="A15" s="2" t="s">
        <v>287</v>
      </c>
    </row>
    <row r="16" spans="1:1" x14ac:dyDescent="0.25">
      <c r="A16" s="2" t="s">
        <v>274</v>
      </c>
    </row>
    <row r="17" spans="1:1" x14ac:dyDescent="0.25">
      <c r="A17" s="2" t="s">
        <v>310</v>
      </c>
    </row>
    <row r="18" spans="1:1" x14ac:dyDescent="0.25">
      <c r="A18" s="2" t="s">
        <v>276</v>
      </c>
    </row>
    <row r="19" spans="1:1" x14ac:dyDescent="0.25">
      <c r="A19" s="2" t="s">
        <v>277</v>
      </c>
    </row>
    <row r="20" spans="1:1" x14ac:dyDescent="0.25">
      <c r="A20" s="2" t="s">
        <v>20</v>
      </c>
    </row>
    <row r="21" spans="1:1" x14ac:dyDescent="0.25">
      <c r="A21" s="2" t="s">
        <v>278</v>
      </c>
    </row>
    <row r="22" spans="1:1" x14ac:dyDescent="0.25">
      <c r="A22" s="2" t="s">
        <v>279</v>
      </c>
    </row>
    <row r="23" spans="1:1" x14ac:dyDescent="0.25">
      <c r="A23" s="2" t="s">
        <v>280</v>
      </c>
    </row>
    <row r="24" spans="1:1" x14ac:dyDescent="0.25">
      <c r="A24" s="2" t="s">
        <v>21</v>
      </c>
    </row>
    <row r="25" spans="1:1" x14ac:dyDescent="0.25">
      <c r="A25" s="2" t="s">
        <v>281</v>
      </c>
    </row>
    <row r="26" spans="1:1" x14ac:dyDescent="0.25">
      <c r="A26" s="2" t="s">
        <v>282</v>
      </c>
    </row>
    <row r="27" spans="1:1" x14ac:dyDescent="0.25">
      <c r="A27" s="2" t="s">
        <v>283</v>
      </c>
    </row>
    <row r="28" spans="1:1" x14ac:dyDescent="0.25">
      <c r="A28" s="2" t="s">
        <v>284</v>
      </c>
    </row>
    <row r="29" spans="1:1" x14ac:dyDescent="0.25">
      <c r="A29" s="2" t="s">
        <v>285</v>
      </c>
    </row>
    <row r="30" spans="1:1" x14ac:dyDescent="0.25">
      <c r="A30" s="2" t="s">
        <v>286</v>
      </c>
    </row>
    <row r="31" spans="1:1" x14ac:dyDescent="0.25">
      <c r="A31" s="2" t="s">
        <v>127</v>
      </c>
    </row>
    <row r="32" spans="1:1" x14ac:dyDescent="0.25">
      <c r="A32" s="2" t="s">
        <v>289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Steps</vt:lpstr>
      <vt:lpstr>Macro</vt:lpstr>
      <vt:lpstr>Mapping</vt:lpstr>
      <vt:lpstr>DeleteStrikeThroughValues</vt:lpstr>
      <vt:lpstr>Processed Data</vt:lpstr>
      <vt:lpstr>Mail</vt:lpstr>
      <vt:lpstr>PIVOT</vt:lpstr>
      <vt:lpstr>EOD Report</vt:lpstr>
      <vt:lpstr>Outstanding Trades</vt:lpstr>
      <vt:lpstr>Brokers Alleged Trades</vt:lpstr>
      <vt:lpstr>OutPut</vt:lpstr>
      <vt:lpstr>EOD Template</vt:lpstr>
      <vt:lpstr>Strikeout_Deleted</vt:lpstr>
      <vt:lpstr>Sheet1</vt:lpstr>
    </vt:vector>
  </TitlesOfParts>
  <Company>Millennium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Swapnil Kulkarni</cp:lastModifiedBy>
  <cp:lastPrinted>2016-08-26T13:51:32Z</cp:lastPrinted>
  <dcterms:created xsi:type="dcterms:W3CDTF">2016-07-05T11:31:27Z</dcterms:created>
  <dcterms:modified xsi:type="dcterms:W3CDTF">2018-03-23T11:45:07Z</dcterms:modified>
</cp:coreProperties>
</file>