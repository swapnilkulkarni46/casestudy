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00000000-0000-0000-0000-000000000000}"/>
  <workbookPr codeName="ThisWorkbook"/>
  <bookViews>
    <workbookView xWindow="480" yWindow="90" windowWidth="16800" windowHeight="6675" tabRatio="807" firstSheet="1" activeTab="4"/>
  </bookViews>
  <sheets>
    <sheet name="Steps" sheetId="2" r:id="rId1"/>
    <sheet name="Macro" sheetId="1" r:id="rId2"/>
    <sheet name="Mapping" sheetId="8" r:id="rId3"/>
    <sheet name="DeleteStrikeThroughValues" sheetId="3" r:id="rId4"/>
    <sheet name="Processed Data" sheetId="6" r:id="rId5"/>
    <sheet name="Mail" sheetId="7" r:id="rId6"/>
    <sheet name="PIVOT" sheetId="5" r:id="rId7"/>
    <sheet name="EOD Report" sheetId="10" r:id="rId8"/>
    <sheet name="Outstanding Trades" sheetId="11" r:id="rId9"/>
    <sheet name="Brokers Alleged Trades" sheetId="12" r:id="rId10"/>
    <sheet name="OutPut" sheetId="9" r:id="rId11"/>
    <sheet name="EOD Template" sheetId="14" r:id="rId12"/>
    <sheet name="Strikeout_Deleted" sheetId="15" r:id="rId13"/>
    <sheet name="Sheet1" sheetId="16" r:id="rId14"/>
  </sheets>
  <functionGroups builtInGroupCount="17"/>
  <definedNames>
    <definedName name="_xlnm._FilterDatabase" localSheetId="9" hidden="1">'Brokers Alleged Trades'!$A$1:$M$9</definedName>
    <definedName name="_xlnm._FilterDatabase" localSheetId="3" hidden="1">DeleteStrikeThroughValues!$A$1:$AK$656</definedName>
    <definedName name="_xlnm._FilterDatabase" localSheetId="5" hidden="1">Mail!$A$1:$AF$446</definedName>
    <definedName name="_xlnm._FilterDatabase" localSheetId="8" hidden="1">'Outstanding Trades'!$A$1:$P$7</definedName>
    <definedName name="_xlnm._FilterDatabase" localSheetId="6" hidden="1">PIVOT!$A$2:$A$8</definedName>
    <definedName name="_xlnm._FilterDatabase" localSheetId="4" hidden="1">'Processed Data'!$A$1:$AF$447</definedName>
    <definedName name="_MailAutoSig" localSheetId="9">'Brokers Alleged Trades'!#REF!</definedName>
  </definedNames>
  <calcPr calcId="144525"/>
  <pivotCaches>
    <pivotCache cacheId="0" r:id="rId15"/>
  </pivotCaches>
</workbook>
</file>

<file path=xl/calcChain.xml><?xml version="1.0" encoding="utf-8"?>
<calcChain xmlns="http://schemas.openxmlformats.org/spreadsheetml/2006/main">
  <c r="I2" i="3" l="1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DK2" i="10" l="1"/>
  <c r="DG2" i="10"/>
  <c r="DC2" i="10"/>
  <c r="CY2" i="10"/>
  <c r="CU2" i="10"/>
  <c r="CQ2" i="10"/>
  <c r="CM2" i="10"/>
  <c r="CI2" i="10"/>
  <c r="CE2" i="10"/>
  <c r="CA2" i="10"/>
  <c r="BW2" i="10"/>
  <c r="BS2" i="10"/>
  <c r="BO2" i="10"/>
  <c r="BK2" i="10"/>
  <c r="BG2" i="10"/>
  <c r="BC2" i="10"/>
  <c r="AY2" i="10"/>
  <c r="AU2" i="10"/>
  <c r="AQ2" i="10"/>
  <c r="AM2" i="10"/>
  <c r="AI2" i="10"/>
  <c r="AE2" i="10"/>
  <c r="AA2" i="10"/>
  <c r="W2" i="10"/>
  <c r="S2" i="10"/>
  <c r="O2" i="10"/>
  <c r="K2" i="10"/>
  <c r="G2" i="10"/>
  <c r="C2" i="10"/>
  <c r="BY27" i="10" l="1"/>
  <c r="DQ35" i="10" l="1"/>
  <c r="DP35" i="10"/>
  <c r="DQ30" i="10"/>
  <c r="DP30" i="10"/>
  <c r="DQ29" i="10"/>
  <c r="DP29" i="10"/>
  <c r="DQ28" i="10"/>
  <c r="DP28" i="10"/>
  <c r="DQ26" i="10"/>
  <c r="DP26" i="10"/>
  <c r="DQ25" i="10"/>
  <c r="DP25" i="10"/>
  <c r="DQ24" i="10"/>
  <c r="DP24" i="10"/>
  <c r="DQ21" i="10"/>
  <c r="DP21" i="10"/>
  <c r="DQ20" i="10"/>
  <c r="DP20" i="10"/>
  <c r="DQ19" i="10"/>
  <c r="DP19" i="10"/>
  <c r="DQ18" i="10"/>
  <c r="DP18" i="10"/>
  <c r="DQ17" i="10"/>
  <c r="DP17" i="10"/>
  <c r="DQ12" i="10"/>
  <c r="DP12" i="10"/>
  <c r="DQ11" i="10"/>
  <c r="DP11" i="10"/>
  <c r="DQ10" i="10"/>
  <c r="DP10" i="10"/>
  <c r="DO30" i="10"/>
  <c r="DO29" i="10"/>
  <c r="DO28" i="10"/>
  <c r="DO26" i="10"/>
  <c r="DO25" i="10"/>
  <c r="DO24" i="10"/>
  <c r="DO21" i="10"/>
  <c r="DO20" i="10"/>
  <c r="DO19" i="10"/>
  <c r="DO18" i="10"/>
  <c r="DO17" i="10"/>
  <c r="DO12" i="10"/>
  <c r="DO11" i="10"/>
  <c r="DO10" i="10"/>
  <c r="DM9" i="10"/>
  <c r="DK27" i="10"/>
  <c r="DK22" i="10" s="1"/>
  <c r="DK9" i="10" s="1"/>
  <c r="DL27" i="10"/>
  <c r="DL22" i="10" s="1"/>
  <c r="DL9" i="10" s="1"/>
  <c r="DM27" i="10"/>
  <c r="DM22" i="10" s="1"/>
  <c r="DK31" i="10"/>
  <c r="DL31" i="10"/>
  <c r="DM31" i="10"/>
  <c r="DM32" i="10"/>
  <c r="DM7" i="10" l="1"/>
  <c r="DK5" i="10"/>
  <c r="DK7" i="10"/>
  <c r="DK32" i="10"/>
  <c r="DK4" i="10"/>
  <c r="DK6" i="10"/>
  <c r="DK8" i="10"/>
  <c r="DK33" i="10"/>
  <c r="DL6" i="10"/>
  <c r="DL8" i="10"/>
  <c r="DL33" i="10"/>
  <c r="DL7" i="10"/>
  <c r="DL32" i="10"/>
  <c r="DM33" i="10"/>
  <c r="DM8" i="10"/>
  <c r="DM6" i="10"/>
  <c r="DO35" i="10"/>
  <c r="DI31" i="10" l="1"/>
  <c r="DH31" i="10"/>
  <c r="DG31" i="10"/>
  <c r="DI27" i="10"/>
  <c r="DI22" i="10" s="1"/>
  <c r="DH27" i="10"/>
  <c r="DH22" i="10" s="1"/>
  <c r="DH9" i="10" s="1"/>
  <c r="DG27" i="10"/>
  <c r="DG22" i="10" s="1"/>
  <c r="DG9" i="10" s="1"/>
  <c r="DG33" i="10" s="1"/>
  <c r="DI9" i="10"/>
  <c r="DI33" i="10" s="1"/>
  <c r="DE31" i="10"/>
  <c r="DD31" i="10"/>
  <c r="DC31" i="10"/>
  <c r="DE27" i="10"/>
  <c r="DE22" i="10" s="1"/>
  <c r="DD27" i="10"/>
  <c r="DC27" i="10"/>
  <c r="DE9" i="10"/>
  <c r="DE33" i="10" s="1"/>
  <c r="DA31" i="10"/>
  <c r="CZ31" i="10"/>
  <c r="CY31" i="10"/>
  <c r="DA27" i="10"/>
  <c r="DA22" i="10" s="1"/>
  <c r="CZ27" i="10"/>
  <c r="CZ22" i="10" s="1"/>
  <c r="CZ9" i="10" s="1"/>
  <c r="CY27" i="10"/>
  <c r="CY22" i="10" s="1"/>
  <c r="CY9" i="10" s="1"/>
  <c r="DA9" i="10"/>
  <c r="DA33" i="10" s="1"/>
  <c r="CW31" i="10"/>
  <c r="DQ31" i="10" s="1"/>
  <c r="CV31" i="10"/>
  <c r="DP31" i="10" s="1"/>
  <c r="CU31" i="10"/>
  <c r="DO31" i="10" s="1"/>
  <c r="CW27" i="10"/>
  <c r="CV27" i="10"/>
  <c r="CU27" i="10"/>
  <c r="CW9" i="10"/>
  <c r="CS31" i="10"/>
  <c r="CR31" i="10"/>
  <c r="CQ31" i="10"/>
  <c r="CS27" i="10"/>
  <c r="CS22" i="10" s="1"/>
  <c r="CR27" i="10"/>
  <c r="CQ27" i="10"/>
  <c r="CQ22" i="10" s="1"/>
  <c r="CQ9" i="10" s="1"/>
  <c r="CR22" i="10"/>
  <c r="CR9" i="10" s="1"/>
  <c r="CS9" i="10"/>
  <c r="CS33" i="10" s="1"/>
  <c r="DP27" i="10" l="1"/>
  <c r="CW33" i="10"/>
  <c r="DQ33" i="10" s="1"/>
  <c r="DQ9" i="10"/>
  <c r="CW22" i="10"/>
  <c r="DQ22" i="10" s="1"/>
  <c r="DQ27" i="10"/>
  <c r="CV22" i="10"/>
  <c r="CV9" i="10"/>
  <c r="CU22" i="10"/>
  <c r="DO27" i="10"/>
  <c r="DD22" i="10"/>
  <c r="DP22" i="10" s="1"/>
  <c r="DC22" i="10"/>
  <c r="DE8" i="10"/>
  <c r="DA7" i="10"/>
  <c r="DA6" i="10"/>
  <c r="DA8" i="10"/>
  <c r="DI8" i="10"/>
  <c r="DI7" i="10"/>
  <c r="DI6" i="10"/>
  <c r="CW6" i="10"/>
  <c r="DQ6" i="10" s="1"/>
  <c r="DE6" i="10"/>
  <c r="DE7" i="10"/>
  <c r="DG6" i="10"/>
  <c r="DG7" i="10"/>
  <c r="CZ32" i="10"/>
  <c r="CZ7" i="10"/>
  <c r="CZ8" i="10"/>
  <c r="CZ6" i="10"/>
  <c r="DH32" i="10"/>
  <c r="DH7" i="10"/>
  <c r="DG4" i="10"/>
  <c r="DH8" i="10"/>
  <c r="DH6" i="10"/>
  <c r="DG5" i="10"/>
  <c r="CV32" i="10"/>
  <c r="DP32" i="10" s="1"/>
  <c r="CV6" i="10"/>
  <c r="DP6" i="10" s="1"/>
  <c r="CY33" i="10"/>
  <c r="CY8" i="10"/>
  <c r="CY6" i="10"/>
  <c r="CY4" i="10"/>
  <c r="CY7" i="10"/>
  <c r="CY5" i="10"/>
  <c r="CW7" i="10"/>
  <c r="DQ7" i="10" s="1"/>
  <c r="CW8" i="10"/>
  <c r="DQ8" i="10" s="1"/>
  <c r="CS7" i="10"/>
  <c r="DG8" i="10"/>
  <c r="DG32" i="10"/>
  <c r="DI32" i="10"/>
  <c r="DH33" i="10"/>
  <c r="DE32" i="10"/>
  <c r="CY32" i="10"/>
  <c r="DA32" i="10"/>
  <c r="CZ33" i="10"/>
  <c r="CR32" i="10"/>
  <c r="CR7" i="10"/>
  <c r="CR8" i="10"/>
  <c r="CR6" i="10"/>
  <c r="CQ33" i="10"/>
  <c r="CQ8" i="10"/>
  <c r="CQ6" i="10"/>
  <c r="CQ4" i="10"/>
  <c r="CQ7" i="10"/>
  <c r="CQ5" i="10"/>
  <c r="CS6" i="10"/>
  <c r="CS8" i="10"/>
  <c r="CW32" i="10"/>
  <c r="DQ32" i="10" s="1"/>
  <c r="CV33" i="10"/>
  <c r="DP33" i="10" s="1"/>
  <c r="CQ32" i="10"/>
  <c r="CS32" i="10"/>
  <c r="CR33" i="10"/>
  <c r="CO31" i="10"/>
  <c r="CN31" i="10"/>
  <c r="CM31" i="10"/>
  <c r="CK31" i="10"/>
  <c r="CJ31" i="10"/>
  <c r="CI31" i="10"/>
  <c r="CO27" i="10"/>
  <c r="CO22" i="10" s="1"/>
  <c r="CN27" i="10"/>
  <c r="CN22" i="10" s="1"/>
  <c r="CN9" i="10" s="1"/>
  <c r="CN33" i="10" s="1"/>
  <c r="CM27" i="10"/>
  <c r="CM22" i="10" s="1"/>
  <c r="CM9" i="10" s="1"/>
  <c r="CK27" i="10"/>
  <c r="CK22" i="10" s="1"/>
  <c r="CJ27" i="10"/>
  <c r="CJ22" i="10" s="1"/>
  <c r="CJ9" i="10" s="1"/>
  <c r="CI27" i="10"/>
  <c r="CI22" i="10" s="1"/>
  <c r="CI9" i="10" s="1"/>
  <c r="CI33" i="10" s="1"/>
  <c r="CO9" i="10"/>
  <c r="CO33" i="10" s="1"/>
  <c r="CK9" i="10"/>
  <c r="CK33" i="10" s="1"/>
  <c r="CG31" i="10"/>
  <c r="CF31" i="10"/>
  <c r="CE31" i="10"/>
  <c r="CC31" i="10"/>
  <c r="CB31" i="10"/>
  <c r="CA31" i="10"/>
  <c r="BY31" i="10"/>
  <c r="BX31" i="10"/>
  <c r="BW31" i="10"/>
  <c r="BU31" i="10"/>
  <c r="BT31" i="10"/>
  <c r="BS31" i="10"/>
  <c r="BQ31" i="10"/>
  <c r="BP31" i="10"/>
  <c r="BO31" i="10"/>
  <c r="CG27" i="10"/>
  <c r="CG22" i="10" s="1"/>
  <c r="CF27" i="10"/>
  <c r="CF22" i="10" s="1"/>
  <c r="CF9" i="10" s="1"/>
  <c r="CE27" i="10"/>
  <c r="CE22" i="10" s="1"/>
  <c r="CE9" i="10" s="1"/>
  <c r="CC27" i="10"/>
  <c r="CC22" i="10" s="1"/>
  <c r="CB27" i="10"/>
  <c r="CB22" i="10" s="1"/>
  <c r="CB9" i="10" s="1"/>
  <c r="CA27" i="10"/>
  <c r="CA22" i="10" s="1"/>
  <c r="CA9" i="10" s="1"/>
  <c r="BY22" i="10"/>
  <c r="BX27" i="10"/>
  <c r="BX22" i="10" s="1"/>
  <c r="BX9" i="10" s="1"/>
  <c r="BW27" i="10"/>
  <c r="BW22" i="10" s="1"/>
  <c r="BW9" i="10" s="1"/>
  <c r="BU27" i="10"/>
  <c r="BU22" i="10" s="1"/>
  <c r="BT27" i="10"/>
  <c r="BT22" i="10" s="1"/>
  <c r="BT9" i="10" s="1"/>
  <c r="BS27" i="10"/>
  <c r="BS22" i="10" s="1"/>
  <c r="BS9" i="10" s="1"/>
  <c r="BQ27" i="10"/>
  <c r="BQ22" i="10" s="1"/>
  <c r="BP27" i="10"/>
  <c r="BP22" i="10" s="1"/>
  <c r="BP9" i="10" s="1"/>
  <c r="BO27" i="10"/>
  <c r="CG9" i="10"/>
  <c r="CG33" i="10" s="1"/>
  <c r="CC9" i="10"/>
  <c r="CC32" i="10" s="1"/>
  <c r="BY9" i="10"/>
  <c r="BY33" i="10" s="1"/>
  <c r="BU9" i="10"/>
  <c r="BU32" i="10" s="1"/>
  <c r="BQ9" i="10"/>
  <c r="BQ33" i="10" s="1"/>
  <c r="BM31" i="10"/>
  <c r="BL31" i="10"/>
  <c r="BK31" i="10"/>
  <c r="BI31" i="10"/>
  <c r="BH31" i="10"/>
  <c r="BG31" i="10"/>
  <c r="BE31" i="10"/>
  <c r="BD31" i="10"/>
  <c r="BC31" i="10"/>
  <c r="BA31" i="10"/>
  <c r="AZ31" i="10"/>
  <c r="AY31" i="10"/>
  <c r="AW31" i="10"/>
  <c r="AV31" i="10"/>
  <c r="AU31" i="10"/>
  <c r="BM27" i="10"/>
  <c r="BM22" i="10" s="1"/>
  <c r="BL27" i="10"/>
  <c r="BL22" i="10" s="1"/>
  <c r="BL9" i="10" s="1"/>
  <c r="BK27" i="10"/>
  <c r="BK22" i="10" s="1"/>
  <c r="BK9" i="10" s="1"/>
  <c r="BI27" i="10"/>
  <c r="BI22" i="10" s="1"/>
  <c r="BH27" i="10"/>
  <c r="BH22" i="10" s="1"/>
  <c r="BH9" i="10" s="1"/>
  <c r="BG27" i="10"/>
  <c r="BG22" i="10" s="1"/>
  <c r="BG9" i="10" s="1"/>
  <c r="BE27" i="10"/>
  <c r="BD27" i="10"/>
  <c r="BD22" i="10" s="1"/>
  <c r="BD9" i="10" s="1"/>
  <c r="BC27" i="10"/>
  <c r="BC22" i="10" s="1"/>
  <c r="BC9" i="10" s="1"/>
  <c r="BA27" i="10"/>
  <c r="BA22" i="10" s="1"/>
  <c r="AZ27" i="10"/>
  <c r="AZ22" i="10" s="1"/>
  <c r="AZ9" i="10" s="1"/>
  <c r="AY27" i="10"/>
  <c r="AY22" i="10" s="1"/>
  <c r="AY9" i="10" s="1"/>
  <c r="AW27" i="10"/>
  <c r="AW22" i="10" s="1"/>
  <c r="AV27" i="10"/>
  <c r="AV22" i="10" s="1"/>
  <c r="AV9" i="10" s="1"/>
  <c r="AU27" i="10"/>
  <c r="BE22" i="10"/>
  <c r="AU22" i="10"/>
  <c r="BM9" i="10"/>
  <c r="BM33" i="10" s="1"/>
  <c r="BI9" i="10"/>
  <c r="BI32" i="10" s="1"/>
  <c r="BE9" i="10"/>
  <c r="BE33" i="10" s="1"/>
  <c r="BA9" i="10"/>
  <c r="BA32" i="10" s="1"/>
  <c r="AW9" i="10"/>
  <c r="AW33" i="10" s="1"/>
  <c r="AU9" i="10"/>
  <c r="AU33" i="10" s="1"/>
  <c r="AS31" i="10"/>
  <c r="AR31" i="10"/>
  <c r="AQ31" i="10"/>
  <c r="AO31" i="10"/>
  <c r="AN31" i="10"/>
  <c r="AM31" i="10"/>
  <c r="AK31" i="10"/>
  <c r="AJ31" i="10"/>
  <c r="AI31" i="10"/>
  <c r="AG31" i="10"/>
  <c r="AF31" i="10"/>
  <c r="AE31" i="10"/>
  <c r="AS27" i="10"/>
  <c r="AS22" i="10" s="1"/>
  <c r="AR27" i="10"/>
  <c r="AR22" i="10" s="1"/>
  <c r="AR9" i="10" s="1"/>
  <c r="AQ27" i="10"/>
  <c r="AQ22" i="10" s="1"/>
  <c r="AQ9" i="10" s="1"/>
  <c r="AO27" i="10"/>
  <c r="AO22" i="10" s="1"/>
  <c r="AN27" i="10"/>
  <c r="AN22" i="10" s="1"/>
  <c r="AN9" i="10" s="1"/>
  <c r="AM27" i="10"/>
  <c r="AM22" i="10" s="1"/>
  <c r="AM9" i="10" s="1"/>
  <c r="AK27" i="10"/>
  <c r="AK22" i="10" s="1"/>
  <c r="AJ27" i="10"/>
  <c r="AI27" i="10"/>
  <c r="AI22" i="10" s="1"/>
  <c r="AI9" i="10" s="1"/>
  <c r="AG27" i="10"/>
  <c r="AG22" i="10" s="1"/>
  <c r="AF27" i="10"/>
  <c r="AF22" i="10" s="1"/>
  <c r="AF9" i="10" s="1"/>
  <c r="AE27" i="10"/>
  <c r="AE22" i="10" s="1"/>
  <c r="AE9" i="10" s="1"/>
  <c r="AE33" i="10" s="1"/>
  <c r="AJ22" i="10"/>
  <c r="AJ9" i="10" s="1"/>
  <c r="AJ33" i="10" s="1"/>
  <c r="AS9" i="10"/>
  <c r="AS33" i="10" s="1"/>
  <c r="AO9" i="10"/>
  <c r="AO33" i="10" s="1"/>
  <c r="AK9" i="10"/>
  <c r="AK33" i="10" s="1"/>
  <c r="AG9" i="10"/>
  <c r="AG33" i="10" s="1"/>
  <c r="AC31" i="10"/>
  <c r="AB31" i="10"/>
  <c r="AA31" i="10"/>
  <c r="Y31" i="10"/>
  <c r="X31" i="10"/>
  <c r="W31" i="10"/>
  <c r="AC27" i="10"/>
  <c r="AB27" i="10"/>
  <c r="AB22" i="10" s="1"/>
  <c r="AB9" i="10" s="1"/>
  <c r="AA27" i="10"/>
  <c r="AA22" i="10" s="1"/>
  <c r="AA9" i="10" s="1"/>
  <c r="Y27" i="10"/>
  <c r="Y22" i="10" s="1"/>
  <c r="X27" i="10"/>
  <c r="X22" i="10" s="1"/>
  <c r="X9" i="10" s="1"/>
  <c r="W27" i="10"/>
  <c r="W22" i="10" s="1"/>
  <c r="W9" i="10" s="1"/>
  <c r="AC22" i="10"/>
  <c r="AC9" i="10"/>
  <c r="AC33" i="10" s="1"/>
  <c r="Y9" i="10"/>
  <c r="Y33" i="10" s="1"/>
  <c r="U31" i="10"/>
  <c r="T31" i="10"/>
  <c r="S31" i="10"/>
  <c r="U27" i="10"/>
  <c r="U22" i="10" s="1"/>
  <c r="T27" i="10"/>
  <c r="T22" i="10" s="1"/>
  <c r="T9" i="10" s="1"/>
  <c r="S27" i="10"/>
  <c r="S22" i="10" s="1"/>
  <c r="S9" i="10" s="1"/>
  <c r="S33" i="10" s="1"/>
  <c r="U9" i="10"/>
  <c r="U33" i="10" s="1"/>
  <c r="CV7" i="10" l="1"/>
  <c r="DP7" i="10" s="1"/>
  <c r="CV8" i="10"/>
  <c r="DP8" i="10" s="1"/>
  <c r="CU9" i="10"/>
  <c r="DO22" i="10"/>
  <c r="AC6" i="10"/>
  <c r="BO22" i="10"/>
  <c r="BO9" i="10" s="1"/>
  <c r="DC9" i="10"/>
  <c r="DD9" i="10"/>
  <c r="DP9" i="10" s="1"/>
  <c r="AS7" i="10"/>
  <c r="AR33" i="10"/>
  <c r="AR8" i="10"/>
  <c r="AS6" i="10"/>
  <c r="AU7" i="10"/>
  <c r="BT33" i="10"/>
  <c r="BT7" i="10"/>
  <c r="AS8" i="10"/>
  <c r="AF33" i="10"/>
  <c r="AF6" i="10"/>
  <c r="AF7" i="10"/>
  <c r="AE4" i="10"/>
  <c r="AK7" i="10"/>
  <c r="AK6" i="10"/>
  <c r="AK8" i="10"/>
  <c r="AQ33" i="10"/>
  <c r="AQ6" i="10"/>
  <c r="AQ5" i="10"/>
  <c r="AQ8" i="10"/>
  <c r="AQ7" i="10"/>
  <c r="AQ4" i="10"/>
  <c r="AI33" i="10"/>
  <c r="AI8" i="10"/>
  <c r="AI7" i="10"/>
  <c r="AI6" i="10"/>
  <c r="AR6" i="10"/>
  <c r="AE7" i="10"/>
  <c r="AG7" i="10"/>
  <c r="AJ7" i="10"/>
  <c r="AU6" i="10"/>
  <c r="AU8" i="10"/>
  <c r="CK7" i="10"/>
  <c r="AZ33" i="10"/>
  <c r="AZ7" i="10"/>
  <c r="CE33" i="10"/>
  <c r="CE8" i="10"/>
  <c r="CE6" i="10"/>
  <c r="BK33" i="10"/>
  <c r="BK8" i="10"/>
  <c r="BK6" i="10"/>
  <c r="AF8" i="10"/>
  <c r="AW7" i="10"/>
  <c r="BQ7" i="10"/>
  <c r="CK6" i="10"/>
  <c r="CK8" i="10"/>
  <c r="AB33" i="10"/>
  <c r="AB7" i="10"/>
  <c r="BM8" i="10"/>
  <c r="BM6" i="10"/>
  <c r="CG8" i="10"/>
  <c r="CG6" i="10"/>
  <c r="Y7" i="10"/>
  <c r="AC8" i="10"/>
  <c r="AC7" i="10"/>
  <c r="AI4" i="10"/>
  <c r="AI5" i="10"/>
  <c r="AE6" i="10"/>
  <c r="AG6" i="10"/>
  <c r="AJ6" i="10"/>
  <c r="AR7" i="10"/>
  <c r="AE8" i="10"/>
  <c r="AG8" i="10"/>
  <c r="AJ8" i="10"/>
  <c r="AZ6" i="10"/>
  <c r="BK7" i="10"/>
  <c r="AZ8" i="10"/>
  <c r="BT6" i="10"/>
  <c r="CE7" i="10"/>
  <c r="BT8" i="10"/>
  <c r="CO6" i="10"/>
  <c r="CO7" i="10"/>
  <c r="AN33" i="10"/>
  <c r="AN8" i="10"/>
  <c r="AN7" i="10"/>
  <c r="AN6" i="10"/>
  <c r="AM33" i="10"/>
  <c r="AM7" i="10"/>
  <c r="AM8" i="10"/>
  <c r="AM6" i="10"/>
  <c r="AO7" i="10"/>
  <c r="AM4" i="10"/>
  <c r="AO8" i="10"/>
  <c r="AO6" i="10"/>
  <c r="AM5" i="10"/>
  <c r="W33" i="10"/>
  <c r="W7" i="10"/>
  <c r="W6" i="10"/>
  <c r="W8" i="10"/>
  <c r="AA33" i="10"/>
  <c r="AA7" i="10"/>
  <c r="AA5" i="10"/>
  <c r="AA6" i="10"/>
  <c r="AA8" i="10"/>
  <c r="CO8" i="10"/>
  <c r="Y6" i="10"/>
  <c r="AB6" i="10"/>
  <c r="Y8" i="10"/>
  <c r="AB8" i="10"/>
  <c r="AW6" i="10"/>
  <c r="BM7" i="10"/>
  <c r="AW8" i="10"/>
  <c r="CN8" i="10"/>
  <c r="BQ6" i="10"/>
  <c r="CG7" i="10"/>
  <c r="BQ8" i="10"/>
  <c r="X33" i="10"/>
  <c r="X8" i="10"/>
  <c r="X7" i="10"/>
  <c r="X6" i="10"/>
  <c r="BH33" i="10"/>
  <c r="BH8" i="10"/>
  <c r="BH7" i="10"/>
  <c r="BH6" i="10"/>
  <c r="BW33" i="10"/>
  <c r="BW8" i="10"/>
  <c r="BW7" i="10"/>
  <c r="BW6" i="10"/>
  <c r="CB33" i="10"/>
  <c r="CB8" i="10"/>
  <c r="CB7" i="10"/>
  <c r="CB6" i="10"/>
  <c r="BC33" i="10"/>
  <c r="BC8" i="10"/>
  <c r="BC7" i="10"/>
  <c r="BC6" i="10"/>
  <c r="S7" i="10"/>
  <c r="AA4" i="10"/>
  <c r="AE5" i="10"/>
  <c r="BE6" i="10"/>
  <c r="BE7" i="10"/>
  <c r="BE8" i="10"/>
  <c r="BY6" i="10"/>
  <c r="BY7" i="10"/>
  <c r="BY8" i="10"/>
  <c r="CI6" i="10"/>
  <c r="CN6" i="10"/>
  <c r="CI7" i="10"/>
  <c r="CN7" i="10"/>
  <c r="S6" i="10"/>
  <c r="AY32" i="10"/>
  <c r="AY7" i="10"/>
  <c r="AY5" i="10"/>
  <c r="AY8" i="10"/>
  <c r="AY6" i="10"/>
  <c r="AY4" i="10"/>
  <c r="BD32" i="10"/>
  <c r="BD7" i="10"/>
  <c r="BC4" i="10"/>
  <c r="BD8" i="10"/>
  <c r="BD6" i="10"/>
  <c r="BC5" i="10"/>
  <c r="BL32" i="10"/>
  <c r="BL7" i="10"/>
  <c r="BK4" i="10"/>
  <c r="BL8" i="10"/>
  <c r="BL6" i="10"/>
  <c r="BK5" i="10"/>
  <c r="BS32" i="10"/>
  <c r="BS8" i="10"/>
  <c r="BS6" i="10"/>
  <c r="BS4" i="10"/>
  <c r="BS7" i="10"/>
  <c r="BS5" i="10"/>
  <c r="BU8" i="10"/>
  <c r="BU6" i="10"/>
  <c r="BU7" i="10"/>
  <c r="CF32" i="10"/>
  <c r="CF8" i="10"/>
  <c r="CF6" i="10"/>
  <c r="CE5" i="10"/>
  <c r="CF7" i="10"/>
  <c r="CE4" i="10"/>
  <c r="U7" i="10"/>
  <c r="U6" i="10"/>
  <c r="AV32" i="10"/>
  <c r="AV7" i="10"/>
  <c r="AU4" i="10"/>
  <c r="AV8" i="10"/>
  <c r="AV6" i="10"/>
  <c r="AU5" i="10"/>
  <c r="BA7" i="10"/>
  <c r="BA8" i="10"/>
  <c r="BA6" i="10"/>
  <c r="BG32" i="10"/>
  <c r="BG7" i="10"/>
  <c r="BG5" i="10"/>
  <c r="BG8" i="10"/>
  <c r="BG6" i="10"/>
  <c r="BG4" i="10"/>
  <c r="BI7" i="10"/>
  <c r="BI8" i="10"/>
  <c r="BI6" i="10"/>
  <c r="BP32" i="10"/>
  <c r="BP8" i="10"/>
  <c r="BP6" i="10"/>
  <c r="BP7" i="10"/>
  <c r="BX32" i="10"/>
  <c r="BX8" i="10"/>
  <c r="BX6" i="10"/>
  <c r="BW5" i="10"/>
  <c r="BX7" i="10"/>
  <c r="BW4" i="10"/>
  <c r="CA32" i="10"/>
  <c r="CA8" i="10"/>
  <c r="CA6" i="10"/>
  <c r="CA4" i="10"/>
  <c r="CA7" i="10"/>
  <c r="CA5" i="10"/>
  <c r="CC8" i="10"/>
  <c r="CC6" i="10"/>
  <c r="CC7" i="10"/>
  <c r="CM33" i="10"/>
  <c r="CM8" i="10"/>
  <c r="CM6" i="10"/>
  <c r="CM4" i="10"/>
  <c r="CM7" i="10"/>
  <c r="CM5" i="10"/>
  <c r="CI8" i="10"/>
  <c r="CJ33" i="10"/>
  <c r="CJ32" i="10"/>
  <c r="CJ8" i="10"/>
  <c r="CJ6" i="10"/>
  <c r="CI5" i="10"/>
  <c r="CI4" i="10"/>
  <c r="CJ7" i="10"/>
  <c r="CI32" i="10"/>
  <c r="CK32" i="10"/>
  <c r="CN32" i="10"/>
  <c r="CM32" i="10"/>
  <c r="CO32" i="10"/>
  <c r="BQ32" i="10"/>
  <c r="BT32" i="10"/>
  <c r="BW32" i="10"/>
  <c r="BY32" i="10"/>
  <c r="CB32" i="10"/>
  <c r="CE32" i="10"/>
  <c r="CG32" i="10"/>
  <c r="BP33" i="10"/>
  <c r="BS33" i="10"/>
  <c r="BU33" i="10"/>
  <c r="BX33" i="10"/>
  <c r="CA33" i="10"/>
  <c r="CC33" i="10"/>
  <c r="CF33" i="10"/>
  <c r="AU32" i="10"/>
  <c r="AW32" i="10"/>
  <c r="AZ32" i="10"/>
  <c r="BC32" i="10"/>
  <c r="BE32" i="10"/>
  <c r="BH32" i="10"/>
  <c r="BK32" i="10"/>
  <c r="BM32" i="10"/>
  <c r="AV33" i="10"/>
  <c r="AY33" i="10"/>
  <c r="BA33" i="10"/>
  <c r="BD33" i="10"/>
  <c r="BG33" i="10"/>
  <c r="BI33" i="10"/>
  <c r="BL33" i="10"/>
  <c r="AE32" i="10"/>
  <c r="AG32" i="10"/>
  <c r="AJ32" i="10"/>
  <c r="AM32" i="10"/>
  <c r="AO32" i="10"/>
  <c r="AR32" i="10"/>
  <c r="AF32" i="10"/>
  <c r="AI32" i="10"/>
  <c r="AK32" i="10"/>
  <c r="AN32" i="10"/>
  <c r="AQ32" i="10"/>
  <c r="AS32" i="10"/>
  <c r="W4" i="10"/>
  <c r="W5" i="10"/>
  <c r="W32" i="10"/>
  <c r="Y32" i="10"/>
  <c r="AB32" i="10"/>
  <c r="X32" i="10"/>
  <c r="AA32" i="10"/>
  <c r="AC32" i="10"/>
  <c r="T32" i="10"/>
  <c r="T8" i="10"/>
  <c r="T7" i="10"/>
  <c r="S4" i="10"/>
  <c r="T6" i="10"/>
  <c r="S5" i="10"/>
  <c r="S32" i="10"/>
  <c r="U32" i="10"/>
  <c r="T33" i="10"/>
  <c r="S8" i="10"/>
  <c r="U8" i="10"/>
  <c r="DO9" i="10" l="1"/>
  <c r="CU33" i="10"/>
  <c r="DO33" i="10" s="1"/>
  <c r="CU4" i="10"/>
  <c r="CU5" i="10"/>
  <c r="CU32" i="10"/>
  <c r="DO32" i="10" s="1"/>
  <c r="CU8" i="10"/>
  <c r="DO8" i="10" s="1"/>
  <c r="CU6" i="10"/>
  <c r="DO6" i="10" s="1"/>
  <c r="CU7" i="10"/>
  <c r="DO7" i="10" s="1"/>
  <c r="BO6" i="10"/>
  <c r="BO8" i="10"/>
  <c r="BO32" i="10"/>
  <c r="BO33" i="10"/>
  <c r="BO7" i="10"/>
  <c r="BO5" i="10"/>
  <c r="BO4" i="10"/>
  <c r="DD32" i="10"/>
  <c r="DD6" i="10"/>
  <c r="DD7" i="10"/>
  <c r="DD8" i="10"/>
  <c r="DD33" i="10"/>
  <c r="DC33" i="10"/>
  <c r="DC8" i="10"/>
  <c r="DC7" i="10"/>
  <c r="DC6" i="10"/>
  <c r="DC5" i="10"/>
  <c r="DO5" i="10" s="1"/>
  <c r="DC4" i="10"/>
  <c r="DO4" i="10" s="1"/>
  <c r="DC32" i="10"/>
  <c r="Q31" i="10"/>
  <c r="P31" i="10"/>
  <c r="O31" i="10"/>
  <c r="M31" i="10"/>
  <c r="I31" i="10"/>
  <c r="H31" i="10"/>
  <c r="G31" i="10"/>
  <c r="E31" i="10"/>
  <c r="D31" i="10"/>
  <c r="C31" i="10"/>
  <c r="Q27" i="10"/>
  <c r="Q22" i="10" s="1"/>
  <c r="P27" i="10"/>
  <c r="P22" i="10" s="1"/>
  <c r="P9" i="10" s="1"/>
  <c r="P32" i="10" s="1"/>
  <c r="O27" i="10"/>
  <c r="O22" i="10" s="1"/>
  <c r="O9" i="10" s="1"/>
  <c r="O33" i="10" s="1"/>
  <c r="M27" i="10"/>
  <c r="M22" i="10" s="1"/>
  <c r="L27" i="10"/>
  <c r="L22" i="10" s="1"/>
  <c r="L9" i="10" s="1"/>
  <c r="L33" i="10" s="1"/>
  <c r="K27" i="10"/>
  <c r="K22" i="10" s="1"/>
  <c r="K9" i="10" s="1"/>
  <c r="I27" i="10"/>
  <c r="I22" i="10" s="1"/>
  <c r="H27" i="10"/>
  <c r="H22" i="10" s="1"/>
  <c r="H9" i="10" s="1"/>
  <c r="G27" i="10"/>
  <c r="G22" i="10" s="1"/>
  <c r="G9" i="10" s="1"/>
  <c r="G33" i="10" s="1"/>
  <c r="E27" i="10"/>
  <c r="D27" i="10"/>
  <c r="C27" i="10"/>
  <c r="Q9" i="10"/>
  <c r="Q33" i="10" s="1"/>
  <c r="M9" i="10"/>
  <c r="M32" i="10" s="1"/>
  <c r="I9" i="10"/>
  <c r="I33" i="10" s="1"/>
  <c r="E9" i="10"/>
  <c r="E22" i="10" l="1"/>
  <c r="E32" i="10"/>
  <c r="D22" i="10"/>
  <c r="C22" i="10"/>
  <c r="M8" i="10"/>
  <c r="H32" i="10"/>
  <c r="H8" i="10"/>
  <c r="K32" i="10"/>
  <c r="K8" i="10"/>
  <c r="P6" i="10"/>
  <c r="P7" i="10"/>
  <c r="O7" i="10"/>
  <c r="P8" i="10"/>
  <c r="O6" i="10"/>
  <c r="Q7" i="10"/>
  <c r="O5" i="10"/>
  <c r="Q6" i="10"/>
  <c r="O4" i="10"/>
  <c r="G32" i="10"/>
  <c r="I32" i="10"/>
  <c r="L32" i="10"/>
  <c r="O32" i="10"/>
  <c r="Q32" i="10"/>
  <c r="E33" i="10"/>
  <c r="H33" i="10"/>
  <c r="K33" i="10"/>
  <c r="M33" i="10"/>
  <c r="P33" i="10"/>
  <c r="G8" i="10"/>
  <c r="I8" i="10"/>
  <c r="L8" i="10"/>
  <c r="O8" i="10"/>
  <c r="Q8" i="10"/>
  <c r="E8" i="10" l="1"/>
  <c r="D9" i="10"/>
  <c r="C9" i="10"/>
  <c r="D33" i="10" l="1"/>
  <c r="D32" i="10"/>
  <c r="D8" i="10"/>
  <c r="C32" i="10"/>
  <c r="C8" i="10"/>
  <c r="C33" i="10"/>
</calcChain>
</file>

<file path=xl/sharedStrings.xml><?xml version="1.0" encoding="utf-8"?>
<sst xmlns="http://schemas.openxmlformats.org/spreadsheetml/2006/main" count="20366" uniqueCount="2023">
  <si>
    <t>FI EOD  Steps :</t>
  </si>
  <si>
    <t xml:space="preserve">Extract Data from Kinetix 'Bond Activity Blotter' </t>
  </si>
  <si>
    <t>Copy whole except last row (total count row in grey colour)</t>
  </si>
  <si>
    <t>Paste in to K:\CommTrackData\Confirmation Data\FI\2016\March\31 (Raw report data - Raw data sheet)</t>
  </si>
  <si>
    <t>Again copy kinetix extract data and paste in 'Delet strike through macro'</t>
  </si>
  <si>
    <t>Run macro - Alt +F8</t>
  </si>
  <si>
    <t>After run-macro completed copy whole data of delete strike macro and paste in K:\CommTrackData\Confirmation Data\FI\2016\March\31 (Raw report data - Shorted Data sheet)</t>
  </si>
  <si>
    <t>Copy Run-macro data and paste it on the Kinetix extract then drag down to delete strike through/ cancel /Voided trades from the extract data.</t>
  </si>
  <si>
    <t>Save data in  path E:\Satyavrat Upadhyay\FI\FI EOD Macro</t>
  </si>
  <si>
    <t>Close extracrted data  file without saving and close Raw data sheet of commtrack after saving it.</t>
  </si>
  <si>
    <t>Go to folder were EOD macro is saved - open macro and click on Button1 to run the macro.</t>
  </si>
  <si>
    <t>After running macro close it and open the final Pivot table.</t>
  </si>
  <si>
    <t>Go to Sorted Data and add the E confirm  trades  count in EOD Pivot table</t>
  </si>
  <si>
    <t>Add total late trades booked in Omgeo and manual/Oasys in EOD file.</t>
  </si>
  <si>
    <t>Total late unconfirmed trades and normal unconfirmed trades in EOD Pivot file.</t>
  </si>
  <si>
    <t>Check if any trades is pending for allocation or any trade is system status confirmed add their count in respective coloumns.</t>
  </si>
  <si>
    <t>Add the counts in coloumns of EOD file from the pivot table which is created at the time of runnig EOD micro</t>
  </si>
  <si>
    <t>Add comments to unconfiurmed trades and paste in Eod mail</t>
  </si>
  <si>
    <t>After pasting all the unconfirmed trades with comments added to them we have paste pivot tabale in the Email</t>
  </si>
  <si>
    <t>Kinetix Raw Data File Path</t>
  </si>
  <si>
    <t>Final Status</t>
  </si>
  <si>
    <t>Oasys Status</t>
  </si>
  <si>
    <t>Confirmed</t>
  </si>
  <si>
    <t>Manual</t>
  </si>
  <si>
    <t>Booked</t>
  </si>
  <si>
    <t>Pending</t>
  </si>
  <si>
    <t>BROKERTEC ACTIVE</t>
  </si>
  <si>
    <t>BROKERTEC PASSIVE</t>
  </si>
  <si>
    <t>INTERNAL TRANSFER</t>
  </si>
  <si>
    <t>NO BROKER SEND</t>
  </si>
  <si>
    <t>NO CHARGE BROKER</t>
  </si>
  <si>
    <t>Counter Party Name</t>
  </si>
  <si>
    <t xml:space="preserve">add/remove status </t>
  </si>
  <si>
    <t>Final status</t>
  </si>
  <si>
    <t>BARCLAYS PB MOVE</t>
  </si>
  <si>
    <t>Oasys</t>
  </si>
  <si>
    <t>BROKERTEC</t>
  </si>
  <si>
    <t>Omgeo</t>
  </si>
  <si>
    <t>OnHold</t>
  </si>
  <si>
    <t>NEWEDGE PB MOVE</t>
  </si>
  <si>
    <t>MBSCC ALLOCATIONS</t>
  </si>
  <si>
    <t>Bony PB MOVE</t>
  </si>
  <si>
    <t>CORPORATE ACTION</t>
  </si>
  <si>
    <t>MERRIL LYNCH PB MOVE</t>
  </si>
  <si>
    <t>MERRILL LYNCH PROFESSIONAL CLEARING</t>
  </si>
  <si>
    <t>Grand Total</t>
  </si>
  <si>
    <t>Count of Final Status</t>
  </si>
  <si>
    <t>Market</t>
  </si>
  <si>
    <t>(blank)</t>
  </si>
  <si>
    <t>E-Confirmed Count:</t>
  </si>
  <si>
    <t>After running macro we add E-confirmed count manaully using sorted data sheet (Separet for ABS and Treasury Trades)</t>
  </si>
  <si>
    <t>Late Trades Count :(Trades which booked after 5pm EST)</t>
  </si>
  <si>
    <t>We change date format in Time &gt; Final Pivot Table&gt; Process Data&gt; Insert time</t>
  </si>
  <si>
    <t>a.</t>
  </si>
  <si>
    <t>b.</t>
  </si>
  <si>
    <t>c.</t>
  </si>
  <si>
    <t>Arranging and adding total late trades (Confirmed + Unconfimred) after 5pm EST in EOD count (CTM, ABS Manual/Oasys)</t>
  </si>
  <si>
    <t>Adding unconfirmed late trades in EOD Sheet through&gt; Pivot Table&gt; Mail (CTM, ABS Manual/Oasys)</t>
  </si>
  <si>
    <t>System Status Confirmed</t>
  </si>
  <si>
    <t>Pivot Table&gt; Mail &gt; System Status &gt; Confirmed</t>
  </si>
  <si>
    <t>For for GOV(Treasuries)</t>
  </si>
  <si>
    <t>we mention as confirmed in EOD sheet and add to count directly, we delete trades from mail sheet</t>
  </si>
  <si>
    <t>For ABS trades</t>
  </si>
  <si>
    <t>Before deleting trades from mail sheet, we need to show Final status as confirmed in below sheets</t>
  </si>
  <si>
    <t>Proccess Data&gt; Final Status&gt; Confirmed</t>
  </si>
  <si>
    <t>Sorted Data &gt; Final Status&gt; Confirmed</t>
  </si>
  <si>
    <t>Raw Data &gt;Final Status&gt; Confirmed</t>
  </si>
  <si>
    <t>Adding Counts in EOD Sheet</t>
  </si>
  <si>
    <t>After all above proccess we add total trades count (Confirmed +Unconfirmed) as below</t>
  </si>
  <si>
    <t xml:space="preserve"> Final Pivot table &gt;Pivot sheet&gt; ad Market tab to Report Filter</t>
  </si>
  <si>
    <t>ABS Trades &gt; Market Tab &gt; select US ABS&gt; add count</t>
  </si>
  <si>
    <t>CTM/Omgeo count &gt; Market Tab &gt; remove US ABS&gt; add count</t>
  </si>
  <si>
    <t>Manual/Oasys &gt;</t>
  </si>
  <si>
    <t>Summary Statistics - Fixed Income T0 Confirmation for 06 June 2016 - 10 June 2016</t>
  </si>
  <si>
    <t>Metrics</t>
  </si>
  <si>
    <t>WTD</t>
  </si>
  <si>
    <t>MTD</t>
  </si>
  <si>
    <t>Bonds Oasys</t>
  </si>
  <si>
    <t>Mort Oasys</t>
  </si>
  <si>
    <t>Bonds CTM</t>
  </si>
  <si>
    <t>Daily Confirmation Rate - All Bonds and Mortgages T+0</t>
  </si>
  <si>
    <t>Daily Confirmation Rate - All Bonds and Mortgages (Excluding Unconfirmed Late Trades) T+0</t>
  </si>
  <si>
    <t>Daily Confirmation Rate (T+0)</t>
  </si>
  <si>
    <t>Daily Confirmation Rate (Excluding Unconfirmed Late Trades) T+0</t>
  </si>
  <si>
    <t>Updated Daily Confirmation Rate (T+1)</t>
  </si>
  <si>
    <t xml:space="preserve">Total No. of Trades </t>
  </si>
  <si>
    <t>A) Oasys Accepted</t>
  </si>
  <si>
    <t>B) Manual Accepted (Oasys eligible)</t>
  </si>
  <si>
    <t>C) Manual Accepted (Manual trades)</t>
  </si>
  <si>
    <t>D) Rejected</t>
  </si>
  <si>
    <t>E) CNCLD</t>
  </si>
  <si>
    <t>F) Alloc</t>
  </si>
  <si>
    <t>G) On Hold</t>
  </si>
  <si>
    <t>A) Matched</t>
  </si>
  <si>
    <t>B) Manually accepted/Cancel</t>
  </si>
  <si>
    <t xml:space="preserve">C) Open - O/S Blocks  </t>
  </si>
  <si>
    <t>D) Open - Broker Alleged (Rejected status (actioned))</t>
  </si>
  <si>
    <t>E) Open - Broker Alleged (Outstanding)</t>
  </si>
  <si>
    <t xml:space="preserve">Total O/S Trades </t>
  </si>
  <si>
    <t xml:space="preserve">CP with most O/S trades (Bonds &amp; Mortgages (Oasys))                         </t>
  </si>
  <si>
    <t>A)  JPM</t>
  </si>
  <si>
    <t>B) Mizuho</t>
  </si>
  <si>
    <t>C) BGC</t>
  </si>
  <si>
    <t>Total Unconfirmed Trades -</t>
  </si>
  <si>
    <t>Trades unconfirmed booked after 5 PM (GMT and EST)</t>
  </si>
  <si>
    <t>Other Trades Unconfirmed</t>
  </si>
  <si>
    <t>Total Late Trades (Bonds (Oasys) &amp; Mortgages (Oasys))</t>
  </si>
  <si>
    <t>Daily Confirmation Rate (Late Trades)</t>
  </si>
  <si>
    <t>NA</t>
  </si>
  <si>
    <t>Percentage of Late Trades confirmed against overall Trades</t>
  </si>
  <si>
    <t>Manual Acceptance Rate</t>
  </si>
  <si>
    <t>Total Trades with Disputes</t>
  </si>
  <si>
    <t>Total no of E-Confirmed trades</t>
  </si>
  <si>
    <t>Bonds (Oasys) specific row</t>
  </si>
  <si>
    <t>Bonds (CTM) specific rows</t>
  </si>
  <si>
    <t>Murex Id</t>
  </si>
  <si>
    <t>System</t>
  </si>
  <si>
    <t>Product Type</t>
  </si>
  <si>
    <t>Trader</t>
  </si>
  <si>
    <t>Account</t>
  </si>
  <si>
    <t>Trade Date</t>
  </si>
  <si>
    <t>Symbol</t>
  </si>
  <si>
    <t>Quantity</t>
  </si>
  <si>
    <t>Price</t>
  </si>
  <si>
    <t>Settle Date</t>
  </si>
  <si>
    <t>Side</t>
  </si>
  <si>
    <t>System Status</t>
  </si>
  <si>
    <t>Insert Time</t>
  </si>
  <si>
    <t>Comment</t>
  </si>
  <si>
    <t>omgeo</t>
  </si>
  <si>
    <t>manual</t>
  </si>
  <si>
    <t>Counter Party</t>
  </si>
  <si>
    <t>M</t>
  </si>
  <si>
    <t>oasys</t>
  </si>
  <si>
    <t>(Multiple Items)</t>
  </si>
  <si>
    <t>CITIBANK PB MOVE</t>
  </si>
  <si>
    <t>DATE:</t>
  </si>
  <si>
    <t xml:space="preserve">EOD Report merge Cells </t>
  </si>
  <si>
    <t>DATE</t>
  </si>
  <si>
    <t>Bond Oasys</t>
  </si>
  <si>
    <t>Bond CTM</t>
  </si>
  <si>
    <t>C</t>
  </si>
  <si>
    <t>D</t>
  </si>
  <si>
    <t>E</t>
  </si>
  <si>
    <t>G</t>
  </si>
  <si>
    <t>H</t>
  </si>
  <si>
    <t>I</t>
  </si>
  <si>
    <t>K</t>
  </si>
  <si>
    <t>L</t>
  </si>
  <si>
    <t>O</t>
  </si>
  <si>
    <t>P</t>
  </si>
  <si>
    <t>Q</t>
  </si>
  <si>
    <t>X</t>
  </si>
  <si>
    <t>Y</t>
  </si>
  <si>
    <t>Z</t>
  </si>
  <si>
    <t>AB</t>
  </si>
  <si>
    <t>AC</t>
  </si>
  <si>
    <t>AD</t>
  </si>
  <si>
    <t>AK</t>
  </si>
  <si>
    <t>AL</t>
  </si>
  <si>
    <t>AM</t>
  </si>
  <si>
    <t>AO</t>
  </si>
  <si>
    <t>AP</t>
  </si>
  <si>
    <t>AQ</t>
  </si>
  <si>
    <t>AX</t>
  </si>
  <si>
    <t>AY</t>
  </si>
  <si>
    <t>AZ</t>
  </si>
  <si>
    <t>BB</t>
  </si>
  <si>
    <t>BC</t>
  </si>
  <si>
    <t>BD</t>
  </si>
  <si>
    <t>BK</t>
  </si>
  <si>
    <t>BL</t>
  </si>
  <si>
    <t>BM</t>
  </si>
  <si>
    <t>BO</t>
  </si>
  <si>
    <t>BP</t>
  </si>
  <si>
    <t>BQ</t>
  </si>
  <si>
    <t>BS</t>
  </si>
  <si>
    <t>BT</t>
  </si>
  <si>
    <t>BU</t>
  </si>
  <si>
    <t>CB</t>
  </si>
  <si>
    <t>CC</t>
  </si>
  <si>
    <t>CD</t>
  </si>
  <si>
    <t>CF</t>
  </si>
  <si>
    <t>CG</t>
  </si>
  <si>
    <t>CH</t>
  </si>
  <si>
    <t>CO</t>
  </si>
  <si>
    <t>CP</t>
  </si>
  <si>
    <t>CQ</t>
  </si>
  <si>
    <t>CS</t>
  </si>
  <si>
    <t>CT</t>
  </si>
  <si>
    <t>CU</t>
  </si>
  <si>
    <t>CW</t>
  </si>
  <si>
    <t>CX</t>
  </si>
  <si>
    <t>CY</t>
  </si>
  <si>
    <t>DF</t>
  </si>
  <si>
    <t>DG</t>
  </si>
  <si>
    <t>DH</t>
  </si>
  <si>
    <t>DJ</t>
  </si>
  <si>
    <t>DK</t>
  </si>
  <si>
    <t>DL</t>
  </si>
  <si>
    <t>DS</t>
  </si>
  <si>
    <t>DT</t>
  </si>
  <si>
    <t>Hide Column</t>
  </si>
  <si>
    <t>F</t>
  </si>
  <si>
    <t>J</t>
  </si>
  <si>
    <t>N</t>
  </si>
  <si>
    <t>R</t>
  </si>
  <si>
    <t>S</t>
  </si>
  <si>
    <t>T</t>
  </si>
  <si>
    <t>U</t>
  </si>
  <si>
    <t>V</t>
  </si>
  <si>
    <t>W</t>
  </si>
  <si>
    <t>AA</t>
  </si>
  <si>
    <t>AE</t>
  </si>
  <si>
    <t>AF</t>
  </si>
  <si>
    <t>AG</t>
  </si>
  <si>
    <t>AH</t>
  </si>
  <si>
    <t>AI</t>
  </si>
  <si>
    <t>AJ</t>
  </si>
  <si>
    <t>AN</t>
  </si>
  <si>
    <t>AR</t>
  </si>
  <si>
    <t>AS</t>
  </si>
  <si>
    <t>AT</t>
  </si>
  <si>
    <t>AU</t>
  </si>
  <si>
    <t>AV</t>
  </si>
  <si>
    <t>AW</t>
  </si>
  <si>
    <t>BA</t>
  </si>
  <si>
    <t>BE</t>
  </si>
  <si>
    <t>BF</t>
  </si>
  <si>
    <t>BG</t>
  </si>
  <si>
    <t>BH</t>
  </si>
  <si>
    <t>BI</t>
  </si>
  <si>
    <t>BJ</t>
  </si>
  <si>
    <t>BN</t>
  </si>
  <si>
    <t>BR</t>
  </si>
  <si>
    <t>BV</t>
  </si>
  <si>
    <t>BW</t>
  </si>
  <si>
    <t>BX</t>
  </si>
  <si>
    <t>BY</t>
  </si>
  <si>
    <t>BZ</t>
  </si>
  <si>
    <t>CA</t>
  </si>
  <si>
    <t>CE</t>
  </si>
  <si>
    <t>CI</t>
  </si>
  <si>
    <t>CJ</t>
  </si>
  <si>
    <t>CK</t>
  </si>
  <si>
    <t>CL</t>
  </si>
  <si>
    <t>CM</t>
  </si>
  <si>
    <t>CN</t>
  </si>
  <si>
    <t>CR</t>
  </si>
  <si>
    <t>CV</t>
  </si>
  <si>
    <t>CZ</t>
  </si>
  <si>
    <t>DA</t>
  </si>
  <si>
    <t>DB</t>
  </si>
  <si>
    <t>DC</t>
  </si>
  <si>
    <t>DD</t>
  </si>
  <si>
    <t>DE</t>
  </si>
  <si>
    <t>DI</t>
  </si>
  <si>
    <t>DM</t>
  </si>
  <si>
    <t>DN</t>
  </si>
  <si>
    <t>DO</t>
  </si>
  <si>
    <t>DP</t>
  </si>
  <si>
    <t>DQ</t>
  </si>
  <si>
    <t>BONY SEG</t>
  </si>
  <si>
    <t>Hi,</t>
  </si>
  <si>
    <t>Bonds (Kinetix)</t>
  </si>
  <si>
    <t>Open – Unconfirmed</t>
  </si>
  <si>
    <t>Bonds (CTM)</t>
  </si>
  <si>
    <r>
      <t xml:space="preserve">Open – Unconfirmed </t>
    </r>
    <r>
      <rPr>
        <i/>
        <sz val="10"/>
        <color theme="1"/>
        <rFont val="Calibri"/>
        <family val="2"/>
      </rPr>
      <t>(With reference to the Kinetix)</t>
    </r>
  </si>
  <si>
    <t>Open – Broker Alleged (CTM)</t>
  </si>
  <si>
    <t>Brokers Alleged Trades</t>
  </si>
  <si>
    <t>DR</t>
  </si>
  <si>
    <t>YTD</t>
  </si>
  <si>
    <t xml:space="preserve"> </t>
  </si>
  <si>
    <t>Mx Package Id</t>
  </si>
  <si>
    <t>Portfolio Group</t>
  </si>
  <si>
    <t>Yield</t>
  </si>
  <si>
    <t>Net Cash</t>
  </si>
  <si>
    <t>Currency</t>
  </si>
  <si>
    <t>Description</t>
  </si>
  <si>
    <t>CTM Id</t>
  </si>
  <si>
    <t>CTM Status</t>
  </si>
  <si>
    <t>Oasys Id</t>
  </si>
  <si>
    <t>Portfolio</t>
  </si>
  <si>
    <t>System Reason</t>
  </si>
  <si>
    <t>Final Reason</t>
  </si>
  <si>
    <t>User</t>
  </si>
  <si>
    <t>TradeOut Timestamp</t>
  </si>
  <si>
    <t>System Id</t>
  </si>
  <si>
    <t>Update Time</t>
  </si>
  <si>
    <t>Shadow Status</t>
  </si>
  <si>
    <t>Factor</t>
  </si>
  <si>
    <t>N:\Swapnil\Automation Projects\# 5 FI EOD Recap\BondActivityBlotter_20180226_11_05_06.xls</t>
  </si>
  <si>
    <t>Broker Alledged File Path</t>
  </si>
  <si>
    <t>Master Ref</t>
  </si>
  <si>
    <t>Match Agrd</t>
  </si>
  <si>
    <t>Block Status</t>
  </si>
  <si>
    <t>Exec Broker</t>
  </si>
  <si>
    <t>Sec Code</t>
  </si>
  <si>
    <t>B/S</t>
  </si>
  <si>
    <t>Qty</t>
  </si>
  <si>
    <t>Trade Curr</t>
  </si>
  <si>
    <t>Total Trd Amt</t>
  </si>
  <si>
    <t>Block Rej</t>
  </si>
  <si>
    <t>A) -</t>
  </si>
  <si>
    <t>B) -</t>
  </si>
  <si>
    <t>C) -</t>
  </si>
  <si>
    <t>Kinetics File headers to keep</t>
  </si>
  <si>
    <t>Outstanding Trades</t>
  </si>
  <si>
    <t>The following are details for outstanding trades at EOD for 26th February 2018.</t>
  </si>
  <si>
    <t>Complete</t>
  </si>
  <si>
    <t>Security</t>
  </si>
  <si>
    <t>Total Accr Int</t>
  </si>
  <si>
    <t>Total Net Cash Amt</t>
  </si>
  <si>
    <t>Asset Class</t>
  </si>
  <si>
    <t>28-Feb-2018</t>
  </si>
  <si>
    <t/>
  </si>
  <si>
    <t>NMAG</t>
  </si>
  <si>
    <t>INCP</t>
  </si>
  <si>
    <t>NMAT</t>
  </si>
  <si>
    <t>Daiwa Capital Markets Hong Kong Ltd - DWHKHKK1</t>
  </si>
  <si>
    <t>SUMIMM 0 03/15/23</t>
  </si>
  <si>
    <t xml:space="preserve">ISIN  XS1782471152 </t>
  </si>
  <si>
    <t>SELL</t>
  </si>
  <si>
    <t>JPY</t>
  </si>
  <si>
    <t>15-Mar-2018</t>
  </si>
  <si>
    <t>DBT</t>
  </si>
  <si>
    <t>RJCT</t>
  </si>
  <si>
    <t>5A96F5491A780020</t>
  </si>
  <si>
    <t>VTB Capital Plc - VTBLONDN</t>
  </si>
  <si>
    <t>RFLB:7:20211215</t>
  </si>
  <si>
    <t xml:space="preserve">ISIN  RU000A0ZYCK6 </t>
  </si>
  <si>
    <t>RUB</t>
  </si>
  <si>
    <t>02-Mar-2018</t>
  </si>
  <si>
    <t>180228095428058</t>
  </si>
  <si>
    <t>Wells Fargo Securities - WFSFICTM</t>
  </si>
  <si>
    <t>FNCL 3.0 MAR 30YR TBA</t>
  </si>
  <si>
    <t xml:space="preserve">ISIN  US01F0306377 </t>
  </si>
  <si>
    <t>USD</t>
  </si>
  <si>
    <t>13-Mar-2018</t>
  </si>
  <si>
    <t>180228095429295</t>
  </si>
  <si>
    <t>FNCL 3.5 MAR 30YR TBA</t>
  </si>
  <si>
    <t xml:space="preserve">ISIN  US01F0326334 </t>
  </si>
  <si>
    <t>BUYI</t>
  </si>
  <si>
    <t>180228101657064</t>
  </si>
  <si>
    <t>COMP</t>
  </si>
  <si>
    <t>FNCL 4.0 MAR 30YR TBA</t>
  </si>
  <si>
    <t xml:space="preserve">ISIN  US01F0406367 </t>
  </si>
  <si>
    <t>180228095428610</t>
  </si>
  <si>
    <t>01-Mar-2018</t>
  </si>
  <si>
    <t>DU0083683962503</t>
  </si>
  <si>
    <t>Citigroup Global Markets, Inc. - CGMICTMX</t>
  </si>
  <si>
    <t>BONO ARG AJUSTE CER 3.75% DTD 02/09 /2018 MTY 02/08/2019</t>
  </si>
  <si>
    <t xml:space="preserve">ISIN  ARARGE3205M7 </t>
  </si>
  <si>
    <t>ARS</t>
  </si>
  <si>
    <t>05-Mar-2018</t>
  </si>
  <si>
    <t>KJALA9-1-NY</t>
  </si>
  <si>
    <t>Morgan Stanley - MSNYUS33CFI</t>
  </si>
  <si>
    <t>FHLMC 0G08721 3.000 Sep 01, 2046 Po ol</t>
  </si>
  <si>
    <t xml:space="preserve">ISIN  US3128MJYT11 </t>
  </si>
  <si>
    <t>KJALB9-1-NY</t>
  </si>
  <si>
    <t>FHLMC 0G08726 3.000 Oct 01, 2046 Po ol</t>
  </si>
  <si>
    <t xml:space="preserve">ISIN  US3128MJYY06 </t>
  </si>
  <si>
    <t>2683052_1</t>
  </si>
  <si>
    <t>UBS Securities LLC-UBSFINAC</t>
  </si>
  <si>
    <t>T 3.000% 15-FEB-48</t>
  </si>
  <si>
    <t xml:space="preserve">ISIN  US912810SA79 </t>
  </si>
  <si>
    <t>167575432-0-3</t>
  </si>
  <si>
    <t>BNP Paribas Securities Corp. - BNBCUS31</t>
  </si>
  <si>
    <t>BNP 4 3/8 03/01/33</t>
  </si>
  <si>
    <t xml:space="preserve">ISIN  US09659T2A84 </t>
  </si>
  <si>
    <t>07-Mar-2018</t>
  </si>
  <si>
    <t>167575762-0-3</t>
  </si>
  <si>
    <t>CRP GS 3.814 042329</t>
  </si>
  <si>
    <t xml:space="preserve">ISIN  US38141GWV21 </t>
  </si>
  <si>
    <t>167575763-0-2</t>
  </si>
  <si>
    <t>US TREASURY 2.75 15/02/2028</t>
  </si>
  <si>
    <t xml:space="preserve">ISIN  US9128283W81 </t>
  </si>
  <si>
    <t>06-Mar-2018</t>
  </si>
  <si>
    <t>167575433-0-2</t>
  </si>
  <si>
    <t>449389160-0-2</t>
  </si>
  <si>
    <t>US TREASURY 2.625 28/02/2023</t>
  </si>
  <si>
    <t xml:space="preserve">ISIN  US9128284A52 </t>
  </si>
  <si>
    <t>2X2ZNBN3-1-NY</t>
  </si>
  <si>
    <t>Morgan Stanley - MSLNGB2XCTM</t>
  </si>
  <si>
    <t>CLNXSM 1.500 01/16/2026</t>
  </si>
  <si>
    <t xml:space="preserve">ISIN  XS1750026186 </t>
  </si>
  <si>
    <t>EUR</t>
  </si>
  <si>
    <t>KJGOC9-1-NY</t>
  </si>
  <si>
    <t>MISM</t>
  </si>
  <si>
    <t>FNMA AS6825 3.500% 03/01/2046</t>
  </si>
  <si>
    <t xml:space="preserve">ISIN  US3138WGSP04 </t>
  </si>
  <si>
    <t>180305024239217</t>
  </si>
  <si>
    <t>UST 3.125  05/15/2021</t>
  </si>
  <si>
    <t xml:space="preserve">ISIN  US912828QN35 </t>
  </si>
  <si>
    <t>449417683-0-1</t>
  </si>
  <si>
    <t>CRP GM 5.4 040148</t>
  </si>
  <si>
    <t xml:space="preserve">ISIN  US37045VAQ32 </t>
  </si>
  <si>
    <t>08-Mar-2018</t>
  </si>
  <si>
    <t>449417704-0-1</t>
  </si>
  <si>
    <t>US TREASURY 2.75 15/11/2047</t>
  </si>
  <si>
    <t xml:space="preserve">ISIN  US912810RZ30 </t>
  </si>
  <si>
    <t>DU0083720029202</t>
  </si>
  <si>
    <t>UNITED STATES TREAS NTS 2.75% DTD 0 2/15/2018 MTY 02/15/2028</t>
  </si>
  <si>
    <t>VU0083720013301</t>
  </si>
  <si>
    <t>Citigroup Global Markets, Inc.-CGMLCTMX</t>
  </si>
  <si>
    <t>BUONI POLIENNALI DEL TES 0.65% 11/0 1/2020 DTD 11/01/2015</t>
  </si>
  <si>
    <t xml:space="preserve">SEDO  BYT5CP2 </t>
  </si>
  <si>
    <t>1000000019953641</t>
  </si>
  <si>
    <t>Credit Suisse Securities (USA) LLC-CSUSALLCCTM</t>
  </si>
  <si>
    <t>CHTR 5.0 02/01/2028</t>
  </si>
  <si>
    <t xml:space="preserve">CUSI  1248EPBX0 </t>
  </si>
  <si>
    <t>1000000019953660</t>
  </si>
  <si>
    <t>CPN 5.75 01/15/2025</t>
  </si>
  <si>
    <t xml:space="preserve">CUSI  131347CF1 </t>
  </si>
  <si>
    <t>358739_20180306</t>
  </si>
  <si>
    <t>Deutsche Bank Securities Inc. - NWSCUS33XXX</t>
  </si>
  <si>
    <t>AMGEN INC 4.4 20450501</t>
  </si>
  <si>
    <t xml:space="preserve">CUSI  031162BZ2 </t>
  </si>
  <si>
    <t>358741_20180306</t>
  </si>
  <si>
    <t>US TREASURY N/B 2.75 20471115</t>
  </si>
  <si>
    <t xml:space="preserve">CUSI  912810RZ3 </t>
  </si>
  <si>
    <t>GS129537745</t>
  </si>
  <si>
    <t>Goldman Sachs and Company - GOLDUS33</t>
  </si>
  <si>
    <t>ABBVIE INC 4.7% 05/14/2045 USD SR</t>
  </si>
  <si>
    <t xml:space="preserve">ISIN  US00287YAS81 </t>
  </si>
  <si>
    <t>GS129535997</t>
  </si>
  <si>
    <t>GS129537743</t>
  </si>
  <si>
    <t>U.S. TREASURY BOND 2.750000% 11/15</t>
  </si>
  <si>
    <t>GS129535995</t>
  </si>
  <si>
    <t>423108-1803</t>
  </si>
  <si>
    <t>HSBC Bank Plc - HSBCFICTMNY</t>
  </si>
  <si>
    <t>BONCER 2 1/2 07/22/21</t>
  </si>
  <si>
    <t xml:space="preserve">ISIN  ARARGE320283 </t>
  </si>
  <si>
    <t>963807721</t>
  </si>
  <si>
    <t>J.P. Morgan Securities - JPMSGB2LXXX</t>
  </si>
  <si>
    <t>SPGB 0.05 01/31/21</t>
  </si>
  <si>
    <t xml:space="preserve">ISIN  ES00000128X2 </t>
  </si>
  <si>
    <t>963809058</t>
  </si>
  <si>
    <t>J.P. Morgan Securities LLC-JPMSUS3XXXX</t>
  </si>
  <si>
    <t>T 2 3/4 02/15/28</t>
  </si>
  <si>
    <t xml:space="preserve">CUSI  9128283W8 </t>
  </si>
  <si>
    <t>963809057</t>
  </si>
  <si>
    <t>963808817</t>
  </si>
  <si>
    <t>963809054</t>
  </si>
  <si>
    <t>T 2 1/4 02/15/21</t>
  </si>
  <si>
    <t xml:space="preserve">CUSI  9128283X6 </t>
  </si>
  <si>
    <t>963809052</t>
  </si>
  <si>
    <t>963808819</t>
  </si>
  <si>
    <t>963809056</t>
  </si>
  <si>
    <t>T 2 3/4 02/28/25</t>
  </si>
  <si>
    <t xml:space="preserve">CUSI  9128283Z1 </t>
  </si>
  <si>
    <t>963809055</t>
  </si>
  <si>
    <t>963808816</t>
  </si>
  <si>
    <t>42BVJTL4-1-NY</t>
  </si>
  <si>
    <t>T 1.875 Mar 31, 2022 EXMT</t>
  </si>
  <si>
    <t xml:space="preserve">ISIN  US912828W895 </t>
  </si>
  <si>
    <t>0.39.13022687_1</t>
  </si>
  <si>
    <t>LYB 3.500% 02-MAR-27</t>
  </si>
  <si>
    <t xml:space="preserve">ISIN  US50247WAB37 </t>
  </si>
  <si>
    <t>0.39.13022692_1</t>
  </si>
  <si>
    <t>T 2.750% 15-FEB-28</t>
  </si>
  <si>
    <t>Government</t>
  </si>
  <si>
    <t>21480791</t>
  </si>
  <si>
    <t>BONY 2785</t>
  </si>
  <si>
    <t>CONNELLY</t>
  </si>
  <si>
    <t>ACADEMY SECURITIES, INC.</t>
  </si>
  <si>
    <t>Sell</t>
  </si>
  <si>
    <t>9128284A5</t>
  </si>
  <si>
    <t>T 2.625 02/28/2023</t>
  </si>
  <si>
    <t>US GOV</t>
  </si>
  <si>
    <t>CONNELLY_MFL_FI</t>
  </si>
  <si>
    <t xml:space="preserve">no platform - confimred manually by Rey at Academy </t>
  </si>
  <si>
    <t>JMAGNESS</t>
  </si>
  <si>
    <t>QACK</t>
  </si>
  <si>
    <t>21480777</t>
  </si>
  <si>
    <t>9128283W8</t>
  </si>
  <si>
    <t>T 2.75 02/15/2028</t>
  </si>
  <si>
    <t>21484346</t>
  </si>
  <si>
    <t>CSI 7533G</t>
  </si>
  <si>
    <t>ASIR_M</t>
  </si>
  <si>
    <t>AGENCY TRADING GROUP INC</t>
  </si>
  <si>
    <t>ASIR_M_MFL_FI</t>
  </si>
  <si>
    <t>MLP SYSTEM ISSUE – Confirmed over email with Michael Garland, Jr.</t>
  </si>
  <si>
    <t>VEN_SKULKARNI</t>
  </si>
  <si>
    <t>Corporate</t>
  </si>
  <si>
    <t>21484345</t>
  </si>
  <si>
    <t>Buy</t>
  </si>
  <si>
    <t>816851BG3</t>
  </si>
  <si>
    <t>SRE 3.4 02/01/2028</t>
  </si>
  <si>
    <t>US CORP</t>
  </si>
  <si>
    <t>21484760</t>
  </si>
  <si>
    <t>ASIR_DU</t>
  </si>
  <si>
    <t>369604BQ5</t>
  </si>
  <si>
    <t>GE V5 P12/29/2049 D</t>
  </si>
  <si>
    <t>ASIR_DU_MFL_FI</t>
  </si>
  <si>
    <t>NO PLATFORM - Confirmed over email with Michael Garland, Jr.</t>
  </si>
  <si>
    <t>21484469</t>
  </si>
  <si>
    <t>CGMI XPBMFI6</t>
  </si>
  <si>
    <t>NEG_NR</t>
  </si>
  <si>
    <t>BANCO BILBAO VIZCAYA ARGENTARIA SI</t>
  </si>
  <si>
    <t>040114GX2</t>
  </si>
  <si>
    <t>ARGENT 7.5 04/22/2026</t>
  </si>
  <si>
    <t>AR GOV</t>
  </si>
  <si>
    <t>NEG_NR_MFL_FI</t>
  </si>
  <si>
    <t xml:space="preserve">NO PLATFORM - Confirmed over email with JOSE CARDOZA </t>
  </si>
  <si>
    <t>21480803</t>
  </si>
  <si>
    <t>BONELLO</t>
  </si>
  <si>
    <t>BANK OF AMERICA ELECTRONIC</t>
  </si>
  <si>
    <t>9128283Z1</t>
  </si>
  <si>
    <t>T 2.75 02/28/2025</t>
  </si>
  <si>
    <t>BN21480803</t>
  </si>
  <si>
    <t>BONELLO_MFL_FI</t>
  </si>
  <si>
    <t>TC-KINETIX-BRIDGE</t>
  </si>
  <si>
    <t>21481120</t>
  </si>
  <si>
    <t>BN21481120</t>
  </si>
  <si>
    <t>21482669</t>
  </si>
  <si>
    <t>VEALE</t>
  </si>
  <si>
    <t>BN21482669</t>
  </si>
  <si>
    <t>VEALE_MFL_FI</t>
  </si>
  <si>
    <t>21483647</t>
  </si>
  <si>
    <t>BN21483647</t>
  </si>
  <si>
    <t>21484190</t>
  </si>
  <si>
    <t>BN21484190</t>
  </si>
  <si>
    <t>21484191</t>
  </si>
  <si>
    <t>9128283X6</t>
  </si>
  <si>
    <t>T 2.25 02/15/2021</t>
  </si>
  <si>
    <t>BN21484191</t>
  </si>
  <si>
    <t>21485022</t>
  </si>
  <si>
    <t>BN21485022</t>
  </si>
  <si>
    <t>21485023</t>
  </si>
  <si>
    <t>BN21485023</t>
  </si>
  <si>
    <t>21480759</t>
  </si>
  <si>
    <t>Voided</t>
  </si>
  <si>
    <t>E-Confirmed</t>
  </si>
  <si>
    <t>21476197</t>
  </si>
  <si>
    <t>BAIL_CR</t>
  </si>
  <si>
    <t>BANK OF AMERICA N.A.</t>
  </si>
  <si>
    <t>91324PDF6</t>
  </si>
  <si>
    <t>UNH 3.75 10/15/2047</t>
  </si>
  <si>
    <t>BN21476197</t>
  </si>
  <si>
    <t>BAIL_CR_MFL_FI</t>
  </si>
  <si>
    <t>Ribenincasa</t>
  </si>
  <si>
    <t>21476198</t>
  </si>
  <si>
    <t>912810RZ3</t>
  </si>
  <si>
    <t>T 2.75 11/15/2047</t>
  </si>
  <si>
    <t>BN21476198</t>
  </si>
  <si>
    <t>21476417</t>
  </si>
  <si>
    <t>125509BW8</t>
  </si>
  <si>
    <t>CI 3.875 10/15/2047</t>
  </si>
  <si>
    <t>BN21476417</t>
  </si>
  <si>
    <t>21476416</t>
  </si>
  <si>
    <t>BN21476416</t>
  </si>
  <si>
    <t>21476668</t>
  </si>
  <si>
    <t>TT_JS</t>
  </si>
  <si>
    <t>BN21476668</t>
  </si>
  <si>
    <t>TT_JS_MFL_FI</t>
  </si>
  <si>
    <t>jstaisiunas</t>
  </si>
  <si>
    <t>21477005</t>
  </si>
  <si>
    <t>ASIR_RT</t>
  </si>
  <si>
    <t>BN21477005</t>
  </si>
  <si>
    <t>ASIR_RT_MFL_FI</t>
  </si>
  <si>
    <t>21477006</t>
  </si>
  <si>
    <t>78355HKG3</t>
  </si>
  <si>
    <t>R 3.4 03/01/2023 MTN</t>
  </si>
  <si>
    <t>BN21477006</t>
  </si>
  <si>
    <t>21477008</t>
  </si>
  <si>
    <t>BCSL 500955</t>
  </si>
  <si>
    <t>XS1754213947</t>
  </si>
  <si>
    <t>UCGIM 1 01/18/2023 EMTN</t>
  </si>
  <si>
    <t>BN21477008</t>
  </si>
  <si>
    <t>IT CORP</t>
  </si>
  <si>
    <t>21477010</t>
  </si>
  <si>
    <t>DE0001141760</t>
  </si>
  <si>
    <t>OBL 0 10/07/2022</t>
  </si>
  <si>
    <t>BN21477010</t>
  </si>
  <si>
    <t>DE GOV</t>
  </si>
  <si>
    <t>21481656</t>
  </si>
  <si>
    <t>AQ7342571</t>
  </si>
  <si>
    <t>OMAN 5.625 01/17/2028 S</t>
  </si>
  <si>
    <t>BN21481656</t>
  </si>
  <si>
    <t>OM GOV</t>
  </si>
  <si>
    <t>21483280</t>
  </si>
  <si>
    <t>ASIR_TR</t>
  </si>
  <si>
    <t>035242AP1</t>
  </si>
  <si>
    <t>ABIBB 3.65 02/01/2026</t>
  </si>
  <si>
    <t>BN21483280</t>
  </si>
  <si>
    <t>ASIR_TR_MFL_FI</t>
  </si>
  <si>
    <t>21483282</t>
  </si>
  <si>
    <t>BN21483282</t>
  </si>
  <si>
    <t>21483311</t>
  </si>
  <si>
    <t>BAIL_AD</t>
  </si>
  <si>
    <t>13057QAG2</t>
  </si>
  <si>
    <t>CRC 8 12/15/2022 A</t>
  </si>
  <si>
    <t>BN21483311</t>
  </si>
  <si>
    <t>BAIL_AD_MFL_FI</t>
  </si>
  <si>
    <t>21483401</t>
  </si>
  <si>
    <t>SRBL_CR</t>
  </si>
  <si>
    <t>BN21483401</t>
  </si>
  <si>
    <t>SRBL_CR_MFL_FI</t>
  </si>
  <si>
    <t>21483402</t>
  </si>
  <si>
    <t>NET_FIN</t>
  </si>
  <si>
    <t>61746BEG7</t>
  </si>
  <si>
    <t>MS 4.375 01/22/2047</t>
  </si>
  <si>
    <t>BN21483402</t>
  </si>
  <si>
    <t>NET_FIN_MFL_FI</t>
  </si>
  <si>
    <t>21483404</t>
  </si>
  <si>
    <t>BN21483404</t>
  </si>
  <si>
    <t>21483440</t>
  </si>
  <si>
    <t>500630CU0</t>
  </si>
  <si>
    <t>KDB 3.375 03/12/2023</t>
  </si>
  <si>
    <t>BN21483440</t>
  </si>
  <si>
    <t>KR GOV</t>
  </si>
  <si>
    <t>21483439</t>
  </si>
  <si>
    <t>500630CT3</t>
  </si>
  <si>
    <t>KDB F 03/12/2021</t>
  </si>
  <si>
    <t>BN21483439</t>
  </si>
  <si>
    <t>21484144</t>
  </si>
  <si>
    <t>BN21484144</t>
  </si>
  <si>
    <t>21484145</t>
  </si>
  <si>
    <t>63861VAB3</t>
  </si>
  <si>
    <t>NWIDE V4.302 03/08/2029 A</t>
  </si>
  <si>
    <t>BN21484145</t>
  </si>
  <si>
    <t>21481749</t>
  </si>
  <si>
    <t>ZARKHIN</t>
  </si>
  <si>
    <t>912828C99</t>
  </si>
  <si>
    <t>TII 0.125 04/15/2019</t>
  </si>
  <si>
    <t>BN21481749</t>
  </si>
  <si>
    <t>ZARKHIN_MFL_FI</t>
  </si>
  <si>
    <t>acohn</t>
  </si>
  <si>
    <t>21484344</t>
  </si>
  <si>
    <t>01609WAW2</t>
  </si>
  <si>
    <t>BABA 4.4 12/06/2057</t>
  </si>
  <si>
    <t>BN21484344</t>
  </si>
  <si>
    <t>KY CORP</t>
  </si>
  <si>
    <t>21484347</t>
  </si>
  <si>
    <t>BN21484347</t>
  </si>
  <si>
    <t>21484750</t>
  </si>
  <si>
    <t>50247WAB3</t>
  </si>
  <si>
    <t>LYB 3.5 03/02/2027</t>
  </si>
  <si>
    <t>BN21484750</t>
  </si>
  <si>
    <t>NL CORP</t>
  </si>
  <si>
    <t>21484752</t>
  </si>
  <si>
    <t>BN21484752</t>
  </si>
  <si>
    <t>21483458</t>
  </si>
  <si>
    <t>912810SA7</t>
  </si>
  <si>
    <t>T 3 02/15/2048</t>
  </si>
  <si>
    <t>21481286</t>
  </si>
  <si>
    <t>AG_CP</t>
  </si>
  <si>
    <t>BANK OF AMERICA SECURITIES</t>
  </si>
  <si>
    <t>BN21481286</t>
  </si>
  <si>
    <t>AG_CP_MFL_FI</t>
  </si>
  <si>
    <t>US ABS</t>
  </si>
  <si>
    <t>21476055</t>
  </si>
  <si>
    <t>CGMI XPBMFI7</t>
  </si>
  <si>
    <t>21H032639</t>
  </si>
  <si>
    <t>G2SF 3.5 3/18</t>
  </si>
  <si>
    <t>BN21476055</t>
  </si>
  <si>
    <t>21476053</t>
  </si>
  <si>
    <t>BN21476053</t>
  </si>
  <si>
    <t>21476554</t>
  </si>
  <si>
    <t>21H032654</t>
  </si>
  <si>
    <t>G2SF 3.5 5/18</t>
  </si>
  <si>
    <t>BN21476554</t>
  </si>
  <si>
    <t>21476540</t>
  </si>
  <si>
    <t>BN21476540</t>
  </si>
  <si>
    <t>21481354</t>
  </si>
  <si>
    <t>AG_TRS</t>
  </si>
  <si>
    <t>01F030439</t>
  </si>
  <si>
    <t>FNCI 3 3/18</t>
  </si>
  <si>
    <t>BN21481354</t>
  </si>
  <si>
    <t>AG_TRS_MFL_FI</t>
  </si>
  <si>
    <t>21481716</t>
  </si>
  <si>
    <t>01F030447</t>
  </si>
  <si>
    <t>FNCI 3 4/18</t>
  </si>
  <si>
    <t>BN21481716</t>
  </si>
  <si>
    <t>21484970</t>
  </si>
  <si>
    <t>SYM_ES</t>
  </si>
  <si>
    <t>BANK OF MONTREAL</t>
  </si>
  <si>
    <t>CA135087E679</t>
  </si>
  <si>
    <t>CAD</t>
  </si>
  <si>
    <t>CAN 1.5 06/01/2026</t>
  </si>
  <si>
    <t>BN21484970</t>
  </si>
  <si>
    <t>CA GOV</t>
  </si>
  <si>
    <t>SYM_ES_MFL_FI</t>
  </si>
  <si>
    <t>21473340</t>
  </si>
  <si>
    <t>SUTTON</t>
  </si>
  <si>
    <t>BARCLAYS BANK PLC</t>
  </si>
  <si>
    <t>ES0000012B39</t>
  </si>
  <si>
    <t>SPGB 1.4 04/30/2028</t>
  </si>
  <si>
    <t>BN21473340</t>
  </si>
  <si>
    <t>ES GOV</t>
  </si>
  <si>
    <t>SUTTON_MFL_FI</t>
  </si>
  <si>
    <t>asutton</t>
  </si>
  <si>
    <t>21473974</t>
  </si>
  <si>
    <t>DE0001102390</t>
  </si>
  <si>
    <t>DBR 0.5 02/15/2026</t>
  </si>
  <si>
    <t>BN21473974</t>
  </si>
  <si>
    <t>21474072</t>
  </si>
  <si>
    <t>BAIL_JG</t>
  </si>
  <si>
    <t>XS1640903701</t>
  </si>
  <si>
    <t>HSBC V4.75 PERP EMTN</t>
  </si>
  <si>
    <t>BN21474072</t>
  </si>
  <si>
    <t>GB CORP</t>
  </si>
  <si>
    <t>BAIL_JG_MFL_FI</t>
  </si>
  <si>
    <t>21476806</t>
  </si>
  <si>
    <t>BN21476806</t>
  </si>
  <si>
    <t>RIBENINCASA</t>
  </si>
  <si>
    <t>21480782</t>
  </si>
  <si>
    <t>AITSAID</t>
  </si>
  <si>
    <t>DE0001135473</t>
  </si>
  <si>
    <t>DBR 1.75 07/04/2022</t>
  </si>
  <si>
    <t>BN21480782</t>
  </si>
  <si>
    <t>AITSAID_MFL_FI</t>
  </si>
  <si>
    <t>21481094</t>
  </si>
  <si>
    <t>639365AH8</t>
  </si>
  <si>
    <t>NM 11.25 08/15/2022 A</t>
  </si>
  <si>
    <t>BN21481094</t>
  </si>
  <si>
    <t>MH CORP</t>
  </si>
  <si>
    <t>21481139</t>
  </si>
  <si>
    <t>026874DH7</t>
  </si>
  <si>
    <t>AIG 3.9 04/01/2026</t>
  </si>
  <si>
    <t>BN21481139</t>
  </si>
  <si>
    <t>21481140</t>
  </si>
  <si>
    <t>BN21481140</t>
  </si>
  <si>
    <t>21481316</t>
  </si>
  <si>
    <t>BN21481316</t>
  </si>
  <si>
    <t>21481373</t>
  </si>
  <si>
    <t>BN21481373</t>
  </si>
  <si>
    <t>21481618</t>
  </si>
  <si>
    <t>BN21481618</t>
  </si>
  <si>
    <t>21481620</t>
  </si>
  <si>
    <t>BN21481620</t>
  </si>
  <si>
    <t>21483453</t>
  </si>
  <si>
    <t>BN21483453</t>
  </si>
  <si>
    <t>21483470</t>
  </si>
  <si>
    <t>BN21483470</t>
  </si>
  <si>
    <t>21481537</t>
  </si>
  <si>
    <t>NEG_BMXF</t>
  </si>
  <si>
    <t>767754CH5</t>
  </si>
  <si>
    <t>RAD 6.125 04/01/2023 A</t>
  </si>
  <si>
    <t>BN21481537</t>
  </si>
  <si>
    <t>NEG_BMXF_MFL_FI</t>
  </si>
  <si>
    <t>bmaggio</t>
  </si>
  <si>
    <t>21484135</t>
  </si>
  <si>
    <t>04686JAA9</t>
  </si>
  <si>
    <t>ATH 4.125 01/12/2028</t>
  </si>
  <si>
    <t>BN21484135</t>
  </si>
  <si>
    <t>BM CORP</t>
  </si>
  <si>
    <t>21484142</t>
  </si>
  <si>
    <t>BN21484142</t>
  </si>
  <si>
    <t>21483278</t>
  </si>
  <si>
    <t>BN21483278</t>
  </si>
  <si>
    <t>21484354</t>
  </si>
  <si>
    <t>SYM_SA</t>
  </si>
  <si>
    <t>9128283F5</t>
  </si>
  <si>
    <t>T 2.25 11/15/2027</t>
  </si>
  <si>
    <t>BN21484354</t>
  </si>
  <si>
    <t>SYM_SA_MFL_FI</t>
  </si>
  <si>
    <t>21484355</t>
  </si>
  <si>
    <t>BN21484355</t>
  </si>
  <si>
    <t>21484401</t>
  </si>
  <si>
    <t>BN21484401</t>
  </si>
  <si>
    <t>21484503</t>
  </si>
  <si>
    <t>29250NAW5</t>
  </si>
  <si>
    <t>ENBCN V6.25 03/01/2078</t>
  </si>
  <si>
    <t>BN21484503</t>
  </si>
  <si>
    <t>CA CORP</t>
  </si>
  <si>
    <t>21484682</t>
  </si>
  <si>
    <t>NEG_MG</t>
  </si>
  <si>
    <t>BN21484682</t>
  </si>
  <si>
    <t>NEG_MG_MFL_FI</t>
  </si>
  <si>
    <t>21484680</t>
  </si>
  <si>
    <t>25470DAR0</t>
  </si>
  <si>
    <t>DISCA 3.95 03/20/2028</t>
  </si>
  <si>
    <t>BN21484680</t>
  </si>
  <si>
    <t>21483810</t>
  </si>
  <si>
    <t>912828XL9</t>
  </si>
  <si>
    <t>TII 0.375 07/15/2025</t>
  </si>
  <si>
    <t>trades confimred manually by Danijela at Barclays</t>
  </si>
  <si>
    <t>21483841</t>
  </si>
  <si>
    <t>912828K74</t>
  </si>
  <si>
    <t>T 2 08/15/2025</t>
  </si>
  <si>
    <t>21483864</t>
  </si>
  <si>
    <t>AITSD_MA</t>
  </si>
  <si>
    <t>AITSD_MA_MFL_FI</t>
  </si>
  <si>
    <t>21486251</t>
  </si>
  <si>
    <t>21484270</t>
  </si>
  <si>
    <t>01F030637</t>
  </si>
  <si>
    <t>FNCL 3 3/18</t>
  </si>
  <si>
    <t>BN21484270</t>
  </si>
  <si>
    <t>21475510</t>
  </si>
  <si>
    <t>BGC FINANCIAL LP</t>
  </si>
  <si>
    <t>DE0001104693</t>
  </si>
  <si>
    <t>BKO 0 09/13/2019</t>
  </si>
  <si>
    <t xml:space="preserve">NO PLATFORM - Match vs Confirmed 
</t>
  </si>
  <si>
    <t>VEN_VGAYAKWAD</t>
  </si>
  <si>
    <t>21479805</t>
  </si>
  <si>
    <t>21481245</t>
  </si>
  <si>
    <t>9128283Q1</t>
  </si>
  <si>
    <t>T 2 01/15/2021</t>
  </si>
  <si>
    <t xml:space="preserve">NO PLATFORM - Confirmed over email with Kahn, Dale </t>
  </si>
  <si>
    <t>21481244</t>
  </si>
  <si>
    <t>21481750</t>
  </si>
  <si>
    <t>DE0001135432</t>
  </si>
  <si>
    <t>DBR 3.25 07/04/2042</t>
  </si>
  <si>
    <t>21484663</t>
  </si>
  <si>
    <t>TIER</t>
  </si>
  <si>
    <t>9128282R0</t>
  </si>
  <si>
    <t>T 2.25 08/15/2027</t>
  </si>
  <si>
    <t>TIER_MFL_FI</t>
  </si>
  <si>
    <t xml:space="preserve">NO PLATFORM - Confirmed over email with Farina, Jonathan </t>
  </si>
  <si>
    <t>21484667</t>
  </si>
  <si>
    <t>21485016</t>
  </si>
  <si>
    <t>912810RX8</t>
  </si>
  <si>
    <t>T 3 05/15/2047</t>
  </si>
  <si>
    <t xml:space="preserve">NO PLATFORM - Confirmed over email with Farina.
</t>
  </si>
  <si>
    <t>VEN_RAKOTTUR</t>
  </si>
  <si>
    <t>21485015</t>
  </si>
  <si>
    <t>21476488</t>
  </si>
  <si>
    <t>BNP</t>
  </si>
  <si>
    <t>BN21476488</t>
  </si>
  <si>
    <t>JTOTH</t>
  </si>
  <si>
    <t>QNAK</t>
  </si>
  <si>
    <t>21476493</t>
  </si>
  <si>
    <t>CSI 7534G</t>
  </si>
  <si>
    <t>01F032633</t>
  </si>
  <si>
    <t>FNCL 3.5 3/18</t>
  </si>
  <si>
    <t>BN21476493</t>
  </si>
  <si>
    <t>21476785</t>
  </si>
  <si>
    <t>BNP PARIBAS</t>
  </si>
  <si>
    <t xml:space="preserve">INTERNAL AMEND – Trade is already confirmed with CP but MLP cancel corrects for some reason; no economic change, confirmed with  Magness, Joshua </t>
  </si>
  <si>
    <t>21484253</t>
  </si>
  <si>
    <t xml:space="preserve">BROKER BOOKING ISSUE (AESIR) - Confirmed over email with Jared FROST </t>
  </si>
  <si>
    <t>21476630</t>
  </si>
  <si>
    <t>BNP PARIBAS SECURITIES CORP.</t>
  </si>
  <si>
    <t>BN21476630</t>
  </si>
  <si>
    <t>21476880</t>
  </si>
  <si>
    <t>ANDBRO</t>
  </si>
  <si>
    <t>ZAG000077488</t>
  </si>
  <si>
    <t>ZAR</t>
  </si>
  <si>
    <t>SAGB 6.5 02/28/2041 R214</t>
  </si>
  <si>
    <t>BN21476880</t>
  </si>
  <si>
    <t>ZA GOV</t>
  </si>
  <si>
    <t>ANDBRO_C_MFL_FI</t>
  </si>
  <si>
    <t>daanderson</t>
  </si>
  <si>
    <t>21481384</t>
  </si>
  <si>
    <t>NEG_BM</t>
  </si>
  <si>
    <t>09659T2A8</t>
  </si>
  <si>
    <t>BNP V4.375 03/01/2033 A</t>
  </si>
  <si>
    <t>BN21481384</t>
  </si>
  <si>
    <t>FR CORP</t>
  </si>
  <si>
    <t>NEG_BM_MFL_FI</t>
  </si>
  <si>
    <t>21484304</t>
  </si>
  <si>
    <t>CSI 0Z6Q</t>
  </si>
  <si>
    <t>46115HBD8</t>
  </si>
  <si>
    <t>ISPIM 3.875 01/12/2028</t>
  </si>
  <si>
    <t>BN21484304</t>
  </si>
  <si>
    <t>NEG_BM_MPI_FI</t>
  </si>
  <si>
    <t>21488886</t>
  </si>
  <si>
    <t>38141GWV2</t>
  </si>
  <si>
    <t>GS V3.814 04/23/2029</t>
  </si>
  <si>
    <t>BN21488886</t>
  </si>
  <si>
    <t>21484303</t>
  </si>
  <si>
    <t>block matched only - trades confimred manually with Jen at BNP due to a system issue on their end</t>
  </si>
  <si>
    <t>21484187</t>
  </si>
  <si>
    <t>21481385</t>
  </si>
  <si>
    <t>21476272</t>
  </si>
  <si>
    <t>21483489</t>
  </si>
  <si>
    <t>21483491</t>
  </si>
  <si>
    <t>21483560</t>
  </si>
  <si>
    <t>MSELATI</t>
  </si>
  <si>
    <t>9128283Y4</t>
  </si>
  <si>
    <t>T 2.25 02/29/2020</t>
  </si>
  <si>
    <t>MSELATI_MFL_CO</t>
  </si>
  <si>
    <t>21484717</t>
  </si>
  <si>
    <t>21474927</t>
  </si>
  <si>
    <t>21475144</t>
  </si>
  <si>
    <t>21475408</t>
  </si>
  <si>
    <t>21476239</t>
  </si>
  <si>
    <t>21476268</t>
  </si>
  <si>
    <t>21477051</t>
  </si>
  <si>
    <t>21480887</t>
  </si>
  <si>
    <t>21481073</t>
  </si>
  <si>
    <t>21481490</t>
  </si>
  <si>
    <t>21481631</t>
  </si>
  <si>
    <t>21481687</t>
  </si>
  <si>
    <t>21483264</t>
  </si>
  <si>
    <t>21483331</t>
  </si>
  <si>
    <t>21483386</t>
  </si>
  <si>
    <t>21483433</t>
  </si>
  <si>
    <t>21483505</t>
  </si>
  <si>
    <t>21483506</t>
  </si>
  <si>
    <t>21483520</t>
  </si>
  <si>
    <t>21481249</t>
  </si>
  <si>
    <t>21483923</t>
  </si>
  <si>
    <t>21483519</t>
  </si>
  <si>
    <t>ttierney</t>
  </si>
  <si>
    <t>21484359</t>
  </si>
  <si>
    <t>21484473</t>
  </si>
  <si>
    <t>21484495</t>
  </si>
  <si>
    <t>21484546</t>
  </si>
  <si>
    <t>21484547</t>
  </si>
  <si>
    <t>21475233</t>
  </si>
  <si>
    <t>LOMBARDO</t>
  </si>
  <si>
    <t>CANTOR FITZGERALD &amp; CO.</t>
  </si>
  <si>
    <t>BN21475233</t>
  </si>
  <si>
    <t>LOMBARDO_MFL_FI</t>
  </si>
  <si>
    <t>klombardo</t>
  </si>
  <si>
    <t>21475248</t>
  </si>
  <si>
    <t>BN21475248</t>
  </si>
  <si>
    <t>21475225</t>
  </si>
  <si>
    <t>BN21475225</t>
  </si>
  <si>
    <t>21475174</t>
  </si>
  <si>
    <t>912810RY6</t>
  </si>
  <si>
    <t>T 2.75 08/15/2047</t>
  </si>
  <si>
    <t>BN21475174</t>
  </si>
  <si>
    <t>21475203</t>
  </si>
  <si>
    <t>BN21475203</t>
  </si>
  <si>
    <t>21483753</t>
  </si>
  <si>
    <t>89417EAN9</t>
  </si>
  <si>
    <t>TRV 4.05 03/07/2048</t>
  </si>
  <si>
    <t>BN21483753</t>
  </si>
  <si>
    <t>21483752</t>
  </si>
  <si>
    <t>BN21483752</t>
  </si>
  <si>
    <t>21481654</t>
  </si>
  <si>
    <t>CITADEL SECURITIES LLC</t>
  </si>
  <si>
    <t>BN21481654</t>
  </si>
  <si>
    <t>nrana</t>
  </si>
  <si>
    <t>21484433</t>
  </si>
  <si>
    <t>BN21484433</t>
  </si>
  <si>
    <t>21484431</t>
  </si>
  <si>
    <t>BN21484431</t>
  </si>
  <si>
    <t>21484439</t>
  </si>
  <si>
    <t>BN21484439</t>
  </si>
  <si>
    <t>21475647</t>
  </si>
  <si>
    <t>NET_MACR</t>
  </si>
  <si>
    <t>CITIBANK N A</t>
  </si>
  <si>
    <t>BN21475647</t>
  </si>
  <si>
    <t>NET_MACR_MFL_FI</t>
  </si>
  <si>
    <t>21475965</t>
  </si>
  <si>
    <t>55336VAM2</t>
  </si>
  <si>
    <t>MPLX 4.5 04/15/2038</t>
  </si>
  <si>
    <t>BN21475965</t>
  </si>
  <si>
    <t>21475966</t>
  </si>
  <si>
    <t>BN21475966</t>
  </si>
  <si>
    <t>21476731</t>
  </si>
  <si>
    <t>GOYAL</t>
  </si>
  <si>
    <t>GR0124034688</t>
  </si>
  <si>
    <t>GGB 3.75 01/30/2028</t>
  </si>
  <si>
    <t>BN21476731</t>
  </si>
  <si>
    <t>GR GOV</t>
  </si>
  <si>
    <t>GOYAL_CR_MFL_FI</t>
  </si>
  <si>
    <t>cferraro</t>
  </si>
  <si>
    <t>21480755</t>
  </si>
  <si>
    <t>912828XT2</t>
  </si>
  <si>
    <t>T 2 05/31/2024</t>
  </si>
  <si>
    <t>BN21480755</t>
  </si>
  <si>
    <t>21480756</t>
  </si>
  <si>
    <t>BN21480756</t>
  </si>
  <si>
    <t>21480823</t>
  </si>
  <si>
    <t>BN21480823</t>
  </si>
  <si>
    <t>21480824</t>
  </si>
  <si>
    <t>29278GAF5</t>
  </si>
  <si>
    <t>ENELIM 3.5 04/06/2028 A</t>
  </si>
  <si>
    <t>BN21480824</t>
  </si>
  <si>
    <t>21480849</t>
  </si>
  <si>
    <t>BN21480849</t>
  </si>
  <si>
    <t>21479286</t>
  </si>
  <si>
    <t>BN21479286</t>
  </si>
  <si>
    <t>cdaniel</t>
  </si>
  <si>
    <t>21481199</t>
  </si>
  <si>
    <t>BN21481199</t>
  </si>
  <si>
    <t>21483272</t>
  </si>
  <si>
    <t>BN21483272</t>
  </si>
  <si>
    <t>21483273</t>
  </si>
  <si>
    <t>BN21483273</t>
  </si>
  <si>
    <t>21483291</t>
  </si>
  <si>
    <t>00206RER9</t>
  </si>
  <si>
    <t>T 4.1 02/15/2028 A</t>
  </si>
  <si>
    <t>BN21483291</t>
  </si>
  <si>
    <t>21483290</t>
  </si>
  <si>
    <t>BN21483290</t>
  </si>
  <si>
    <t>21481612</t>
  </si>
  <si>
    <t>BN21481612</t>
  </si>
  <si>
    <t>21483721</t>
  </si>
  <si>
    <t>BN21483721</t>
  </si>
  <si>
    <t>21483500</t>
  </si>
  <si>
    <t>BN21483500</t>
  </si>
  <si>
    <t>21484239</t>
  </si>
  <si>
    <t>373143AA4</t>
  </si>
  <si>
    <t>GEOCAP 6.375 03/09/2024 A</t>
  </si>
  <si>
    <t>BN21484239</t>
  </si>
  <si>
    <t>21484334</t>
  </si>
  <si>
    <t>BN21484334</t>
  </si>
  <si>
    <t>21484333</t>
  </si>
  <si>
    <t>BN21484333</t>
  </si>
  <si>
    <t>21484353</t>
  </si>
  <si>
    <t>GB00B16NNR78</t>
  </si>
  <si>
    <t>GBP</t>
  </si>
  <si>
    <t>UKT 4.25 12/07/2027</t>
  </si>
  <si>
    <t>BN21484353</t>
  </si>
  <si>
    <t>GB GOV</t>
  </si>
  <si>
    <t>21484357</t>
  </si>
  <si>
    <t>GB00BDRHNP05</t>
  </si>
  <si>
    <t>UKT 1.25 07/22/2027</t>
  </si>
  <si>
    <t>BN21484357</t>
  </si>
  <si>
    <t>21484757</t>
  </si>
  <si>
    <t>BN21484757</t>
  </si>
  <si>
    <t>21484758</t>
  </si>
  <si>
    <t>126650CN8</t>
  </si>
  <si>
    <t>CVS 5.125 07/20/2045</t>
  </si>
  <si>
    <t>BN21484758</t>
  </si>
  <si>
    <t>21484753</t>
  </si>
  <si>
    <t>NEG_RN2</t>
  </si>
  <si>
    <t>55336VAR1</t>
  </si>
  <si>
    <t>MPLX 4 03/15/2028</t>
  </si>
  <si>
    <t>BN21484753</t>
  </si>
  <si>
    <t>NEG_RN2_MFL_FI</t>
  </si>
  <si>
    <t>21484754</t>
  </si>
  <si>
    <t>BN21484754</t>
  </si>
  <si>
    <t>21480841</t>
  </si>
  <si>
    <t>ASIR_BG</t>
  </si>
  <si>
    <t>12686CBB4</t>
  </si>
  <si>
    <t>CVC 5.875 09/15/2022</t>
  </si>
  <si>
    <t>ASIR_BG_MFL_FI</t>
  </si>
  <si>
    <t>BROKER BOOKING ISSUE (AESIR) - Confirmed over email with Mitchell Falanga</t>
  </si>
  <si>
    <t>21483582</t>
  </si>
  <si>
    <t>21484105</t>
  </si>
  <si>
    <t>BROKER BOOKING ISSUE (AESIR) - Confirmed over email with mitchell.falanga</t>
  </si>
  <si>
    <t>21484234</t>
  </si>
  <si>
    <t>21475226</t>
  </si>
  <si>
    <t>CITIGROUP GLOBAL MARKETS INC</t>
  </si>
  <si>
    <t>BN21475226</t>
  </si>
  <si>
    <t>21484158</t>
  </si>
  <si>
    <t>BN21484158</t>
  </si>
  <si>
    <t>21481261</t>
  </si>
  <si>
    <t>BN21481261</t>
  </si>
  <si>
    <t>21481257</t>
  </si>
  <si>
    <t>01F030645</t>
  </si>
  <si>
    <t>FNCL 3 4/18</t>
  </si>
  <si>
    <t>BN21481257</t>
  </si>
  <si>
    <t>21481326</t>
  </si>
  <si>
    <t>01F042632</t>
  </si>
  <si>
    <t>FNCL 4.5 3/18</t>
  </si>
  <si>
    <t>BN21481326</t>
  </si>
  <si>
    <t>21482906</t>
  </si>
  <si>
    <t>01F042640</t>
  </si>
  <si>
    <t>FNCL 4.5 4/18</t>
  </si>
  <si>
    <t>BN21482906</t>
  </si>
  <si>
    <t>21481399</t>
  </si>
  <si>
    <t>COEX PARTNERS</t>
  </si>
  <si>
    <t xml:space="preserve">NO PLATFORM - Confirmed over email with Toni Lopardo </t>
  </si>
  <si>
    <t>21494140</t>
  </si>
  <si>
    <t>293791AW9</t>
  </si>
  <si>
    <t>EPD V0 01/15/2068 B</t>
  </si>
  <si>
    <t>SCBAKER</t>
  </si>
  <si>
    <t>21476107</t>
  </si>
  <si>
    <t>SYM_DT</t>
  </si>
  <si>
    <t>CREDIT AGRICOLE CORPORATE</t>
  </si>
  <si>
    <t>IT0005056541</t>
  </si>
  <si>
    <t>CCTS F 12/15/2020 EU</t>
  </si>
  <si>
    <t>BN21476107</t>
  </si>
  <si>
    <t>IT GOV</t>
  </si>
  <si>
    <t>SYM_DT_MFL_FI</t>
  </si>
  <si>
    <t>21484330</t>
  </si>
  <si>
    <t>CREDIT SUISSE SECURITIES (USA) LLC</t>
  </si>
  <si>
    <t>01F040636</t>
  </si>
  <si>
    <t>FNCL 4 3/18</t>
  </si>
  <si>
    <t>BN21484330</t>
  </si>
  <si>
    <t>21481161</t>
  </si>
  <si>
    <t>21H042638</t>
  </si>
  <si>
    <t>G2SF 4.5 3/18</t>
  </si>
  <si>
    <t>block matched and matched at ficc</t>
  </si>
  <si>
    <t>CMCEVILLY</t>
  </si>
  <si>
    <t>21481738</t>
  </si>
  <si>
    <t>BONY 2474</t>
  </si>
  <si>
    <t>US_GDEBT</t>
  </si>
  <si>
    <t>DAIWA CAPITAL MARKETS AMERICA INC.</t>
  </si>
  <si>
    <t>912796PJ2</t>
  </si>
  <si>
    <t>B 0 06/07/2018</t>
  </si>
  <si>
    <t>US_GDEBT_MLP_OT</t>
  </si>
  <si>
    <t>21484740</t>
  </si>
  <si>
    <t>DEUTSCHE BANK AG</t>
  </si>
  <si>
    <t>912796PY9</t>
  </si>
  <si>
    <t>B 0 09/06/2018</t>
  </si>
  <si>
    <t>previously confirmed, WIT bill roll</t>
  </si>
  <si>
    <t>21485136</t>
  </si>
  <si>
    <t>21476863</t>
  </si>
  <si>
    <t>DEUTSCHE BK AG</t>
  </si>
  <si>
    <t>BN21476863</t>
  </si>
  <si>
    <t>21483641</t>
  </si>
  <si>
    <t>00287YAS8</t>
  </si>
  <si>
    <t>ABBV 4.7 05/14/2045</t>
  </si>
  <si>
    <t>BN21483641</t>
  </si>
  <si>
    <t>21483642</t>
  </si>
  <si>
    <t>BN21483642</t>
  </si>
  <si>
    <t>21484248</t>
  </si>
  <si>
    <t>BN21484248</t>
  </si>
  <si>
    <t>21484249</t>
  </si>
  <si>
    <t>912828X88</t>
  </si>
  <si>
    <t>T 2.375 05/15/2027</t>
  </si>
  <si>
    <t>BN21484249</t>
  </si>
  <si>
    <t>21484351</t>
  </si>
  <si>
    <t>BN21484351</t>
  </si>
  <si>
    <t>21484352</t>
  </si>
  <si>
    <t>035242AN6</t>
  </si>
  <si>
    <t>ABIBB 4.9 02/01/2046</t>
  </si>
  <si>
    <t>BN21484352</t>
  </si>
  <si>
    <t>21484460</t>
  </si>
  <si>
    <t>031162CF5</t>
  </si>
  <si>
    <t>AMGN 4.663 06/15/2051</t>
  </si>
  <si>
    <t>BN21484460</t>
  </si>
  <si>
    <t>21484462</t>
  </si>
  <si>
    <t>BN21484462</t>
  </si>
  <si>
    <t>21484478</t>
  </si>
  <si>
    <t>031162BZ2</t>
  </si>
  <si>
    <t>AMGN 4.4 05/01/2045</t>
  </si>
  <si>
    <t>BN21484478</t>
  </si>
  <si>
    <t>21484479</t>
  </si>
  <si>
    <t>BN21484479</t>
  </si>
  <si>
    <t>21484774</t>
  </si>
  <si>
    <t>80281LAG0</t>
  </si>
  <si>
    <t>SANUK V3.823 11/03/2028</t>
  </si>
  <si>
    <t>BN21484774</t>
  </si>
  <si>
    <t>21484773</t>
  </si>
  <si>
    <t>BN21484773</t>
  </si>
  <si>
    <t>21488758</t>
  </si>
  <si>
    <t>BN21488758</t>
  </si>
  <si>
    <t>21488756</t>
  </si>
  <si>
    <t>BN21488756</t>
  </si>
  <si>
    <t>21476913</t>
  </si>
  <si>
    <t xml:space="preserve">BROKER BOOKING ISSUE - Confirmed over email with Sarah Saffold </t>
  </si>
  <si>
    <t>21481539</t>
  </si>
  <si>
    <t xml:space="preserve">BROKER BOOKING ISSUE (AESIR) - Confirmed over email with Bill Siano </t>
  </si>
  <si>
    <t>21481572</t>
  </si>
  <si>
    <t>21481592</t>
  </si>
  <si>
    <t>21481746</t>
  </si>
  <si>
    <t>21484109</t>
  </si>
  <si>
    <t>21484112</t>
  </si>
  <si>
    <t>21484166</t>
  </si>
  <si>
    <t>21485137</t>
  </si>
  <si>
    <t>21484459</t>
  </si>
  <si>
    <t>ED&amp;F MAN CAPITAL MARKETS LIMITED</t>
  </si>
  <si>
    <t>NO PLATFORM - Confirmed over email with Wienke, Tyler (CHG)</t>
  </si>
  <si>
    <t>21484461</t>
  </si>
  <si>
    <t>21484463</t>
  </si>
  <si>
    <t>21484464</t>
  </si>
  <si>
    <t>21481730</t>
  </si>
  <si>
    <t>BON_DD</t>
  </si>
  <si>
    <t>BON_DD_MFL_FI</t>
  </si>
  <si>
    <t xml:space="preserve">NO PLATFORM - Confirmed over email with Glorioso, Salvatore (NYC) </t>
  </si>
  <si>
    <t>21481731</t>
  </si>
  <si>
    <t>21484084</t>
  </si>
  <si>
    <t>21484085</t>
  </si>
  <si>
    <t>21476390</t>
  </si>
  <si>
    <t>GOLDMAN SACHS GROUP INC.</t>
  </si>
  <si>
    <t>00130HBZ7</t>
  </si>
  <si>
    <t>AES 4 03/15/2021</t>
  </si>
  <si>
    <t>BN21476390</t>
  </si>
  <si>
    <t>21481464</t>
  </si>
  <si>
    <t>GALISHFF</t>
  </si>
  <si>
    <t>BN21481464</t>
  </si>
  <si>
    <t>GALISHFF_MFL_FI</t>
  </si>
  <si>
    <t>21483583</t>
  </si>
  <si>
    <t>BN21483583</t>
  </si>
  <si>
    <t>21483607</t>
  </si>
  <si>
    <t>BN21483607</t>
  </si>
  <si>
    <t>dveale</t>
  </si>
  <si>
    <t>21484326</t>
  </si>
  <si>
    <t>BN21484326</t>
  </si>
  <si>
    <t>21479878</t>
  </si>
  <si>
    <t>MLP SYSTEM ISSUE – Confirmed over email with Ray Reyes</t>
  </si>
  <si>
    <t>21481209</t>
  </si>
  <si>
    <t>01F032435</t>
  </si>
  <si>
    <t>FNCI 3.5 3/18</t>
  </si>
  <si>
    <t>21481342</t>
  </si>
  <si>
    <t>21H030633</t>
  </si>
  <si>
    <t>G2SF 3 3/18</t>
  </si>
  <si>
    <t>21481343</t>
  </si>
  <si>
    <t>21H030641</t>
  </si>
  <si>
    <t>G2SF 3 200447</t>
  </si>
  <si>
    <t>21473536</t>
  </si>
  <si>
    <t>GOLDMAN SACHS INTERNATIONAL</t>
  </si>
  <si>
    <t>BN21473536</t>
  </si>
  <si>
    <t>21480861</t>
  </si>
  <si>
    <t>42829LAC8</t>
  </si>
  <si>
    <t>HXN 10 04/15/2020</t>
  </si>
  <si>
    <t>BN21480861</t>
  </si>
  <si>
    <t>21481333</t>
  </si>
  <si>
    <t>002824BG4</t>
  </si>
  <si>
    <t>ABT 4.75 11/30/2036</t>
  </si>
  <si>
    <t>BN21481333</t>
  </si>
  <si>
    <t>21481335</t>
  </si>
  <si>
    <t>BN21481335</t>
  </si>
  <si>
    <t>21481548</t>
  </si>
  <si>
    <t>912828U24</t>
  </si>
  <si>
    <t>T 2 11/15/2026</t>
  </si>
  <si>
    <t>BN21481548</t>
  </si>
  <si>
    <t>21481550</t>
  </si>
  <si>
    <t>BN21481550</t>
  </si>
  <si>
    <t>21481026</t>
  </si>
  <si>
    <t>NET_HY</t>
  </si>
  <si>
    <t>45824TAY1</t>
  </si>
  <si>
    <t>INTEL 9.75 07/15/2025 A</t>
  </si>
  <si>
    <t>BN21481026</t>
  </si>
  <si>
    <t>LU CORP</t>
  </si>
  <si>
    <t>NET_HY_MFL_FI</t>
  </si>
  <si>
    <t>mdratch</t>
  </si>
  <si>
    <t>21483431</t>
  </si>
  <si>
    <t>BN21483431</t>
  </si>
  <si>
    <t>21483432</t>
  </si>
  <si>
    <t>9128283U2</t>
  </si>
  <si>
    <t>T 2.375 01/31/2023</t>
  </si>
  <si>
    <t>BN21483432</t>
  </si>
  <si>
    <t>21483645</t>
  </si>
  <si>
    <t>BN21483645</t>
  </si>
  <si>
    <t>21483646</t>
  </si>
  <si>
    <t>912828X47</t>
  </si>
  <si>
    <t>T 1.875 04/30/2022</t>
  </si>
  <si>
    <t>BN21483646</t>
  </si>
  <si>
    <t>21484157</t>
  </si>
  <si>
    <t>BN21484157</t>
  </si>
  <si>
    <t>21484156</t>
  </si>
  <si>
    <t>BN21484156</t>
  </si>
  <si>
    <t>21484393</t>
  </si>
  <si>
    <t>BN21484393</t>
  </si>
  <si>
    <t>21484502</t>
  </si>
  <si>
    <t>912810RD2</t>
  </si>
  <si>
    <t>T 3.75 11/15/2043</t>
  </si>
  <si>
    <t>BN21484502</t>
  </si>
  <si>
    <t>21484237</t>
  </si>
  <si>
    <t>02154VAA9</t>
  </si>
  <si>
    <t>ATCNA 7.75 05/15/2022 A</t>
  </si>
  <si>
    <t>BN21484237</t>
  </si>
  <si>
    <t>21484735</t>
  </si>
  <si>
    <t>35906AAM0</t>
  </si>
  <si>
    <t>FTR 7.125 01/15/2023</t>
  </si>
  <si>
    <t>BN21484735</t>
  </si>
  <si>
    <t>21474412</t>
  </si>
  <si>
    <t>WEST_AS</t>
  </si>
  <si>
    <t>HSBC BANK PLC</t>
  </si>
  <si>
    <t>ZAG000107012</t>
  </si>
  <si>
    <t>SAGB 8.5 01/31/2037 2037</t>
  </si>
  <si>
    <t>BN21474412</t>
  </si>
  <si>
    <t>WEST_AS_MFL_FI</t>
  </si>
  <si>
    <t>21476064</t>
  </si>
  <si>
    <t>BN21476064</t>
  </si>
  <si>
    <t>21476065</t>
  </si>
  <si>
    <t>912828F62</t>
  </si>
  <si>
    <t>T 1.5 10/31/2019</t>
  </si>
  <si>
    <t>BN21476065</t>
  </si>
  <si>
    <t>21476730</t>
  </si>
  <si>
    <t>GR0128015725</t>
  </si>
  <si>
    <t>GGB 3.9 01/30/2033</t>
  </si>
  <si>
    <t>BN21476730</t>
  </si>
  <si>
    <t>21476247</t>
  </si>
  <si>
    <t>65504LAQ0</t>
  </si>
  <si>
    <t>NE 7.875 02/01/2026 A</t>
  </si>
  <si>
    <t>BN21476247</t>
  </si>
  <si>
    <t>21484215</t>
  </si>
  <si>
    <t>SYM_FGLN</t>
  </si>
  <si>
    <t>DE0001102374</t>
  </si>
  <si>
    <t>DBR 0.5 02/15/2025</t>
  </si>
  <si>
    <t>BN21484215</t>
  </si>
  <si>
    <t>SYM_FGLN_MFL_FI</t>
  </si>
  <si>
    <t>21484216</t>
  </si>
  <si>
    <t>DE0001102416</t>
  </si>
  <si>
    <t>DBR 0.25 02/15/2027</t>
  </si>
  <si>
    <t>BN21484216</t>
  </si>
  <si>
    <t>21484356</t>
  </si>
  <si>
    <t>BN21484356</t>
  </si>
  <si>
    <t>21484358</t>
  </si>
  <si>
    <t>GB00BYZW3G56</t>
  </si>
  <si>
    <t>UKT 1.5 07/22/2026</t>
  </si>
  <si>
    <t>BN21484358</t>
  </si>
  <si>
    <t>21483476</t>
  </si>
  <si>
    <t>HSBC BANK USA N.A.</t>
  </si>
  <si>
    <t>BROKER BOOKING ISSUE (AESIR) - Confirmed over email with joseph.j.tuosto</t>
  </si>
  <si>
    <t>21484107</t>
  </si>
  <si>
    <t>90131HAQ8</t>
  </si>
  <si>
    <t>FOXA 4.5 02/15/2021</t>
  </si>
  <si>
    <t>21484113</t>
  </si>
  <si>
    <t>21476148</t>
  </si>
  <si>
    <t>ICAP PLC</t>
  </si>
  <si>
    <t>21476147</t>
  </si>
  <si>
    <t>9128282A7</t>
  </si>
  <si>
    <t>T 1.5 08/15/2026</t>
  </si>
  <si>
    <t>21478549</t>
  </si>
  <si>
    <t>21478550</t>
  </si>
  <si>
    <t>21481019</t>
  </si>
  <si>
    <t>21481020</t>
  </si>
  <si>
    <t>21481237</t>
  </si>
  <si>
    <t>21481236</t>
  </si>
  <si>
    <t>21481281</t>
  </si>
  <si>
    <t>21481282</t>
  </si>
  <si>
    <t>21481526</t>
  </si>
  <si>
    <t>21481527</t>
  </si>
  <si>
    <t>21481698</t>
  </si>
  <si>
    <t>21481699</t>
  </si>
  <si>
    <t>912828R36</t>
  </si>
  <si>
    <t>T 1.625 05/15/2026</t>
  </si>
  <si>
    <t>21483320</t>
  </si>
  <si>
    <t>21483321</t>
  </si>
  <si>
    <t>912828WN6</t>
  </si>
  <si>
    <t>T 2 05/31/2021</t>
  </si>
  <si>
    <t>21483399</t>
  </si>
  <si>
    <t>21483398</t>
  </si>
  <si>
    <t>912828V23</t>
  </si>
  <si>
    <t>T 2.25 12/31/2023</t>
  </si>
  <si>
    <t>21484170</t>
  </si>
  <si>
    <t>912828P87</t>
  </si>
  <si>
    <t>T 1.125 02/28/2021</t>
  </si>
  <si>
    <t>21484169</t>
  </si>
  <si>
    <t>21484168</t>
  </si>
  <si>
    <t>21484167</t>
  </si>
  <si>
    <t>21484381</t>
  </si>
  <si>
    <t>21484382</t>
  </si>
  <si>
    <t>912828M80</t>
  </si>
  <si>
    <t>T 2 11/30/2022</t>
  </si>
  <si>
    <t>21484719</t>
  </si>
  <si>
    <t>912828G38</t>
  </si>
  <si>
    <t>T 2.25 11/15/2024</t>
  </si>
  <si>
    <t>ICAP PLC ELECTRONIC</t>
  </si>
  <si>
    <t>WIB 0 09/06/2018</t>
  </si>
  <si>
    <t>21484739</t>
  </si>
  <si>
    <t>21474514</t>
  </si>
  <si>
    <t>21474513</t>
  </si>
  <si>
    <t>21473306</t>
  </si>
  <si>
    <t>21477033</t>
  </si>
  <si>
    <t>21477038</t>
  </si>
  <si>
    <t>21481259</t>
  </si>
  <si>
    <t>21481661</t>
  </si>
  <si>
    <t>21481765</t>
  </si>
  <si>
    <t>21485025</t>
  </si>
  <si>
    <t>21485026</t>
  </si>
  <si>
    <t>21485134</t>
  </si>
  <si>
    <t>21473735</t>
  </si>
  <si>
    <t>SYM_DCCO</t>
  </si>
  <si>
    <t>FR0011317783</t>
  </si>
  <si>
    <t>FRTR 2.75 10/25/2027</t>
  </si>
  <si>
    <t>FR GOV</t>
  </si>
  <si>
    <t>SYM_DCCO_MFL_FI</t>
  </si>
  <si>
    <t>21473736</t>
  </si>
  <si>
    <t>21473992</t>
  </si>
  <si>
    <t>21473993</t>
  </si>
  <si>
    <t>21480893</t>
  </si>
  <si>
    <t>INVESTOP BROKERS INC.</t>
  </si>
  <si>
    <t>QZ9248837</t>
  </si>
  <si>
    <t>BONCER 2.25 04/28/2020</t>
  </si>
  <si>
    <t>NO PLATFORM - Confirmed over email with Operaciones - Balanz Capital Inc</t>
  </si>
  <si>
    <t>21477187</t>
  </si>
  <si>
    <t>JEFFERIES &amp; COMPANY INC</t>
  </si>
  <si>
    <t>BN21477187</t>
  </si>
  <si>
    <t>21477189</t>
  </si>
  <si>
    <t>37045VAQ3</t>
  </si>
  <si>
    <t>GM 5.4 04/01/2048</t>
  </si>
  <si>
    <t>BN21477189</t>
  </si>
  <si>
    <t>21484681</t>
  </si>
  <si>
    <t>87261NAG5</t>
  </si>
  <si>
    <t>TMXFIN 8.5 09/15/2018 A</t>
  </si>
  <si>
    <t>BN21484681</t>
  </si>
  <si>
    <t>21473816</t>
  </si>
  <si>
    <t>SYM_BAS</t>
  </si>
  <si>
    <t>JPMORGAN CHASE BANK, NEW YORK</t>
  </si>
  <si>
    <t>DE0001102309</t>
  </si>
  <si>
    <t>DBR 1.5 02/15/2023</t>
  </si>
  <si>
    <t>BN21473816</t>
  </si>
  <si>
    <t>SYM_BAS_MFL_FI</t>
  </si>
  <si>
    <t>21476210</t>
  </si>
  <si>
    <t>BN21476210</t>
  </si>
  <si>
    <t>21476374</t>
  </si>
  <si>
    <t>BN21476374</t>
  </si>
  <si>
    <t>21476332</t>
  </si>
  <si>
    <t>BN21476332</t>
  </si>
  <si>
    <t>21475183</t>
  </si>
  <si>
    <t>IT0005289274</t>
  </si>
  <si>
    <t>ICTZ 0 10/30/2019</t>
  </si>
  <si>
    <t>BN21475183</t>
  </si>
  <si>
    <t>TC-KINETIX-BRIDGE-STRATEGY</t>
  </si>
  <si>
    <t>21477181</t>
  </si>
  <si>
    <t>BN21477181</t>
  </si>
  <si>
    <t>21477183</t>
  </si>
  <si>
    <t>BN21477183</t>
  </si>
  <si>
    <t>21477186</t>
  </si>
  <si>
    <t>BN21477186</t>
  </si>
  <si>
    <t>21479045</t>
  </si>
  <si>
    <t>BN21479045</t>
  </si>
  <si>
    <t>21479149</t>
  </si>
  <si>
    <t>BN21479149</t>
  </si>
  <si>
    <t>21479258</t>
  </si>
  <si>
    <t>BN21479258</t>
  </si>
  <si>
    <t>21480760</t>
  </si>
  <si>
    <t>BN21480760</t>
  </si>
  <si>
    <t>21481648</t>
  </si>
  <si>
    <t>BN21481648</t>
  </si>
  <si>
    <t>21481649</t>
  </si>
  <si>
    <t>DE0001102341</t>
  </si>
  <si>
    <t>DBR 2.5 08/15/2046</t>
  </si>
  <si>
    <t>BN21481649</t>
  </si>
  <si>
    <t>21483371</t>
  </si>
  <si>
    <t>BN21483371</t>
  </si>
  <si>
    <t>21483375</t>
  </si>
  <si>
    <t>BN21483375</t>
  </si>
  <si>
    <t>21483376</t>
  </si>
  <si>
    <t>BN21483376</t>
  </si>
  <si>
    <t>21483742</t>
  </si>
  <si>
    <t>BN21483742</t>
  </si>
  <si>
    <t>21483943</t>
  </si>
  <si>
    <t>55336VAP5</t>
  </si>
  <si>
    <t>MPLX 4.9 04/15/2058</t>
  </si>
  <si>
    <t>BN21483943</t>
  </si>
  <si>
    <t>21483942</t>
  </si>
  <si>
    <t>BN21483942</t>
  </si>
  <si>
    <t>21484111</t>
  </si>
  <si>
    <t>BN21484111</t>
  </si>
  <si>
    <t>21484089</t>
  </si>
  <si>
    <t>BN21484089</t>
  </si>
  <si>
    <t>21484143</t>
  </si>
  <si>
    <t>DE000DL19TQ2</t>
  </si>
  <si>
    <t>DB F 05/16/2022 EMTN</t>
  </si>
  <si>
    <t>BN21484143</t>
  </si>
  <si>
    <t>DE CORP</t>
  </si>
  <si>
    <t>21484090</t>
  </si>
  <si>
    <t>BN21484090</t>
  </si>
  <si>
    <t>21483510</t>
  </si>
  <si>
    <t>BN21483510</t>
  </si>
  <si>
    <t>21484383</t>
  </si>
  <si>
    <t>9128283C2</t>
  </si>
  <si>
    <t>T 2 10/31/2022</t>
  </si>
  <si>
    <t>BN21484383</t>
  </si>
  <si>
    <t>21484387</t>
  </si>
  <si>
    <t>BN21484387</t>
  </si>
  <si>
    <t>21484504</t>
  </si>
  <si>
    <t>BN21484504</t>
  </si>
  <si>
    <t>21484647</t>
  </si>
  <si>
    <t>00507UAU5</t>
  </si>
  <si>
    <t>AGN 4.75 03/15/2045</t>
  </si>
  <si>
    <t>BN21484647</t>
  </si>
  <si>
    <t>21484648</t>
  </si>
  <si>
    <t>BN21484648</t>
  </si>
  <si>
    <t>21484654</t>
  </si>
  <si>
    <t>151020AZ7</t>
  </si>
  <si>
    <t>CELG 4.55 02/20/2048</t>
  </si>
  <si>
    <t>BN21484654</t>
  </si>
  <si>
    <t>21484655</t>
  </si>
  <si>
    <t>BN21484655</t>
  </si>
  <si>
    <t>21484722</t>
  </si>
  <si>
    <t>BN21484722</t>
  </si>
  <si>
    <t>21484723</t>
  </si>
  <si>
    <t>BN21484723</t>
  </si>
  <si>
    <t>21484724</t>
  </si>
  <si>
    <t>BN21484724</t>
  </si>
  <si>
    <t>21484664</t>
  </si>
  <si>
    <t>BN21484664</t>
  </si>
  <si>
    <t>21484665</t>
  </si>
  <si>
    <t>BN21484665</t>
  </si>
  <si>
    <t>21484755</t>
  </si>
  <si>
    <t>92343VCX0</t>
  </si>
  <si>
    <t>VZ 4.522 09/15/2048</t>
  </si>
  <si>
    <t>BN21484755</t>
  </si>
  <si>
    <t>21484756</t>
  </si>
  <si>
    <t>BN21484756</t>
  </si>
  <si>
    <t>21484777</t>
  </si>
  <si>
    <t>BN21484777</t>
  </si>
  <si>
    <t>21484776</t>
  </si>
  <si>
    <t>BN21484776</t>
  </si>
  <si>
    <t>21489057</t>
  </si>
  <si>
    <t>BN21489057</t>
  </si>
  <si>
    <t>21476333</t>
  </si>
  <si>
    <t>DE0001141778</t>
  </si>
  <si>
    <t>OBL 0 04/14/2023</t>
  </si>
  <si>
    <t>BMAGGIO</t>
  </si>
  <si>
    <t>21476524</t>
  </si>
  <si>
    <t>JPSE 76555</t>
  </si>
  <si>
    <t>DEPALM</t>
  </si>
  <si>
    <t>BRSTNCLTN7F8</t>
  </si>
  <si>
    <t>BRL</t>
  </si>
  <si>
    <t>BLTN 0 07/01/2020 LTN</t>
  </si>
  <si>
    <t>BR GOV</t>
  </si>
  <si>
    <t>DEPALM_MPI_FI</t>
  </si>
  <si>
    <t xml:space="preserve">NO PLATFORM – COLTES, Match vs Confirmed 
</t>
  </si>
  <si>
    <t>21481238</t>
  </si>
  <si>
    <t>LW9361681</t>
  </si>
  <si>
    <t>BONCER 2.5 07/22/2021</t>
  </si>
  <si>
    <t>confirmed manually with Jon at JP</t>
  </si>
  <si>
    <t>21484545</t>
  </si>
  <si>
    <t>709599AZ7</t>
  </si>
  <si>
    <t>PENSKE 3.95 03/10/2025 A</t>
  </si>
  <si>
    <t>21481465</t>
  </si>
  <si>
    <t>21484526</t>
  </si>
  <si>
    <t>MARKETAXESS HOLDINGS INC.</t>
  </si>
  <si>
    <t>NO PLATFORM - Confirmed over email with Sujit Chakravarty</t>
  </si>
  <si>
    <t>21484148</t>
  </si>
  <si>
    <t>MINT PARTNERS</t>
  </si>
  <si>
    <t>21484342</t>
  </si>
  <si>
    <t>MIZUHO SECURITIES CO. LTD.</t>
  </si>
  <si>
    <t>BN21484342</t>
  </si>
  <si>
    <t>21484343</t>
  </si>
  <si>
    <t>BN21484343</t>
  </si>
  <si>
    <t>21483523</t>
  </si>
  <si>
    <t>MORGAN STANLEY &amp; CO INTL PLC</t>
  </si>
  <si>
    <t>BN21483523</t>
  </si>
  <si>
    <t>21483524</t>
  </si>
  <si>
    <t>693304AW7</t>
  </si>
  <si>
    <t>EXC 3.9 03/01/2048</t>
  </si>
  <si>
    <t>BN21483524</t>
  </si>
  <si>
    <t>21474691</t>
  </si>
  <si>
    <t>ANKER_AA</t>
  </si>
  <si>
    <t>MORGAN STANLEY CAPITAL SERVICES INC</t>
  </si>
  <si>
    <t>AR2648533</t>
  </si>
  <si>
    <t>KENINT 8.25 02/28/2048 S</t>
  </si>
  <si>
    <t>BN21474691</t>
  </si>
  <si>
    <t>KE GOV</t>
  </si>
  <si>
    <t>ANKAA_C_MFL_FI</t>
  </si>
  <si>
    <t>aagrest</t>
  </si>
  <si>
    <t>21480757</t>
  </si>
  <si>
    <t>9128282Y5</t>
  </si>
  <si>
    <t>T 2.125 09/30/2024</t>
  </si>
  <si>
    <t>BN21480757</t>
  </si>
  <si>
    <t>21480758</t>
  </si>
  <si>
    <t>BN21480758</t>
  </si>
  <si>
    <t>21480847</t>
  </si>
  <si>
    <t>912828V72</t>
  </si>
  <si>
    <t>T 1.875 01/31/2022</t>
  </si>
  <si>
    <t>BN21480847</t>
  </si>
  <si>
    <t>21480851</t>
  </si>
  <si>
    <t>BN21480851</t>
  </si>
  <si>
    <t>21484235</t>
  </si>
  <si>
    <t>BN21484235</t>
  </si>
  <si>
    <t>21484236</t>
  </si>
  <si>
    <t>BN21484236</t>
  </si>
  <si>
    <t>21484557</t>
  </si>
  <si>
    <t>037411BA2</t>
  </si>
  <si>
    <t>APA 4.75 04/15/2043</t>
  </si>
  <si>
    <t>BN21484557</t>
  </si>
  <si>
    <t>21484558</t>
  </si>
  <si>
    <t>BN21484558</t>
  </si>
  <si>
    <t>21481256</t>
  </si>
  <si>
    <t>BN21481256</t>
  </si>
  <si>
    <t>21481255</t>
  </si>
  <si>
    <t>01F032641</t>
  </si>
  <si>
    <t>FNCL 3.5 4/18</t>
  </si>
  <si>
    <t>BN21481255</t>
  </si>
  <si>
    <t>21481280</t>
  </si>
  <si>
    <t>01F040644</t>
  </si>
  <si>
    <t>FNCL 4 4/18</t>
  </si>
  <si>
    <t>BN21481280</t>
  </si>
  <si>
    <t>21481279</t>
  </si>
  <si>
    <t>BN21481279</t>
  </si>
  <si>
    <t>21484465</t>
  </si>
  <si>
    <t>AG_JL</t>
  </si>
  <si>
    <t>BN21484465</t>
  </si>
  <si>
    <t>AG_JL_MFL_FI</t>
  </si>
  <si>
    <t>21484499</t>
  </si>
  <si>
    <t>3138WGSP0</t>
  </si>
  <si>
    <t>FN AS6825</t>
  </si>
  <si>
    <t>21474784</t>
  </si>
  <si>
    <t>912828T67</t>
  </si>
  <si>
    <t>T 1.25 10/31/2021</t>
  </si>
  <si>
    <t>TTIERNEY</t>
  </si>
  <si>
    <t>21474786</t>
  </si>
  <si>
    <t>21474788</t>
  </si>
  <si>
    <t>21474787</t>
  </si>
  <si>
    <t>21474792</t>
  </si>
  <si>
    <t>912828W55</t>
  </si>
  <si>
    <t>T 1.875 02/28/2022</t>
  </si>
  <si>
    <t>21474793</t>
  </si>
  <si>
    <t>21474802</t>
  </si>
  <si>
    <t>21474806</t>
  </si>
  <si>
    <t>21474803</t>
  </si>
  <si>
    <t>21474804</t>
  </si>
  <si>
    <t>21474807</t>
  </si>
  <si>
    <t>21474805</t>
  </si>
  <si>
    <t>21474815</t>
  </si>
  <si>
    <t>21474816</t>
  </si>
  <si>
    <t>21474820</t>
  </si>
  <si>
    <t>21474821</t>
  </si>
  <si>
    <t>21474864</t>
  </si>
  <si>
    <t>KLOMBARDO</t>
  </si>
  <si>
    <t>21474865</t>
  </si>
  <si>
    <t>21475274</t>
  </si>
  <si>
    <t>60687YAR0</t>
  </si>
  <si>
    <t>MIZUHO 4.018 03/05/2028</t>
  </si>
  <si>
    <t>JP CORP</t>
  </si>
  <si>
    <t>21475275</t>
  </si>
  <si>
    <t>21475276</t>
  </si>
  <si>
    <t>21475277</t>
  </si>
  <si>
    <t>21475278</t>
  </si>
  <si>
    <t>842400GJ6</t>
  </si>
  <si>
    <t>EIX 3.65 03/01/2028 B</t>
  </si>
  <si>
    <t>21475280</t>
  </si>
  <si>
    <t>21475282</t>
  </si>
  <si>
    <t>842400GH0</t>
  </si>
  <si>
    <t>EIX 2.9 03/01/2021 A</t>
  </si>
  <si>
    <t>21475283</t>
  </si>
  <si>
    <t>60687YAP4</t>
  </si>
  <si>
    <t>MIZUHO 3.549 03/05/2023</t>
  </si>
  <si>
    <t>21475286</t>
  </si>
  <si>
    <t>21475287</t>
  </si>
  <si>
    <t>21475288</t>
  </si>
  <si>
    <t>21475289</t>
  </si>
  <si>
    <t>21475290</t>
  </si>
  <si>
    <t>21475291</t>
  </si>
  <si>
    <t>21475294</t>
  </si>
  <si>
    <t>21475297</t>
  </si>
  <si>
    <t>21475299</t>
  </si>
  <si>
    <t>21475300</t>
  </si>
  <si>
    <t>21475301</t>
  </si>
  <si>
    <t>21475303</t>
  </si>
  <si>
    <t>21475285</t>
  </si>
  <si>
    <t>06051GHG7</t>
  </si>
  <si>
    <t>BAC V3.97 03/05/2029 MTN</t>
  </si>
  <si>
    <t>21475292</t>
  </si>
  <si>
    <t>21475293</t>
  </si>
  <si>
    <t>21475302</t>
  </si>
  <si>
    <t>21475296</t>
  </si>
  <si>
    <t>06051GHE2</t>
  </si>
  <si>
    <t>BAC F 03/05/2024 MTN</t>
  </si>
  <si>
    <t>21475281</t>
  </si>
  <si>
    <t>21475951</t>
  </si>
  <si>
    <t>21475952</t>
  </si>
  <si>
    <t>21475284</t>
  </si>
  <si>
    <t>21475295</t>
  </si>
  <si>
    <t>21475979</t>
  </si>
  <si>
    <t>21475989</t>
  </si>
  <si>
    <t>21476342</t>
  </si>
  <si>
    <t>NET_EU</t>
  </si>
  <si>
    <t>XS1439749364</t>
  </si>
  <si>
    <t>TEVA 1.625 10/15/2028</t>
  </si>
  <si>
    <t>NET_EU_MFL_FI</t>
  </si>
  <si>
    <t>TEMATTHEWS</t>
  </si>
  <si>
    <t>21476343</t>
  </si>
  <si>
    <t>21476344</t>
  </si>
  <si>
    <t>21476345</t>
  </si>
  <si>
    <t>21476346</t>
  </si>
  <si>
    <t>21476347</t>
  </si>
  <si>
    <t>21476809</t>
  </si>
  <si>
    <t>12505JAD5</t>
  </si>
  <si>
    <t>CBL 5.95 12/15/2026</t>
  </si>
  <si>
    <t>21476813</t>
  </si>
  <si>
    <t>21476811</t>
  </si>
  <si>
    <t>21476812</t>
  </si>
  <si>
    <t>21476814</t>
  </si>
  <si>
    <t>21476810</t>
  </si>
  <si>
    <t>21480827</t>
  </si>
  <si>
    <t>21480828</t>
  </si>
  <si>
    <t>21480832</t>
  </si>
  <si>
    <t>21480833</t>
  </si>
  <si>
    <t>21480863</t>
  </si>
  <si>
    <t>219350BF1</t>
  </si>
  <si>
    <t>GLW 4.375 11/15/2057</t>
  </si>
  <si>
    <t>21480864</t>
  </si>
  <si>
    <t>21480865</t>
  </si>
  <si>
    <t>21480866</t>
  </si>
  <si>
    <t>21480867</t>
  </si>
  <si>
    <t>21480868</t>
  </si>
  <si>
    <t>21480900</t>
  </si>
  <si>
    <t>210383AA3</t>
  </si>
  <si>
    <t>CSTM 5.75 05/15/2024 A</t>
  </si>
  <si>
    <t>21480901</t>
  </si>
  <si>
    <t>21480902</t>
  </si>
  <si>
    <t>21480903</t>
  </si>
  <si>
    <t>21480904</t>
  </si>
  <si>
    <t>21480905</t>
  </si>
  <si>
    <t>21480906</t>
  </si>
  <si>
    <t>21480907</t>
  </si>
  <si>
    <t>21480908</t>
  </si>
  <si>
    <t>21480909</t>
  </si>
  <si>
    <t>21480919</t>
  </si>
  <si>
    <t>12543DAY6</t>
  </si>
  <si>
    <t>CYH 6.25 03/31/2023</t>
  </si>
  <si>
    <t>21480920</t>
  </si>
  <si>
    <t>21480921</t>
  </si>
  <si>
    <t>21480922</t>
  </si>
  <si>
    <t>21480923</t>
  </si>
  <si>
    <t>21480924</t>
  </si>
  <si>
    <t>21480925</t>
  </si>
  <si>
    <t>21480926</t>
  </si>
  <si>
    <t>21480927</t>
  </si>
  <si>
    <t>21480928</t>
  </si>
  <si>
    <t>21480930</t>
  </si>
  <si>
    <t>21480929</t>
  </si>
  <si>
    <t>21480931</t>
  </si>
  <si>
    <t>21480932</t>
  </si>
  <si>
    <t>21480933</t>
  </si>
  <si>
    <t>21480934</t>
  </si>
  <si>
    <t>21480935</t>
  </si>
  <si>
    <t>21480936</t>
  </si>
  <si>
    <t>21480944</t>
  </si>
  <si>
    <t>29336UAH0</t>
  </si>
  <si>
    <t>ENLK V6 PERP C</t>
  </si>
  <si>
    <t>21480943</t>
  </si>
  <si>
    <t>21480945</t>
  </si>
  <si>
    <t>21480946</t>
  </si>
  <si>
    <t>21480947</t>
  </si>
  <si>
    <t>21480948</t>
  </si>
  <si>
    <t>21480949</t>
  </si>
  <si>
    <t>21480951</t>
  </si>
  <si>
    <t>21480952</t>
  </si>
  <si>
    <t>21480953</t>
  </si>
  <si>
    <t>21480954</t>
  </si>
  <si>
    <t>21480955</t>
  </si>
  <si>
    <t>21480956</t>
  </si>
  <si>
    <t>21480964</t>
  </si>
  <si>
    <t>53219LAQ2</t>
  </si>
  <si>
    <t>LPNT 5.375 05/01/2024</t>
  </si>
  <si>
    <t>21480965</t>
  </si>
  <si>
    <t>21480967</t>
  </si>
  <si>
    <t>21480966</t>
  </si>
  <si>
    <t>21480968</t>
  </si>
  <si>
    <t>21480969</t>
  </si>
  <si>
    <t>21480970</t>
  </si>
  <si>
    <t>21480971</t>
  </si>
  <si>
    <t>21480972</t>
  </si>
  <si>
    <t>21480973</t>
  </si>
  <si>
    <t>21480974</t>
  </si>
  <si>
    <t>21480975</t>
  </si>
  <si>
    <t>21480976</t>
  </si>
  <si>
    <t>21480977</t>
  </si>
  <si>
    <t>21480950</t>
  </si>
  <si>
    <t>21480988</t>
  </si>
  <si>
    <t>948626AA4</t>
  </si>
  <si>
    <t>WTW 8.625 12/01/2025 A</t>
  </si>
  <si>
    <t>21480989</t>
  </si>
  <si>
    <t>21480990</t>
  </si>
  <si>
    <t>21480991</t>
  </si>
  <si>
    <t>21480993</t>
  </si>
  <si>
    <t>21480992</t>
  </si>
  <si>
    <t>21480994</t>
  </si>
  <si>
    <t>21480995</t>
  </si>
  <si>
    <t>21480996</t>
  </si>
  <si>
    <t>21480997</t>
  </si>
  <si>
    <t>21480998</t>
  </si>
  <si>
    <t>21481000</t>
  </si>
  <si>
    <t>21481001</t>
  </si>
  <si>
    <t>21480999</t>
  </si>
  <si>
    <t>21481002</t>
  </si>
  <si>
    <t>21481003</t>
  </si>
  <si>
    <t>21481004</t>
  </si>
  <si>
    <t>21481005</t>
  </si>
  <si>
    <t>21481006</t>
  </si>
  <si>
    <t>21481007</t>
  </si>
  <si>
    <t>21481008</t>
  </si>
  <si>
    <t>21481009</t>
  </si>
  <si>
    <t>21481141</t>
  </si>
  <si>
    <t>21481142</t>
  </si>
  <si>
    <t>21481143</t>
  </si>
  <si>
    <t>21481144</t>
  </si>
  <si>
    <t>21481190</t>
  </si>
  <si>
    <t>21481191</t>
  </si>
  <si>
    <t>21481192</t>
  </si>
  <si>
    <t>21481193</t>
  </si>
  <si>
    <t>21481194</t>
  </si>
  <si>
    <t>21483275</t>
  </si>
  <si>
    <t>SYM_JLA</t>
  </si>
  <si>
    <t>RU000A0JS4M5</t>
  </si>
  <si>
    <t>RFLB 7.5 02/27/2019 6208</t>
  </si>
  <si>
    <t>RU GOV</t>
  </si>
  <si>
    <t>SYM_JLA_MFL_FI</t>
  </si>
  <si>
    <t>HHALL</t>
  </si>
  <si>
    <t>21483274</t>
  </si>
  <si>
    <t>hhall</t>
  </si>
  <si>
    <t>21476095</t>
  </si>
  <si>
    <t>KGENCO</t>
  </si>
  <si>
    <t>21475279</t>
  </si>
  <si>
    <t>60687YAQ2</t>
  </si>
  <si>
    <t>MIZUHO F 03/05/2023</t>
  </si>
  <si>
    <t>21475298</t>
  </si>
  <si>
    <t>21484570</t>
  </si>
  <si>
    <t>21484571</t>
  </si>
  <si>
    <t>21484761</t>
  </si>
  <si>
    <t>21484762</t>
  </si>
  <si>
    <t>21475655</t>
  </si>
  <si>
    <t>21475656</t>
  </si>
  <si>
    <t>21483277</t>
  </si>
  <si>
    <t>21483286</t>
  </si>
  <si>
    <t>21483307</t>
  </si>
  <si>
    <t>21483313</t>
  </si>
  <si>
    <t>21483322</t>
  </si>
  <si>
    <t>21483323</t>
  </si>
  <si>
    <t>21483324</t>
  </si>
  <si>
    <t>21483325</t>
  </si>
  <si>
    <t>21483276</t>
  </si>
  <si>
    <t>21483287</t>
  </si>
  <si>
    <t>21483306</t>
  </si>
  <si>
    <t>21483312</t>
  </si>
  <si>
    <t>21483631</t>
  </si>
  <si>
    <t>21483632</t>
  </si>
  <si>
    <t>21484746</t>
  </si>
  <si>
    <t>NOMURA GLOBAL FINANCIAL PRODUCTS IN</t>
  </si>
  <si>
    <t>BN21484746</t>
  </si>
  <si>
    <t>21484747</t>
  </si>
  <si>
    <t>BN21484747</t>
  </si>
  <si>
    <t>21484763</t>
  </si>
  <si>
    <t>BN21484763</t>
  </si>
  <si>
    <t>21484764</t>
  </si>
  <si>
    <t>BN21484764</t>
  </si>
  <si>
    <t>21476720</t>
  </si>
  <si>
    <t>NOMURA INTL PLC</t>
  </si>
  <si>
    <t>9128283V0</t>
  </si>
  <si>
    <t>T 2.5 01/31/2025</t>
  </si>
  <si>
    <t>BN21476720</t>
  </si>
  <si>
    <t>21476719</t>
  </si>
  <si>
    <t>912828W48</t>
  </si>
  <si>
    <t>T 2.125 02/29/2024</t>
  </si>
  <si>
    <t>BN21476719</t>
  </si>
  <si>
    <t>21476788</t>
  </si>
  <si>
    <t>BN21476788</t>
  </si>
  <si>
    <t>21477236</t>
  </si>
  <si>
    <t>BN21477236</t>
  </si>
  <si>
    <t>21481466</t>
  </si>
  <si>
    <t>BN21481466</t>
  </si>
  <si>
    <t>21484257</t>
  </si>
  <si>
    <t>BN21484257</t>
  </si>
  <si>
    <t>21484146</t>
  </si>
  <si>
    <t>PIERPONT SECURITIES LLC</t>
  </si>
  <si>
    <t>MLP SYSTEM ISSUE – Confirmed over email with Ted Hughes</t>
  </si>
  <si>
    <t>21473982</t>
  </si>
  <si>
    <t>CAM_CRD</t>
  </si>
  <si>
    <t>ROYAL BANK OF SCOTLAND PLC</t>
  </si>
  <si>
    <t>GB00BBJNQY21</t>
  </si>
  <si>
    <t>UKT 3.5 07/22/2068</t>
  </si>
  <si>
    <t>BN21473982</t>
  </si>
  <si>
    <t>CAM_CRD_MFL_FI</t>
  </si>
  <si>
    <t>21481128</t>
  </si>
  <si>
    <t>XS1598243142</t>
  </si>
  <si>
    <t>ANTOLN 3.25 04/30/2024 S</t>
  </si>
  <si>
    <t>BN21481128</t>
  </si>
  <si>
    <t>ES CORP</t>
  </si>
  <si>
    <t>21473981</t>
  </si>
  <si>
    <t>21476974</t>
  </si>
  <si>
    <t>FALSETTA</t>
  </si>
  <si>
    <t>ROYAL BK CDA</t>
  </si>
  <si>
    <t>947075AN7</t>
  </si>
  <si>
    <t>WFT 9.875 02/15/2024</t>
  </si>
  <si>
    <t>BN21476974</t>
  </si>
  <si>
    <t>FALSETTA_MFL_CB</t>
  </si>
  <si>
    <t>21484293</t>
  </si>
  <si>
    <t xml:space="preserve">MLP SYSTEM ISSUE – Confirmed over email with Alfred, Nigel </t>
  </si>
  <si>
    <t>21481431</t>
  </si>
  <si>
    <t>SOCIETE GENERALE</t>
  </si>
  <si>
    <t>DE0001135499</t>
  </si>
  <si>
    <t>DBR 1.5 09/04/2022</t>
  </si>
  <si>
    <t>BN21481431</t>
  </si>
  <si>
    <t>3x50mm split</t>
  </si>
  <si>
    <t>21481438</t>
  </si>
  <si>
    <t>BN21481438</t>
  </si>
  <si>
    <t>21486939</t>
  </si>
  <si>
    <t>DE0001104701</t>
  </si>
  <si>
    <t>BKO 0 12/13/2019</t>
  </si>
  <si>
    <t>BN21486939</t>
  </si>
  <si>
    <t>21481662</t>
  </si>
  <si>
    <t>BN21481662</t>
  </si>
  <si>
    <t>CAND</t>
  </si>
  <si>
    <t xml:space="preserve">INTERNAL AMEND – Trade is already confirmed with CP but MLP cancel corrects for some reason; no economic change, confirmed with  Hall, Harrison </t>
  </si>
  <si>
    <t>21481650</t>
  </si>
  <si>
    <t>BN21481650</t>
  </si>
  <si>
    <t xml:space="preserve">INTERNAL AMEND – Trade is already confirmed with CP but MLP cancel corrects for some reason; no economic change, confirmed with Hall, Harrison </t>
  </si>
  <si>
    <t>21481655</t>
  </si>
  <si>
    <t>BN21481655</t>
  </si>
  <si>
    <t>21484420</t>
  </si>
  <si>
    <t>BROKER BOOKING ISSUE (AESIR) - Confirmed over email with Frank Vizzielli</t>
  </si>
  <si>
    <t>21476322</t>
  </si>
  <si>
    <t>STATE STREET BANK &amp; TRST</t>
  </si>
  <si>
    <t>NO PLATFORM - Confirmed over email with Chris McArdle</t>
  </si>
  <si>
    <t>21476320</t>
  </si>
  <si>
    <t>25468PDV5</t>
  </si>
  <si>
    <t>DIS 2.95 06/15/2027 MTN</t>
  </si>
  <si>
    <t>21480979</t>
  </si>
  <si>
    <t>21484336</t>
  </si>
  <si>
    <t>21484337</t>
  </si>
  <si>
    <t>21484404</t>
  </si>
  <si>
    <t>21476029</t>
  </si>
  <si>
    <t>21476028</t>
  </si>
  <si>
    <t>21476027</t>
  </si>
  <si>
    <t>21476026</t>
  </si>
  <si>
    <t>21476025</t>
  </si>
  <si>
    <t>21476024</t>
  </si>
  <si>
    <t>21476023</t>
  </si>
  <si>
    <t>21476022</t>
  </si>
  <si>
    <t>21476021</t>
  </si>
  <si>
    <t>21476020</t>
  </si>
  <si>
    <t>21476018</t>
  </si>
  <si>
    <t>21476017</t>
  </si>
  <si>
    <t>21476015</t>
  </si>
  <si>
    <t>21476014</t>
  </si>
  <si>
    <t>21476019</t>
  </si>
  <si>
    <t>21476016</t>
  </si>
  <si>
    <t>21476013</t>
  </si>
  <si>
    <t>21476011</t>
  </si>
  <si>
    <t>21476012</t>
  </si>
  <si>
    <t>21476010</t>
  </si>
  <si>
    <t>21476009</t>
  </si>
  <si>
    <t>21475999</t>
  </si>
  <si>
    <t>21475998</t>
  </si>
  <si>
    <t>21475997</t>
  </si>
  <si>
    <t>21475995</t>
  </si>
  <si>
    <t>21475994</t>
  </si>
  <si>
    <t>21475993</t>
  </si>
  <si>
    <t>21475990</t>
  </si>
  <si>
    <t>21475986</t>
  </si>
  <si>
    <t>21475985</t>
  </si>
  <si>
    <t>21475947</t>
  </si>
  <si>
    <t>21475882</t>
  </si>
  <si>
    <t>21475680</t>
  </si>
  <si>
    <t>21480825</t>
  </si>
  <si>
    <t>21481017</t>
  </si>
  <si>
    <t>21481016</t>
  </si>
  <si>
    <t>21483561</t>
  </si>
  <si>
    <t>21483562</t>
  </si>
  <si>
    <t>21483563</t>
  </si>
  <si>
    <t>21483565</t>
  </si>
  <si>
    <t>21483576</t>
  </si>
  <si>
    <t>21483577</t>
  </si>
  <si>
    <t>21483578</t>
  </si>
  <si>
    <t>21483590</t>
  </si>
  <si>
    <t>21483591</t>
  </si>
  <si>
    <t>21483592</t>
  </si>
  <si>
    <t>21483593</t>
  </si>
  <si>
    <t>21483594</t>
  </si>
  <si>
    <t>21483606</t>
  </si>
  <si>
    <t>21483608</t>
  </si>
  <si>
    <t>21483622</t>
  </si>
  <si>
    <t>21483623</t>
  </si>
  <si>
    <t>21483624</t>
  </si>
  <si>
    <t>21483625</t>
  </si>
  <si>
    <t>21483626</t>
  </si>
  <si>
    <t>21483627</t>
  </si>
  <si>
    <t>21483628</t>
  </si>
  <si>
    <t>21476579</t>
  </si>
  <si>
    <t>STEPHENS, INC</t>
  </si>
  <si>
    <t>02R030632</t>
  </si>
  <si>
    <t>FGLMC 3 3/18</t>
  </si>
  <si>
    <t>MLP SYSTEM ISSUE – Confirmed over email with Michele Kennon</t>
  </si>
  <si>
    <t>21476577</t>
  </si>
  <si>
    <t>3132QUDB6</t>
  </si>
  <si>
    <t>FG Q37297</t>
  </si>
  <si>
    <t>21476575</t>
  </si>
  <si>
    <t>31335AQE1</t>
  </si>
  <si>
    <t>FG G60453</t>
  </si>
  <si>
    <t>21476334</t>
  </si>
  <si>
    <t>STIFEL NICOLAUS &amp; COMPANY, INCORPOR</t>
  </si>
  <si>
    <t xml:space="preserve">MLP SYSTEM ISSUE – Confirmed over email with Lanza, John L </t>
  </si>
  <si>
    <t>21476324</t>
  </si>
  <si>
    <t>25468PDF0</t>
  </si>
  <si>
    <t>DIS 3.15 09/17/2025 GMTN</t>
  </si>
  <si>
    <t>21484669</t>
  </si>
  <si>
    <t xml:space="preserve">MLP SYSTEM ISSUE – Confirmed over email with Santoro, Kate </t>
  </si>
  <si>
    <t>21484726</t>
  </si>
  <si>
    <t>21484727</t>
  </si>
  <si>
    <t>674599CN3</t>
  </si>
  <si>
    <t>OXY 4.2 03/15/2048</t>
  </si>
  <si>
    <t>21484668</t>
  </si>
  <si>
    <t>01609WAT9</t>
  </si>
  <si>
    <t>BABA 3.4 12/06/2027</t>
  </si>
  <si>
    <t>NO PLATFORM - Confirmed over email with Santoro, Kate</t>
  </si>
  <si>
    <t>21484737</t>
  </si>
  <si>
    <t>21484736</t>
  </si>
  <si>
    <t>21484429</t>
  </si>
  <si>
    <t>SUNTRUST ROBINSON HUMPHREY, INC.</t>
  </si>
  <si>
    <t xml:space="preserve">NO PLATFORM - Confirmed over email with Wright.Dwayne </t>
  </si>
  <si>
    <t>21484430</t>
  </si>
  <si>
    <t>161175BJ2</t>
  </si>
  <si>
    <t>CHTR 3.75 02/15/2028 WI</t>
  </si>
  <si>
    <t>21476218</t>
  </si>
  <si>
    <t>TULLETT LIBERTY BROKERAGE</t>
  </si>
  <si>
    <t>21483317</t>
  </si>
  <si>
    <t>21474038</t>
  </si>
  <si>
    <t>UBS AG</t>
  </si>
  <si>
    <t>BN21474038</t>
  </si>
  <si>
    <t>21476941</t>
  </si>
  <si>
    <t>55336VAN0</t>
  </si>
  <si>
    <t>MPLX 4.7 04/15/2048</t>
  </si>
  <si>
    <t>BN21476941</t>
  </si>
  <si>
    <t>21476944</t>
  </si>
  <si>
    <t>BN21476944</t>
  </si>
  <si>
    <t>21484749</t>
  </si>
  <si>
    <t>BROKER BOOKING ISSUE (AESIR) - Confirmed over email with robert.wagstaff</t>
  </si>
  <si>
    <t>21484751</t>
  </si>
  <si>
    <t>21484759</t>
  </si>
  <si>
    <t>21474322</t>
  </si>
  <si>
    <t>UNICREDIT BANK AG</t>
  </si>
  <si>
    <t>IT0005323362</t>
  </si>
  <si>
    <t>BOTS 0 02/14/2019</t>
  </si>
  <si>
    <t>BN21474322</t>
  </si>
  <si>
    <t>21475571</t>
  </si>
  <si>
    <t>TRT110827T16</t>
  </si>
  <si>
    <t>TRY</t>
  </si>
  <si>
    <t>TURKGB 10.5 08/11/2027</t>
  </si>
  <si>
    <t>BN21475571</t>
  </si>
  <si>
    <t>TR GOV</t>
  </si>
  <si>
    <t>ANDBRO_C_MPI_FI</t>
  </si>
  <si>
    <t>stbrown</t>
  </si>
  <si>
    <t>21474342</t>
  </si>
  <si>
    <t>BN21474342</t>
  </si>
  <si>
    <t>21483381</t>
  </si>
  <si>
    <t>WELLS FARGO SECURITIES, L.L.C.</t>
  </si>
  <si>
    <t>BN21483381</t>
  </si>
  <si>
    <t>21483384</t>
  </si>
  <si>
    <t>BN21483384</t>
  </si>
  <si>
    <t>21484254</t>
  </si>
  <si>
    <t>BN21484254</t>
  </si>
  <si>
    <t>21484255</t>
  </si>
  <si>
    <t>BN21484255</t>
  </si>
  <si>
    <t>21484376</t>
  </si>
  <si>
    <t>BN21484376</t>
  </si>
  <si>
    <t>21484377</t>
  </si>
  <si>
    <t>BN21484377</t>
  </si>
  <si>
    <t>21484666</t>
  </si>
  <si>
    <t>BN21484666</t>
  </si>
  <si>
    <t>21484674</t>
  </si>
  <si>
    <t>BN21484674</t>
  </si>
  <si>
    <t>21483408</t>
  </si>
  <si>
    <t>BROKER BOOKING ISSUE (AESIR) - Confirmed over email with Ryan.R.Vaughn</t>
  </si>
  <si>
    <t>21484108</t>
  </si>
  <si>
    <t>21484110</t>
  </si>
  <si>
    <t>21484229</t>
  </si>
  <si>
    <t>21484231</t>
  </si>
  <si>
    <t>EOD macro - Processing Data headers to keep</t>
  </si>
  <si>
    <t>Broker</t>
  </si>
  <si>
    <t>Net Amount</t>
  </si>
  <si>
    <t>Processing Data Header (Actual by default)</t>
  </si>
  <si>
    <t>G:\d drive data\MY CAREER\vba\My Projects\Macros\Eclerx Projects\#2 FI EOD Recap\input files\BondActivityBlotter_20180306_11_57_10.xls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</si>
</sst>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[$-F400]h:mm:ss\ AM/PM"/>
    <numFmt numFmtId="165" formatCode="mm/dd/yyyy\ h:mm:ss\ AM/PM"/>
    <numFmt numFmtId="166" formatCode="#,##0.0"/>
    <numFmt numFmtId="167" formatCode="#,##0.000000"/>
    <numFmt numFmtId="168" formatCode="#,##0.00000"/>
    <numFmt numFmtId="169" formatCode="#,##0.0000000"/>
    <numFmt numFmtId="170" formatCode="#,##0.00000000"/>
    <numFmt numFmtId="171" formatCode="#,##0.000"/>
    <numFmt numFmtId="172" formatCode="#,##0.0000"/>
  </numFmts>
  <fonts count="23" x14ac:knownFonts="1">
    <font>
      <sz val="11"/>
      <color theme="1"/>
      <name val="Calibri"/>
      <family val="2"/>
      <scheme val="minor"/>
    </font>
    <font>
      <b/>
      <sz val="12"/>
      <color theme="7" tint="-0.499984740745262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color indexed="8"/>
      <name val="Calibri"/>
      <family val="2"/>
    </font>
    <font>
      <sz val="8"/>
      <name val="Tahoma"/>
      <family val="2"/>
    </font>
    <font>
      <b/>
      <u/>
      <sz val="9"/>
      <color theme="1"/>
      <name val="Calibri"/>
      <family val="2"/>
    </font>
    <font>
      <sz val="11"/>
      <color theme="1"/>
      <name val="Calibri"/>
      <family val="2"/>
    </font>
    <font>
      <b/>
      <u/>
      <sz val="10"/>
      <color theme="1"/>
      <name val="Calibri"/>
      <family val="2"/>
    </font>
    <font>
      <i/>
      <sz val="10"/>
      <color theme="1"/>
      <name val="Calibri"/>
      <family val="2"/>
    </font>
    <font>
      <b/>
      <u/>
      <sz val="8"/>
      <color theme="1"/>
      <name val="Arial"/>
      <family val="2"/>
    </font>
    <font>
      <sz val="8"/>
      <color indexed="58"/>
      <name val="Tahoma"/>
      <family val="2"/>
    </font>
    <font>
      <sz val="8"/>
      <color indexed="57"/>
      <name val="Tahoma"/>
      <family val="2"/>
    </font>
    <font>
      <strike/>
      <sz val="8"/>
      <name val="Tahoma"/>
      <family val="2"/>
    </font>
    <font>
      <strike/>
      <sz val="8"/>
      <color indexed="57"/>
      <name val="Tahoma"/>
      <family val="2"/>
    </font>
    <font>
      <strike/>
      <sz val="8"/>
      <color indexed="58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CF6B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3D3D3"/>
      </patternFill>
    </fill>
    <fill>
      <patternFill patternType="solid">
        <fgColor rgb="FFFFFFFF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 style="thin">
        <color indexed="8"/>
      </right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/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</borders>
  <cellStyleXfs count="2">
    <xf numFmtId="0" fontId="0" fillId="0" borderId="0"/>
    <xf numFmtId="0" fontId="2" fillId="0" borderId="0"/>
  </cellStyleXfs>
  <cellXfs count="213">
    <xf numFmtId="0" fontId="0" fillId="0" borderId="0" xfId="0"/>
    <xf numFmtId="0" fontId="0" fillId="0" borderId="0" xfId="0" applyBorder="1"/>
    <xf numFmtId="0" fontId="1" fillId="0" borderId="0" xfId="0" applyFont="1"/>
    <xf numFmtId="0" fontId="2" fillId="0" borderId="0" xfId="1"/>
    <xf numFmtId="0" fontId="2" fillId="0" borderId="4" xfId="1" applyBorder="1"/>
    <xf numFmtId="0" fontId="0" fillId="0" borderId="4" xfId="0" applyBorder="1"/>
    <xf numFmtId="0" fontId="2" fillId="0" borderId="4" xfId="1" applyFont="1" applyBorder="1"/>
    <xf numFmtId="0" fontId="0" fillId="0" borderId="5" xfId="0" applyBorder="1"/>
    <xf numFmtId="0" fontId="0" fillId="0" borderId="5" xfId="0" pivotButton="1" applyBorder="1"/>
    <xf numFmtId="0" fontId="0" fillId="0" borderId="7" xfId="0" applyBorder="1"/>
    <xf numFmtId="0" fontId="0" fillId="0" borderId="5" xfId="0" applyNumberFormat="1" applyBorder="1"/>
    <xf numFmtId="0" fontId="0" fillId="0" borderId="7" xfId="0" applyNumberFormat="1" applyBorder="1"/>
    <xf numFmtId="0" fontId="0" fillId="0" borderId="8" xfId="0" applyBorder="1"/>
    <xf numFmtId="0" fontId="0" fillId="0" borderId="8" xfId="0" applyNumberFormat="1" applyBorder="1"/>
    <xf numFmtId="0" fontId="0" fillId="0" borderId="9" xfId="0" applyNumberFormat="1" applyBorder="1"/>
    <xf numFmtId="0" fontId="0" fillId="0" borderId="10" xfId="0" applyBorder="1"/>
    <xf numFmtId="0" fontId="0" fillId="0" borderId="10" xfId="0" applyNumberFormat="1" applyBorder="1"/>
    <xf numFmtId="0" fontId="0" fillId="0" borderId="11" xfId="0" applyNumberFormat="1" applyBorder="1"/>
    <xf numFmtId="0" fontId="0" fillId="2" borderId="12" xfId="0" applyFill="1" applyBorder="1"/>
    <xf numFmtId="0" fontId="0" fillId="2" borderId="13" xfId="0" applyFill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 applyAlignment="1">
      <alignment horizontal="center" vertical="center"/>
    </xf>
    <xf numFmtId="0" fontId="0" fillId="0" borderId="11" xfId="0" pivotButton="1" applyBorder="1"/>
    <xf numFmtId="0" fontId="0" fillId="0" borderId="11" xfId="0" applyBorder="1"/>
    <xf numFmtId="0" fontId="3" fillId="3" borderId="4" xfId="1" applyFont="1" applyFill="1" applyBorder="1"/>
    <xf numFmtId="0" fontId="4" fillId="3" borderId="4" xfId="0" applyFont="1" applyFill="1" applyBorder="1"/>
    <xf numFmtId="0" fontId="0" fillId="0" borderId="17" xfId="0" applyFill="1" applyBorder="1" applyAlignment="1">
      <alignment horizontal="center" vertical="center"/>
    </xf>
    <xf numFmtId="0" fontId="6" fillId="0" borderId="0" xfId="0" applyFont="1" applyBorder="1"/>
    <xf numFmtId="0" fontId="5" fillId="2" borderId="19" xfId="0" applyFont="1" applyFill="1" applyBorder="1"/>
    <xf numFmtId="0" fontId="0" fillId="0" borderId="17" xfId="0" applyBorder="1"/>
    <xf numFmtId="0" fontId="0" fillId="0" borderId="17" xfId="0" applyBorder="1" applyAlignment="1">
      <alignment horizontal="center"/>
    </xf>
    <xf numFmtId="0" fontId="0" fillId="0" borderId="18" xfId="0" applyBorder="1"/>
    <xf numFmtId="0" fontId="0" fillId="0" borderId="0" xfId="0" applyAlignment="1"/>
    <xf numFmtId="0" fontId="7" fillId="4" borderId="19" xfId="0" applyFont="1" applyFill="1" applyBorder="1" applyAlignment="1">
      <alignment horizontal="center" wrapText="1"/>
    </xf>
    <xf numFmtId="0" fontId="7" fillId="4" borderId="20" xfId="0" applyFont="1" applyFill="1" applyBorder="1" applyAlignment="1">
      <alignment horizontal="center" wrapText="1"/>
    </xf>
    <xf numFmtId="0" fontId="7" fillId="4" borderId="13" xfId="0" applyFont="1" applyFill="1" applyBorder="1" applyAlignment="1">
      <alignment horizontal="center" wrapText="1"/>
    </xf>
    <xf numFmtId="0" fontId="7" fillId="5" borderId="19" xfId="0" applyFont="1" applyFill="1" applyBorder="1" applyAlignment="1">
      <alignment horizontal="center" vertical="center"/>
    </xf>
    <xf numFmtId="0" fontId="8" fillId="5" borderId="18" xfId="0" applyFont="1" applyFill="1" applyBorder="1" applyAlignment="1">
      <alignment vertical="center"/>
    </xf>
    <xf numFmtId="0" fontId="8" fillId="5" borderId="19" xfId="0" applyFont="1" applyFill="1" applyBorder="1" applyAlignment="1">
      <alignment vertical="center" wrapText="1"/>
    </xf>
    <xf numFmtId="0" fontId="8" fillId="5" borderId="19" xfId="0" applyFont="1" applyFill="1" applyBorder="1" applyAlignment="1">
      <alignment vertical="center"/>
    </xf>
    <xf numFmtId="10" fontId="7" fillId="0" borderId="19" xfId="0" applyNumberFormat="1" applyFont="1" applyFill="1" applyBorder="1" applyAlignment="1">
      <alignment horizontal="center"/>
    </xf>
    <xf numFmtId="10" fontId="7" fillId="5" borderId="19" xfId="0" applyNumberFormat="1" applyFont="1" applyFill="1" applyBorder="1" applyAlignment="1">
      <alignment horizontal="center"/>
    </xf>
    <xf numFmtId="0" fontId="8" fillId="5" borderId="21" xfId="0" applyFont="1" applyFill="1" applyBorder="1" applyAlignment="1">
      <alignment vertical="center"/>
    </xf>
    <xf numFmtId="0" fontId="7" fillId="0" borderId="19" xfId="0" applyFont="1" applyFill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0" fontId="7" fillId="5" borderId="19" xfId="0" applyFont="1" applyFill="1" applyBorder="1" applyAlignment="1">
      <alignment horizontal="center"/>
    </xf>
    <xf numFmtId="0" fontId="9" fillId="5" borderId="17" xfId="0" applyFont="1" applyFill="1" applyBorder="1" applyAlignment="1">
      <alignment vertical="center" wrapText="1"/>
    </xf>
    <xf numFmtId="0" fontId="10" fillId="0" borderId="19" xfId="0" applyFont="1" applyFill="1" applyBorder="1" applyAlignment="1">
      <alignment horizontal="center"/>
    </xf>
    <xf numFmtId="0" fontId="10" fillId="5" borderId="19" xfId="0" applyFont="1" applyFill="1" applyBorder="1" applyAlignment="1">
      <alignment horizontal="center"/>
    </xf>
    <xf numFmtId="0" fontId="9" fillId="7" borderId="17" xfId="0" applyFont="1" applyFill="1" applyBorder="1" applyAlignment="1">
      <alignment vertical="center" wrapText="1"/>
    </xf>
    <xf numFmtId="0" fontId="9" fillId="8" borderId="17" xfId="0" applyFont="1" applyFill="1" applyBorder="1" applyAlignment="1">
      <alignment vertical="center" wrapText="1"/>
    </xf>
    <xf numFmtId="0" fontId="9" fillId="8" borderId="18" xfId="0" applyFont="1" applyFill="1" applyBorder="1" applyAlignment="1">
      <alignment vertical="center" wrapText="1"/>
    </xf>
    <xf numFmtId="0" fontId="9" fillId="5" borderId="18" xfId="0" applyFont="1" applyFill="1" applyBorder="1" applyAlignment="1">
      <alignment vertical="center" wrapText="1"/>
    </xf>
    <xf numFmtId="0" fontId="9" fillId="5" borderId="25" xfId="0" applyFont="1" applyFill="1" applyBorder="1" applyAlignment="1">
      <alignment vertical="center"/>
    </xf>
    <xf numFmtId="10" fontId="10" fillId="0" borderId="19" xfId="0" applyNumberFormat="1" applyFont="1" applyFill="1" applyBorder="1" applyAlignment="1">
      <alignment horizontal="center"/>
    </xf>
    <xf numFmtId="10" fontId="10" fillId="5" borderId="19" xfId="0" applyNumberFormat="1" applyFont="1" applyFill="1" applyBorder="1" applyAlignment="1">
      <alignment horizontal="center"/>
    </xf>
    <xf numFmtId="0" fontId="9" fillId="5" borderId="27" xfId="0" applyFont="1" applyFill="1" applyBorder="1" applyAlignment="1">
      <alignment vertical="center"/>
    </xf>
    <xf numFmtId="0" fontId="7" fillId="5" borderId="21" xfId="0" applyFont="1" applyFill="1" applyBorder="1" applyAlignment="1">
      <alignment horizontal="center" vertical="center"/>
    </xf>
    <xf numFmtId="0" fontId="8" fillId="5" borderId="17" xfId="0" applyFont="1" applyFill="1" applyBorder="1" applyAlignment="1">
      <alignment vertical="center"/>
    </xf>
    <xf numFmtId="0" fontId="7" fillId="0" borderId="19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vertical="center"/>
    </xf>
    <xf numFmtId="0" fontId="10" fillId="5" borderId="0" xfId="0" applyFont="1" applyFill="1"/>
    <xf numFmtId="0" fontId="10" fillId="0" borderId="0" xfId="0" applyFont="1" applyFill="1"/>
    <xf numFmtId="0" fontId="11" fillId="5" borderId="0" xfId="0" applyFont="1" applyFill="1"/>
    <xf numFmtId="0" fontId="10" fillId="7" borderId="19" xfId="0" applyFont="1" applyFill="1" applyBorder="1"/>
    <xf numFmtId="0" fontId="10" fillId="5" borderId="0" xfId="0" applyFont="1" applyFill="1" applyAlignment="1">
      <alignment horizontal="center"/>
    </xf>
    <xf numFmtId="0" fontId="10" fillId="8" borderId="18" xfId="0" applyFont="1" applyFill="1" applyBorder="1"/>
    <xf numFmtId="0" fontId="0" fillId="5" borderId="0" xfId="0" applyFill="1"/>
    <xf numFmtId="0" fontId="8" fillId="9" borderId="21" xfId="0" applyFont="1" applyFill="1" applyBorder="1" applyAlignment="1">
      <alignment vertical="center"/>
    </xf>
    <xf numFmtId="0" fontId="9" fillId="9" borderId="17" xfId="0" applyFont="1" applyFill="1" applyBorder="1" applyAlignment="1">
      <alignment vertical="center"/>
    </xf>
    <xf numFmtId="0" fontId="8" fillId="9" borderId="23" xfId="0" applyFont="1" applyFill="1" applyBorder="1" applyAlignment="1">
      <alignment vertical="center"/>
    </xf>
    <xf numFmtId="0" fontId="0" fillId="0" borderId="29" xfId="0" applyBorder="1"/>
    <xf numFmtId="0" fontId="0" fillId="0" borderId="30" xfId="0" applyBorder="1"/>
    <xf numFmtId="164" fontId="0" fillId="0" borderId="0" xfId="0" applyNumberFormat="1"/>
    <xf numFmtId="0" fontId="0" fillId="0" borderId="31" xfId="0" pivotButton="1" applyBorder="1"/>
    <xf numFmtId="0" fontId="0" fillId="0" borderId="31" xfId="0" applyBorder="1"/>
    <xf numFmtId="0" fontId="0" fillId="0" borderId="6" xfId="0" applyBorder="1"/>
    <xf numFmtId="10" fontId="7" fillId="0" borderId="20" xfId="0" applyNumberFormat="1" applyFont="1" applyFill="1" applyBorder="1" applyAlignment="1">
      <alignment horizontal="center"/>
    </xf>
    <xf numFmtId="10" fontId="7" fillId="0" borderId="13" xfId="0" applyNumberFormat="1" applyFont="1" applyFill="1" applyBorder="1" applyAlignment="1">
      <alignment horizontal="center"/>
    </xf>
    <xf numFmtId="14" fontId="0" fillId="0" borderId="4" xfId="0" applyNumberFormat="1" applyBorder="1"/>
    <xf numFmtId="0" fontId="1" fillId="0" borderId="4" xfId="0" applyFont="1" applyBorder="1"/>
    <xf numFmtId="0" fontId="7" fillId="0" borderId="12" xfId="0" applyFont="1" applyFill="1" applyBorder="1" applyAlignment="1">
      <alignment horizontal="center"/>
    </xf>
    <xf numFmtId="0" fontId="10" fillId="0" borderId="20" xfId="0" applyFont="1" applyFill="1" applyBorder="1" applyAlignment="1">
      <alignment horizontal="center"/>
    </xf>
    <xf numFmtId="0" fontId="7" fillId="0" borderId="20" xfId="0" applyFont="1" applyFill="1" applyBorder="1" applyAlignment="1">
      <alignment horizontal="center"/>
    </xf>
    <xf numFmtId="10" fontId="10" fillId="0" borderId="20" xfId="0" applyNumberFormat="1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10" fontId="10" fillId="0" borderId="13" xfId="0" applyNumberFormat="1" applyFont="1" applyFill="1" applyBorder="1" applyAlignment="1">
      <alignment horizontal="center"/>
    </xf>
    <xf numFmtId="14" fontId="7" fillId="4" borderId="21" xfId="0" applyNumberFormat="1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 wrapText="1"/>
    </xf>
    <xf numFmtId="0" fontId="7" fillId="4" borderId="18" xfId="0" applyFont="1" applyFill="1" applyBorder="1" applyAlignment="1">
      <alignment horizontal="center" wrapText="1"/>
    </xf>
    <xf numFmtId="14" fontId="2" fillId="0" borderId="0" xfId="1" applyNumberFormat="1"/>
    <xf numFmtId="14" fontId="2" fillId="0" borderId="4" xfId="1" applyNumberFormat="1" applyBorder="1"/>
    <xf numFmtId="49" fontId="12" fillId="0" borderId="28" xfId="0" applyNumberFormat="1" applyFont="1" applyFill="1" applyBorder="1" applyAlignment="1" applyProtection="1">
      <alignment horizontal="left" vertical="center"/>
    </xf>
    <xf numFmtId="0" fontId="7" fillId="5" borderId="21" xfId="0" applyFont="1" applyFill="1" applyBorder="1" applyAlignment="1">
      <alignment horizontal="center" vertical="center"/>
    </xf>
    <xf numFmtId="0" fontId="7" fillId="4" borderId="18" xfId="0" applyFont="1" applyFill="1" applyBorder="1" applyAlignment="1">
      <alignment vertical="center"/>
    </xf>
    <xf numFmtId="0" fontId="7" fillId="5" borderId="21" xfId="0" applyFont="1" applyFill="1" applyBorder="1" applyAlignment="1">
      <alignment vertical="center"/>
    </xf>
    <xf numFmtId="0" fontId="7" fillId="5" borderId="17" xfId="0" applyFont="1" applyFill="1" applyBorder="1" applyAlignment="1">
      <alignment vertical="center"/>
    </xf>
    <xf numFmtId="0" fontId="7" fillId="5" borderId="18" xfId="0" applyFont="1" applyFill="1" applyBorder="1" applyAlignment="1">
      <alignment vertical="center"/>
    </xf>
    <xf numFmtId="0" fontId="7" fillId="5" borderId="22" xfId="0" applyFont="1" applyFill="1" applyBorder="1" applyAlignment="1">
      <alignment vertical="center"/>
    </xf>
    <xf numFmtId="0" fontId="7" fillId="5" borderId="24" xfId="0" applyFont="1" applyFill="1" applyBorder="1" applyAlignment="1">
      <alignment vertical="center"/>
    </xf>
    <xf numFmtId="0" fontId="7" fillId="5" borderId="26" xfId="0" applyFont="1" applyFill="1" applyBorder="1" applyAlignment="1">
      <alignment vertical="center"/>
    </xf>
    <xf numFmtId="0" fontId="9" fillId="5" borderId="17" xfId="0" applyFont="1" applyFill="1" applyBorder="1" applyAlignment="1">
      <alignment vertical="center"/>
    </xf>
    <xf numFmtId="0" fontId="9" fillId="7" borderId="17" xfId="0" applyFont="1" applyFill="1" applyBorder="1" applyAlignment="1">
      <alignment vertical="center"/>
    </xf>
    <xf numFmtId="0" fontId="9" fillId="8" borderId="17" xfId="0" applyFont="1" applyFill="1" applyBorder="1" applyAlignment="1">
      <alignment vertical="center"/>
    </xf>
    <xf numFmtId="0" fontId="9" fillId="8" borderId="18" xfId="0" applyFont="1" applyFill="1" applyBorder="1" applyAlignment="1">
      <alignment vertical="center"/>
    </xf>
    <xf numFmtId="0" fontId="9" fillId="5" borderId="18" xfId="0" applyFont="1" applyFill="1" applyBorder="1" applyAlignment="1">
      <alignment vertical="center"/>
    </xf>
    <xf numFmtId="0" fontId="10" fillId="5" borderId="0" xfId="0" applyFont="1" applyFill="1" applyAlignment="1"/>
    <xf numFmtId="0" fontId="10" fillId="7" borderId="19" xfId="0" applyFont="1" applyFill="1" applyBorder="1" applyAlignment="1"/>
    <xf numFmtId="0" fontId="10" fillId="8" borderId="18" xfId="0" applyFont="1" applyFill="1" applyBorder="1" applyAlignment="1"/>
    <xf numFmtId="10" fontId="7" fillId="6" borderId="20" xfId="0" applyNumberFormat="1" applyFont="1" applyFill="1" applyBorder="1" applyAlignment="1"/>
    <xf numFmtId="10" fontId="7" fillId="6" borderId="12" xfId="0" applyNumberFormat="1" applyFont="1" applyFill="1" applyBorder="1" applyAlignment="1"/>
    <xf numFmtId="10" fontId="7" fillId="6" borderId="13" xfId="0" applyNumberFormat="1" applyFont="1" applyFill="1" applyBorder="1" applyAlignment="1"/>
    <xf numFmtId="0" fontId="7" fillId="4" borderId="17" xfId="0" applyFont="1" applyFill="1" applyBorder="1" applyAlignment="1">
      <alignment vertical="center"/>
    </xf>
    <xf numFmtId="0" fontId="7" fillId="4" borderId="20" xfId="0" applyFont="1" applyFill="1" applyBorder="1" applyAlignment="1">
      <alignment vertical="center"/>
    </xf>
    <xf numFmtId="0" fontId="7" fillId="4" borderId="12" xfId="0" applyFont="1" applyFill="1" applyBorder="1" applyAlignment="1">
      <alignment vertical="center"/>
    </xf>
    <xf numFmtId="0" fontId="7" fillId="4" borderId="13" xfId="0" applyFont="1" applyFill="1" applyBorder="1" applyAlignment="1">
      <alignment vertical="center"/>
    </xf>
    <xf numFmtId="10" fontId="7" fillId="0" borderId="12" xfId="0" applyNumberFormat="1" applyFont="1" applyFill="1" applyBorder="1" applyAlignment="1"/>
    <xf numFmtId="10" fontId="7" fillId="0" borderId="13" xfId="0" applyNumberFormat="1" applyFont="1" applyFill="1" applyBorder="1" applyAlignment="1"/>
    <xf numFmtId="0" fontId="7" fillId="4" borderId="34" xfId="0" applyFont="1" applyFill="1" applyBorder="1" applyAlignment="1">
      <alignment vertical="center"/>
    </xf>
    <xf numFmtId="10" fontId="7" fillId="0" borderId="18" xfId="0" applyNumberFormat="1" applyFont="1" applyFill="1" applyBorder="1" applyAlignment="1">
      <alignment horizontal="center"/>
    </xf>
    <xf numFmtId="0" fontId="7" fillId="4" borderId="34" xfId="0" applyFont="1" applyFill="1" applyBorder="1" applyAlignment="1">
      <alignment horizontal="center" wrapText="1"/>
    </xf>
    <xf numFmtId="0" fontId="0" fillId="0" borderId="33" xfId="0" applyBorder="1"/>
    <xf numFmtId="10" fontId="7" fillId="0" borderId="15" xfId="0" applyNumberFormat="1" applyFont="1" applyFill="1" applyBorder="1" applyAlignment="1"/>
    <xf numFmtId="10" fontId="7" fillId="0" borderId="16" xfId="0" applyNumberFormat="1" applyFont="1" applyFill="1" applyBorder="1" applyAlignment="1"/>
    <xf numFmtId="0" fontId="0" fillId="0" borderId="20" xfId="0" applyBorder="1"/>
    <xf numFmtId="0" fontId="13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0" fillId="10" borderId="20" xfId="0" applyFill="1" applyBorder="1"/>
    <xf numFmtId="10" fontId="7" fillId="10" borderId="12" xfId="0" applyNumberFormat="1" applyFont="1" applyFill="1" applyBorder="1" applyAlignment="1"/>
    <xf numFmtId="10" fontId="7" fillId="10" borderId="13" xfId="0" applyNumberFormat="1" applyFont="1" applyFill="1" applyBorder="1" applyAlignment="1"/>
    <xf numFmtId="0" fontId="0" fillId="10" borderId="33" xfId="0" applyFill="1" applyBorder="1"/>
    <xf numFmtId="10" fontId="7" fillId="10" borderId="15" xfId="0" applyNumberFormat="1" applyFont="1" applyFill="1" applyBorder="1" applyAlignment="1"/>
    <xf numFmtId="10" fontId="7" fillId="10" borderId="16" xfId="0" applyNumberFormat="1" applyFont="1" applyFill="1" applyBorder="1" applyAlignment="1"/>
    <xf numFmtId="10" fontId="7" fillId="10" borderId="13" xfId="0" applyNumberFormat="1" applyFont="1" applyFill="1" applyBorder="1" applyAlignment="1">
      <alignment horizontal="center"/>
    </xf>
    <xf numFmtId="10" fontId="7" fillId="10" borderId="19" xfId="0" applyNumberFormat="1" applyFont="1" applyFill="1" applyBorder="1" applyAlignment="1">
      <alignment horizontal="center"/>
    </xf>
    <xf numFmtId="0" fontId="7" fillId="10" borderId="13" xfId="0" applyFont="1" applyFill="1" applyBorder="1" applyAlignment="1">
      <alignment horizontal="center"/>
    </xf>
    <xf numFmtId="0" fontId="10" fillId="10" borderId="13" xfId="0" applyFont="1" applyFill="1" applyBorder="1" applyAlignment="1">
      <alignment horizontal="center"/>
    </xf>
    <xf numFmtId="0" fontId="10" fillId="10" borderId="19" xfId="0" applyFont="1" applyFill="1" applyBorder="1" applyAlignment="1">
      <alignment horizontal="center"/>
    </xf>
    <xf numFmtId="0" fontId="7" fillId="10" borderId="19" xfId="0" applyFont="1" applyFill="1" applyBorder="1" applyAlignment="1">
      <alignment horizontal="center"/>
    </xf>
    <xf numFmtId="10" fontId="10" fillId="10" borderId="13" xfId="0" applyNumberFormat="1" applyFont="1" applyFill="1" applyBorder="1" applyAlignment="1">
      <alignment horizontal="center"/>
    </xf>
    <xf numFmtId="10" fontId="10" fillId="10" borderId="19" xfId="0" applyNumberFormat="1" applyFont="1" applyFill="1" applyBorder="1" applyAlignment="1">
      <alignment horizontal="center"/>
    </xf>
    <xf numFmtId="14" fontId="7" fillId="4" borderId="33" xfId="0" applyNumberFormat="1" applyFont="1" applyFill="1" applyBorder="1" applyAlignment="1"/>
    <xf numFmtId="14" fontId="7" fillId="4" borderId="15" xfId="0" applyNumberFormat="1" applyFont="1" applyFill="1" applyBorder="1" applyAlignment="1"/>
    <xf numFmtId="14" fontId="7" fillId="4" borderId="16" xfId="0" applyNumberFormat="1" applyFont="1" applyFill="1" applyBorder="1" applyAlignment="1"/>
    <xf numFmtId="0" fontId="7" fillId="4" borderId="33" xfId="0" applyFont="1" applyFill="1" applyBorder="1" applyAlignment="1"/>
    <xf numFmtId="0" fontId="7" fillId="4" borderId="15" xfId="0" applyFont="1" applyFill="1" applyBorder="1" applyAlignment="1"/>
    <xf numFmtId="0" fontId="7" fillId="4" borderId="16" xfId="0" applyFont="1" applyFill="1" applyBorder="1" applyAlignment="1"/>
    <xf numFmtId="0" fontId="10" fillId="11" borderId="19" xfId="0" applyFont="1" applyFill="1" applyBorder="1" applyAlignment="1">
      <alignment horizontal="center"/>
    </xf>
    <xf numFmtId="0" fontId="10" fillId="12" borderId="19" xfId="0" applyFont="1" applyFill="1" applyBorder="1" applyAlignment="1">
      <alignment horizontal="center"/>
    </xf>
    <xf numFmtId="49" fontId="12" fillId="0" borderId="35" xfId="0" applyNumberFormat="1" applyFont="1" applyFill="1" applyBorder="1" applyAlignment="1" applyProtection="1">
      <alignment horizontal="center" vertical="center"/>
    </xf>
    <xf numFmtId="49" fontId="12" fillId="0" borderId="36" xfId="0" applyNumberFormat="1" applyFont="1" applyFill="1" applyBorder="1" applyAlignment="1" applyProtection="1">
      <alignment horizontal="center" vertical="center"/>
    </xf>
    <xf numFmtId="49" fontId="12" fillId="0" borderId="0" xfId="0" applyNumberFormat="1" applyFont="1" applyFill="1" applyBorder="1" applyAlignment="1" applyProtection="1">
      <alignment horizontal="center" vertical="center"/>
    </xf>
    <xf numFmtId="49" fontId="12" fillId="0" borderId="4" xfId="0" applyNumberFormat="1" applyFont="1" applyFill="1" applyBorder="1" applyAlignment="1" applyProtection="1">
      <alignment horizontal="center" vertical="center"/>
    </xf>
    <xf numFmtId="0" fontId="0" fillId="0" borderId="0" xfId="0" applyFill="1"/>
    <xf numFmtId="0" fontId="6" fillId="0" borderId="0" xfId="0" applyFont="1" applyAlignment="1">
      <alignment horizontal="right"/>
    </xf>
    <xf numFmtId="165" fontId="0" fillId="0" borderId="0" xfId="0" applyNumberFormat="1"/>
    <xf numFmtId="164" fontId="12" fillId="0" borderId="28" xfId="0" applyNumberFormat="1" applyFont="1" applyFill="1" applyBorder="1" applyAlignment="1" applyProtection="1">
      <alignment horizontal="left" vertical="center"/>
    </xf>
    <xf numFmtId="49" fontId="12" fillId="0" borderId="37" xfId="0" applyNumberFormat="1" applyFont="1" applyFill="1" applyBorder="1" applyAlignment="1" applyProtection="1">
      <alignment horizontal="center" vertical="center"/>
    </xf>
    <xf numFmtId="0" fontId="3" fillId="13" borderId="4" xfId="1" applyFont="1" applyFill="1" applyBorder="1" applyAlignment="1">
      <alignment horizontal="center" wrapText="1"/>
    </xf>
    <xf numFmtId="0" fontId="8" fillId="4" borderId="38" xfId="0" applyFont="1" applyFill="1" applyBorder="1" applyAlignment="1">
      <alignment horizontal="justify"/>
    </xf>
    <xf numFmtId="0" fontId="9" fillId="0" borderId="38" xfId="0" applyFont="1" applyBorder="1" applyAlignment="1">
      <alignment horizontal="justify"/>
    </xf>
    <xf numFmtId="166" fontId="9" fillId="0" borderId="38" xfId="0" applyNumberFormat="1" applyFont="1" applyBorder="1"/>
    <xf numFmtId="4" fontId="9" fillId="0" borderId="38" xfId="0" applyNumberFormat="1" applyFont="1" applyBorder="1"/>
    <xf numFmtId="167" fontId="9" fillId="0" borderId="38" xfId="0" applyNumberFormat="1" applyFont="1" applyBorder="1"/>
    <xf numFmtId="168" fontId="9" fillId="0" borderId="38" xfId="0" applyNumberFormat="1" applyFont="1" applyBorder="1"/>
    <xf numFmtId="169" fontId="9" fillId="0" borderId="38" xfId="0" applyNumberFormat="1" applyFont="1" applyBorder="1"/>
    <xf numFmtId="170" fontId="9" fillId="0" borderId="38" xfId="0" applyNumberFormat="1" applyFont="1" applyBorder="1"/>
    <xf numFmtId="171" fontId="9" fillId="0" borderId="38" xfId="0" applyNumberFormat="1" applyFont="1" applyBorder="1"/>
    <xf numFmtId="172" fontId="9" fillId="0" borderId="38" xfId="0" applyNumberFormat="1" applyFont="1" applyBorder="1"/>
    <xf numFmtId="49" fontId="12" fillId="14" borderId="35" xfId="0" applyNumberFormat="1" applyFont="1" applyFill="1" applyBorder="1" applyAlignment="1" applyProtection="1">
      <alignment horizontal="center" vertical="center"/>
    </xf>
    <xf numFmtId="49" fontId="12" fillId="15" borderId="35" xfId="0" applyNumberFormat="1" applyFont="1" applyFill="1" applyBorder="1" applyAlignment="1" applyProtection="1">
      <alignment horizontal="left" vertical="center"/>
    </xf>
    <xf numFmtId="0" fontId="12" fillId="15" borderId="35" xfId="0" applyNumberFormat="1" applyFont="1" applyFill="1" applyBorder="1" applyAlignment="1" applyProtection="1">
      <alignment horizontal="left" vertical="center"/>
    </xf>
    <xf numFmtId="14" fontId="12" fillId="15" borderId="35" xfId="0" applyNumberFormat="1" applyFont="1" applyFill="1" applyBorder="1" applyAlignment="1" applyProtection="1">
      <alignment horizontal="left" vertical="center"/>
    </xf>
    <xf numFmtId="49" fontId="18" fillId="15" borderId="35" xfId="0" applyNumberFormat="1" applyFont="1" applyFill="1" applyBorder="1" applyAlignment="1" applyProtection="1">
      <alignment horizontal="left" vertical="center"/>
    </xf>
    <xf numFmtId="4" fontId="12" fillId="15" borderId="35" xfId="0" applyNumberFormat="1" applyFont="1" applyFill="1" applyBorder="1" applyAlignment="1" applyProtection="1">
      <alignment horizontal="right" vertical="center"/>
    </xf>
    <xf numFmtId="49" fontId="19" fillId="15" borderId="35" xfId="0" applyNumberFormat="1" applyFont="1" applyFill="1" applyBorder="1" applyAlignment="1" applyProtection="1">
      <alignment horizontal="left" vertical="center"/>
    </xf>
    <xf numFmtId="49" fontId="20" fillId="15" borderId="35" xfId="0" applyNumberFormat="1" applyFont="1" applyFill="1" applyBorder="1" applyAlignment="1" applyProtection="1">
      <alignment horizontal="left" vertical="center"/>
    </xf>
    <xf numFmtId="0" fontId="20" fillId="15" borderId="35" xfId="0" applyNumberFormat="1" applyFont="1" applyFill="1" applyBorder="1" applyAlignment="1" applyProtection="1">
      <alignment horizontal="left" vertical="center"/>
    </xf>
    <xf numFmtId="14" fontId="20" fillId="15" borderId="35" xfId="0" applyNumberFormat="1" applyFont="1" applyFill="1" applyBorder="1" applyAlignment="1" applyProtection="1">
      <alignment horizontal="left" vertical="center"/>
    </xf>
    <xf numFmtId="49" fontId="21" fillId="15" borderId="35" xfId="0" applyNumberFormat="1" applyFont="1" applyFill="1" applyBorder="1" applyAlignment="1" applyProtection="1">
      <alignment horizontal="left" vertical="center"/>
    </xf>
    <xf numFmtId="4" fontId="20" fillId="15" borderId="35" xfId="0" applyNumberFormat="1" applyFont="1" applyFill="1" applyBorder="1" applyAlignment="1" applyProtection="1">
      <alignment horizontal="right" vertical="center"/>
    </xf>
    <xf numFmtId="49" fontId="22" fillId="15" borderId="35" xfId="0" applyNumberFormat="1" applyFont="1" applyFill="1" applyBorder="1" applyAlignment="1" applyProtection="1">
      <alignment horizontal="left" vertical="center"/>
    </xf>
    <xf numFmtId="0" fontId="0" fillId="0" borderId="0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7" fillId="4" borderId="20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0" fontId="7" fillId="4" borderId="32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/>
    </xf>
    <xf numFmtId="0" fontId="7" fillId="4" borderId="21" xfId="0" applyFont="1" applyFill="1" applyBorder="1" applyAlignment="1">
      <alignment horizontal="center" vertical="center"/>
    </xf>
    <xf numFmtId="0" fontId="7" fillId="4" borderId="18" xfId="0" applyFont="1" applyFill="1" applyBorder="1" applyAlignment="1">
      <alignment horizontal="center" vertical="center"/>
    </xf>
    <xf numFmtId="14" fontId="7" fillId="4" borderId="20" xfId="0" applyNumberFormat="1" applyFont="1" applyFill="1" applyBorder="1" applyAlignment="1">
      <alignment horizontal="center"/>
    </xf>
    <xf numFmtId="14" fontId="7" fillId="4" borderId="12" xfId="0" applyNumberFormat="1" applyFont="1" applyFill="1" applyBorder="1" applyAlignment="1">
      <alignment horizontal="center"/>
    </xf>
    <xf numFmtId="14" fontId="7" fillId="4" borderId="13" xfId="0" applyNumberFormat="1" applyFont="1" applyFill="1" applyBorder="1" applyAlignment="1">
      <alignment horizontal="center"/>
    </xf>
    <xf numFmtId="0" fontId="7" fillId="5" borderId="21" xfId="0" applyFont="1" applyFill="1" applyBorder="1" applyAlignment="1">
      <alignment horizontal="center" vertical="center"/>
    </xf>
    <xf numFmtId="0" fontId="7" fillId="5" borderId="17" xfId="0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10" fontId="7" fillId="6" borderId="20" xfId="0" applyNumberFormat="1" applyFont="1" applyFill="1" applyBorder="1" applyAlignment="1">
      <alignment horizontal="center"/>
    </xf>
    <xf numFmtId="10" fontId="7" fillId="6" borderId="12" xfId="0" applyNumberFormat="1" applyFont="1" applyFill="1" applyBorder="1" applyAlignment="1">
      <alignment horizontal="center"/>
    </xf>
    <xf numFmtId="10" fontId="7" fillId="6" borderId="13" xfId="0" applyNumberFormat="1" applyFont="1" applyFill="1" applyBorder="1" applyAlignment="1">
      <alignment horizontal="center"/>
    </xf>
    <xf numFmtId="10" fontId="7" fillId="0" borderId="20" xfId="0" applyNumberFormat="1" applyFont="1" applyFill="1" applyBorder="1" applyAlignment="1">
      <alignment horizontal="center"/>
    </xf>
    <xf numFmtId="10" fontId="7" fillId="0" borderId="12" xfId="0" applyNumberFormat="1" applyFont="1" applyFill="1" applyBorder="1" applyAlignment="1">
      <alignment horizontal="center"/>
    </xf>
    <xf numFmtId="10" fontId="7" fillId="0" borderId="13" xfId="0" applyNumberFormat="1" applyFont="1" applyFill="1" applyBorder="1" applyAlignment="1">
      <alignment horizontal="center"/>
    </xf>
    <xf numFmtId="0" fontId="0" fillId="0" borderId="0" xfId="0"/>
    <xf numFmtId="0" fontId="3" fillId="11" borderId="4" xfId="1" applyFont="1" applyFill="1" applyBorder="1" applyAlignment="1">
      <alignment horizont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9CF6B4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209551</xdr:colOff>
      <xdr:row>14</xdr:row>
      <xdr:rowOff>76200</xdr:rowOff>
    </xdr:from>
    <xdr:to>
      <xdr:col>1</xdr:col>
      <xdr:colOff>1152525</xdr:colOff>
      <xdr:row>17</xdr:row>
      <xdr:rowOff>19050</xdr:rowOff>
    </xdr:to>
    <xdr:sp macro="[0]!DeleteStrikeThroughValues" textlink="">
      <xdr:nvSpPr>
        <xdr:cNvPr id="4" name="Rounded Rectangle 3"/>
        <xdr:cNvSpPr/>
      </xdr:nvSpPr>
      <xdr:spPr>
        <a:xfrm>
          <a:off x="209551" y="2762250"/>
          <a:ext cx="2876549" cy="523875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</a:rPr>
            <a:t>FI EOD REPORT</a:t>
          </a:r>
        </a:p>
      </xdr:txBody>
    </xdr:sp>
    <xdr:clientData/>
  </xdr:twoCellAnchor>
  <xdr:twoCellAnchor editAs="oneCell">
    <xdr:from>
      <xdr:col>7</xdr:col>
      <xdr:colOff>233832</xdr:colOff>
      <xdr:row>10</xdr:row>
      <xdr:rowOff>47625</xdr:rowOff>
    </xdr:from>
    <xdr:to>
      <xdr:col>8</xdr:col>
      <xdr:colOff>83310</xdr:colOff>
      <xdr:row>12</xdr:row>
      <xdr:rowOff>97566</xdr:rowOff>
    </xdr:to>
    <xdr:pic macro="[0]!BMPLfile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3207" y="1962150"/>
          <a:ext cx="459078" cy="44046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oneCellAnchor>
    <xdr:from>
      <xdr:col>1</xdr:col>
      <xdr:colOff>238126</xdr:colOff>
      <xdr:row>21</xdr:row>
      <xdr:rowOff>59823</xdr:rowOff>
    </xdr:from>
    <xdr:ext cx="8362950" cy="843757"/>
    <xdr:sp macro="" textlink="">
      <xdr:nvSpPr>
        <xdr:cNvPr id="6" name="Rectangle 5"/>
        <xdr:cNvSpPr/>
      </xdr:nvSpPr>
      <xdr:spPr>
        <a:xfrm>
          <a:off x="2047876" y="4079373"/>
          <a:ext cx="8362950" cy="84375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4800" b="0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Impact" panose="020B0806030902050204" pitchFamily="34" charset="0"/>
            </a:rPr>
            <a:t>FI EOD CASH REPORT MACRO</a:t>
          </a:r>
        </a:p>
      </xdr:txBody>
    </xdr:sp>
    <xdr:clientData/>
  </xdr:oneCellAnchor>
  <xdr:twoCellAnchor>
    <xdr:from>
      <xdr:col>5</xdr:col>
      <xdr:colOff>523875</xdr:colOff>
      <xdr:row>14</xdr:row>
      <xdr:rowOff>66675</xdr:rowOff>
    </xdr:from>
    <xdr:to>
      <xdr:col>10</xdr:col>
      <xdr:colOff>304800</xdr:colOff>
      <xdr:row>17</xdr:row>
      <xdr:rowOff>9525</xdr:rowOff>
    </xdr:to>
    <xdr:sp macro="[0]!MailDraft" textlink="">
      <xdr:nvSpPr>
        <xdr:cNvPr id="7" name="Rounded Rectangle 6"/>
        <xdr:cNvSpPr/>
      </xdr:nvSpPr>
      <xdr:spPr>
        <a:xfrm>
          <a:off x="5667375" y="2752725"/>
          <a:ext cx="2828925" cy="523875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</a:rPr>
            <a:t>FI EOD MAIL</a:t>
          </a:r>
          <a:r>
            <a:rPr lang="en-US" sz="2000" b="1" baseline="0">
              <a:solidFill>
                <a:sysClr val="windowText" lastClr="000000"/>
              </a:solidFill>
            </a:rPr>
            <a:t> DRAFT</a:t>
          </a:r>
          <a:endParaRPr lang="en-US" sz="20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</xdr:col>
      <xdr:colOff>180975</xdr:colOff>
      <xdr:row>14</xdr:row>
      <xdr:rowOff>28576</xdr:rowOff>
    </xdr:from>
    <xdr:to>
      <xdr:col>3</xdr:col>
      <xdr:colOff>342900</xdr:colOff>
      <xdr:row>17</xdr:row>
      <xdr:rowOff>94507</xdr:rowOff>
    </xdr:to>
    <xdr:pic macro="[0]!clear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7575" y="2714626"/>
          <a:ext cx="771525" cy="646956"/>
        </a:xfrm>
        <a:prstGeom prst="ellipse">
          <a:avLst/>
        </a:prstGeom>
        <a:scene3d>
          <a:camera prst="orthographicFront"/>
          <a:lightRig rig="threePt" dir="t"/>
        </a:scene3d>
        <a:sp3d>
          <a:bevelT/>
        </a:sp3d>
      </xdr:spPr>
    </xdr:pic>
    <xdr:clientData/>
  </xdr:twoCellAnchor>
  <xdr:twoCellAnchor editAs="oneCell">
    <xdr:from>
      <xdr:col>4</xdr:col>
      <xdr:colOff>57151</xdr:colOff>
      <xdr:row>14</xdr:row>
      <xdr:rowOff>85724</xdr:rowOff>
    </xdr:from>
    <xdr:to>
      <xdr:col>5</xdr:col>
      <xdr:colOff>66675</xdr:colOff>
      <xdr:row>17</xdr:row>
      <xdr:rowOff>66674</xdr:rowOff>
    </xdr:to>
    <xdr:pic macro="[0]!Saveworkbook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1051" y="2771774"/>
          <a:ext cx="619124" cy="561975"/>
        </a:xfrm>
        <a:prstGeom prst="ellipse">
          <a:avLst/>
        </a:prstGeom>
        <a:ln w="38100">
          <a:solidFill>
            <a:schemeClr val="bg1">
              <a:lumMod val="75000"/>
            </a:schemeClr>
          </a:solidFill>
        </a:ln>
      </xdr:spPr>
    </xdr:pic>
    <xdr:clientData/>
  </xdr:twoCellAnchor>
  <xdr:twoCellAnchor editAs="absolute">
    <xdr:from>
      <xdr:col>4</xdr:col>
      <xdr:colOff>80428</xdr:colOff>
      <xdr:row>18</xdr:row>
      <xdr:rowOff>123826</xdr:rowOff>
    </xdr:from>
    <xdr:to>
      <xdr:col>4</xdr:col>
      <xdr:colOff>447675</xdr:colOff>
      <xdr:row>20</xdr:row>
      <xdr:rowOff>38101</xdr:rowOff>
    </xdr:to>
    <xdr:pic macro="[0]!Sheet1.Image_Date_Click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1003" y="3590926"/>
          <a:ext cx="367247" cy="304800"/>
        </a:xfrm>
        <a:prstGeom prst="rect">
          <a:avLst/>
        </a:prstGeom>
      </xdr:spPr>
    </xdr:pic>
    <xdr:clientData/>
  </xdr:twoCellAnchor>
  <xdr:twoCellAnchor editAs="oneCell">
    <xdr:from>
      <xdr:col>7</xdr:col>
      <xdr:colOff>224307</xdr:colOff>
      <xdr:row>7</xdr:row>
      <xdr:rowOff>57150</xdr:rowOff>
    </xdr:from>
    <xdr:to>
      <xdr:col>8</xdr:col>
      <xdr:colOff>73785</xdr:colOff>
      <xdr:row>9</xdr:row>
      <xdr:rowOff>107091</xdr:rowOff>
    </xdr:to>
    <xdr:pic macro="[0]!ImportData_BrokerAlledged_fromcloseWB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3682" y="1390650"/>
          <a:ext cx="459078" cy="44046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571499</xdr:colOff>
      <xdr:row>4</xdr:row>
      <xdr:rowOff>152400</xdr:rowOff>
    </xdr:from>
    <xdr:to>
      <xdr:col>4</xdr:col>
      <xdr:colOff>419099</xdr:colOff>
      <xdr:row>10</xdr:row>
      <xdr:rowOff>123825</xdr:rowOff>
    </xdr:to>
    <xdr:sp macro="" textlink="">
      <xdr:nvSpPr>
        <xdr:cNvPr id="2" name="Left Arrow 1"/>
        <xdr:cNvSpPr/>
      </xdr:nvSpPr>
      <xdr:spPr>
        <a:xfrm>
          <a:off x="4010024" y="914400"/>
          <a:ext cx="1685925" cy="942975"/>
        </a:xfrm>
        <a:prstGeom prst="leftArrow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CP names to be removed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Administrator" refreshedDate="43166.447824537034" createdVersion="4" refreshedVersion="4" minRefreshableVersion="3" recordCount="445">
  <cacheSource type="worksheet">
    <worksheetSource ref="A1:U446" sheet="Processed Data"/>
  </cacheSource>
  <cacheFields count="32">
    <cacheField name="Murex Id" numFmtId="49">
      <sharedItems/>
    </cacheField>
    <cacheField name="System" numFmtId="49">
      <sharedItems count="3">
        <s v="manual"/>
        <s v="oasys"/>
        <s v="omgeo"/>
      </sharedItems>
    </cacheField>
    <cacheField name="Product Type" numFmtId="49">
      <sharedItems/>
    </cacheField>
    <cacheField name="Trader" numFmtId="49">
      <sharedItems/>
    </cacheField>
    <cacheField name="Account" numFmtId="49">
      <sharedItems/>
    </cacheField>
    <cacheField name="Market" numFmtId="49">
      <sharedItems count="27">
        <s v="US GOV"/>
        <s v="US CORP"/>
        <s v="AR GOV"/>
        <s v="IT CORP"/>
        <s v="DE GOV"/>
        <s v="OM GOV"/>
        <s v="KR GOV"/>
        <s v="KY CORP"/>
        <s v="NL CORP"/>
        <s v="US ABS"/>
        <s v="CA GOV"/>
        <s v="ES GOV"/>
        <s v="GB CORP"/>
        <s v="MH CORP"/>
        <s v="BM CORP"/>
        <s v="CA CORP"/>
        <s v="ZA GOV"/>
        <s v="FR CORP"/>
        <s v="GR GOV"/>
        <s v="GB GOV"/>
        <s v="IT GOV"/>
        <s v="LU CORP"/>
        <s v="DE CORP"/>
        <s v="BR GOV"/>
        <s v="KE GOV"/>
        <s v="ES CORP"/>
        <s v="TR GOV"/>
      </sharedItems>
    </cacheField>
    <cacheField name="Counter Party" numFmtId="49">
      <sharedItems/>
    </cacheField>
    <cacheField name="Trade Date" numFmtId="14">
      <sharedItems containsSemiMixedTypes="0" containsNonDate="0" containsDate="1" containsString="0" minDate="2018-03-05T00:00:00" maxDate="2018-03-06T00:00:00"/>
    </cacheField>
    <cacheField name="Symbol" numFmtId="49">
      <sharedItems/>
    </cacheField>
    <cacheField name="Settle Date" numFmtId="14">
      <sharedItems containsSemiMixedTypes="0" containsNonDate="0" containsDate="1" containsString="0" minDate="2018-03-05T00:00:00" maxDate="2018-05-22T00:00:00"/>
    </cacheField>
    <cacheField name="Side" numFmtId="49">
      <sharedItems/>
    </cacheField>
    <cacheField name="Quantity" numFmtId="4">
      <sharedItems containsSemiMixedTypes="0" containsString="0" containsNumber="1" containsInteger="1" minValue="2287" maxValue="490000000"/>
    </cacheField>
    <cacheField name="Price" numFmtId="4">
      <sharedItems containsSemiMixedTypes="0" containsString="0" containsNumber="1" minValue="65.375" maxValue="838.44409800000005"/>
    </cacheField>
    <cacheField name="System Status" numFmtId="49">
      <sharedItems/>
    </cacheField>
    <cacheField name="Update Time" numFmtId="14">
      <sharedItems containsSemiMixedTypes="0" containsNonDate="0" containsDate="1" containsString="0" minDate="2018-03-05T03:05:09" maxDate="2018-03-06T11:41:25"/>
    </cacheField>
    <cacheField name="Yield" numFmtId="4">
      <sharedItems containsSemiMixedTypes="0" containsString="0" containsNumber="1" minValue="-9.6305010905999993" maxValue="18.141715797500002"/>
    </cacheField>
    <cacheField name="Net Cash" numFmtId="4">
      <sharedItems containsSemiMixedTypes="0" containsString="0" containsNumber="1" minValue="-479867934.78260869" maxValue="485160163.66187847"/>
    </cacheField>
    <cacheField name="Currency" numFmtId="49">
      <sharedItems/>
    </cacheField>
    <cacheField name="Description" numFmtId="49">
      <sharedItems/>
    </cacheField>
    <cacheField name="Final Status" numFmtId="49">
      <sharedItems count="3">
        <s v="Manual"/>
        <s v="Confirmed"/>
        <s v="Booked"/>
      </sharedItems>
    </cacheField>
    <cacheField name="CTM Id" numFmtId="0">
      <sharedItems containsBlank="1"/>
    </cacheField>
    <cacheField name="CTM Status" numFmtId="0">
      <sharedItems containsBlank="1"/>
    </cacheField>
    <cacheField name="Oasys Id" numFmtId="0">
      <sharedItems containsNonDate="0" containsString="0" containsBlank="1"/>
    </cacheField>
    <cacheField name="Oasys Status" numFmtId="0">
      <sharedItems containsNonDate="0" containsString="0" containsBlank="1" count="1">
        <m/>
      </sharedItems>
    </cacheField>
    <cacheField name="Portfolio" numFmtId="49">
      <sharedItems/>
    </cacheField>
    <cacheField name="System Reason" numFmtId="49">
      <sharedItems containsNonDate="0" containsString="0" containsBlank="1"/>
    </cacheField>
    <cacheField name="Final Reason" numFmtId="0">
      <sharedItems containsBlank="1"/>
    </cacheField>
    <cacheField name="User" numFmtId="49">
      <sharedItems containsBlank="1"/>
    </cacheField>
    <cacheField name="TradeOut Timestamp" numFmtId="0">
      <sharedItems containsNonDate="0" containsDate="1" containsString="0" containsBlank="1" minDate="2018-03-05T03:07:23" maxDate="2018-03-06T08:29:54"/>
    </cacheField>
    <cacheField name="System Id" numFmtId="0">
      <sharedItems containsBlank="1"/>
    </cacheField>
    <cacheField name="Insert Time" numFmtId="14">
      <sharedItems containsSemiMixedTypes="0" containsNonDate="0" containsDate="1" containsString="0" minDate="2018-03-05T03:05:09" maxDate="2018-03-06T10:59:52"/>
    </cacheField>
    <cacheField name="Comme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gridDropZones="1" multipleFieldFilters="0">
  <location ref="A3:E9" firstHeaderRow="1" firstDataRow="3" firstDataCol="1" rowPageCount="1" colPageCount="1"/>
  <pivotFields count="32">
    <pivotField compact="0" outline="0" showAll="0" defaultSubtotal="0"/>
    <pivotField axis="axisCol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/>
    <pivotField axis="axisPage" compact="0" outline="0" multipleItemSelectionAllowed="1" showAll="0">
      <items count="28">
        <item x="15"/>
        <item x="20"/>
        <item h="1" x="9"/>
        <item x="1"/>
        <item x="0"/>
        <item h="1" x="19"/>
        <item h="1" x="21"/>
        <item h="1" x="12"/>
        <item h="1" x="4"/>
        <item h="1" x="2"/>
        <item h="1" x="17"/>
        <item h="1" x="23"/>
        <item h="1" x="11"/>
        <item h="1" x="16"/>
        <item h="1" x="10"/>
        <item h="1" x="8"/>
        <item h="1" x="22"/>
        <item h="1" x="7"/>
        <item h="1" x="6"/>
        <item h="1" x="5"/>
        <item h="1" x="3"/>
        <item h="1" x="13"/>
        <item h="1" x="14"/>
        <item h="1" x="18"/>
        <item h="1" x="24"/>
        <item h="1" x="25"/>
        <item h="1" x="26"/>
        <item t="default"/>
      </items>
    </pivotField>
    <pivotField compact="0" outline="0" showAll="0"/>
    <pivotField compact="0" numFmtId="14" outline="0" showAll="0"/>
    <pivotField compact="0" outline="0" showAll="0"/>
    <pivotField compact="0" numFmtId="14" outline="0" showAll="0"/>
    <pivotField compact="0" outline="0" showAll="0"/>
    <pivotField compact="0" numFmtId="4" outline="0" showAll="0"/>
    <pivotField compact="0" numFmtId="4" outline="0" showAll="0"/>
    <pivotField compact="0" outline="0" showAll="0"/>
    <pivotField compact="0" numFmtId="14" outline="0" showAll="0"/>
    <pivotField compact="0" numFmtId="4" outline="0" showAll="0"/>
    <pivotField compact="0" numFmtId="4" outline="0" showAll="0"/>
    <pivotField compact="0" outline="0" showAll="0"/>
    <pivotField compact="0" outline="0" showAll="0"/>
    <pivotField axis="axisRow" dataField="1" compact="0" outline="0" showAll="0">
      <items count="4">
        <item x="2"/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2"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</pivotFields>
  <rowFields count="1">
    <field x="19"/>
  </rowFields>
  <rowItems count="4">
    <i>
      <x/>
    </i>
    <i>
      <x v="1"/>
    </i>
    <i>
      <x v="2"/>
    </i>
    <i t="grand">
      <x/>
    </i>
  </rowItems>
  <colFields count="2">
    <field x="1"/>
    <field x="23"/>
  </colFields>
  <colItems count="4">
    <i>
      <x/>
      <x/>
    </i>
    <i>
      <x v="1"/>
      <x/>
    </i>
    <i>
      <x v="2"/>
      <x/>
    </i>
    <i t="grand">
      <x/>
    </i>
  </colItems>
  <pageFields count="1">
    <pageField fld="5" hier="-1"/>
  </pageFields>
  <dataFields count="1">
    <dataField name="Count of Final Status" fld="19" subtotal="count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cene3d>
          <a:camera prst="orthographicFront"/>
          <a:lightRig rig="threePt" dir="t"/>
        </a:scene3d>
        <a:sp3d>
          <a:bevelT w="165100" prst="coolSlant"/>
        </a:sp3d>
      </a:spPr>
      <a:bodyPr vertOverflow="clip" horzOverflow="clip" rtlCol="0" anchor="ctr"/>
      <a:lstStyle>
        <a:defPPr algn="ctr">
          <a:defRPr sz="2000" b="1">
            <a:solidFill>
              <a:sysClr val="windowText" lastClr="000000"/>
            </a:solidFill>
          </a:defRPr>
        </a:defPPr>
      </a:lstStyle>
      <a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8"/>
  <sheetViews>
    <sheetView workbookViewId="0">
      <selection activeCell="C25" sqref="C25"/>
    </sheetView>
  </sheetViews>
  <sheetFormatPr defaultRowHeight="15" x14ac:dyDescent="0.25"/>
  <cols>
    <col min="1" max="1" width="13.5703125" bestFit="1" customWidth="1"/>
  </cols>
  <sheetData>
    <row r="1" spans="1:20" ht="15.75" thickBot="1" x14ac:dyDescent="0.3">
      <c r="A1" s="30" t="s">
        <v>0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9"/>
    </row>
    <row r="2" spans="1:20" x14ac:dyDescent="0.25">
      <c r="A2" s="23">
        <v>1</v>
      </c>
      <c r="B2" s="1" t="s">
        <v>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0"/>
    </row>
    <row r="3" spans="1:20" x14ac:dyDescent="0.25">
      <c r="A3" s="23">
        <v>2</v>
      </c>
      <c r="B3" s="1" t="s">
        <v>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20"/>
    </row>
    <row r="4" spans="1:20" x14ac:dyDescent="0.25">
      <c r="A4" s="23">
        <v>3</v>
      </c>
      <c r="B4" s="1" t="s">
        <v>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20"/>
    </row>
    <row r="5" spans="1:20" x14ac:dyDescent="0.25">
      <c r="A5" s="23">
        <v>4</v>
      </c>
      <c r="B5" s="1" t="s">
        <v>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20"/>
    </row>
    <row r="6" spans="1:20" x14ac:dyDescent="0.25">
      <c r="A6" s="23">
        <v>5</v>
      </c>
      <c r="B6" s="1" t="s">
        <v>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0"/>
    </row>
    <row r="7" spans="1:20" x14ac:dyDescent="0.25">
      <c r="A7" s="23">
        <v>6</v>
      </c>
      <c r="B7" s="1" t="s">
        <v>6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0"/>
    </row>
    <row r="8" spans="1:20" x14ac:dyDescent="0.25">
      <c r="A8" s="23">
        <v>7</v>
      </c>
      <c r="B8" s="1" t="s">
        <v>7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0"/>
    </row>
    <row r="9" spans="1:20" x14ac:dyDescent="0.25">
      <c r="A9" s="23">
        <v>8</v>
      </c>
      <c r="B9" s="1" t="s">
        <v>8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0"/>
    </row>
    <row r="10" spans="1:20" x14ac:dyDescent="0.25">
      <c r="A10" s="23">
        <v>9</v>
      </c>
      <c r="B10" s="1" t="s">
        <v>9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0"/>
    </row>
    <row r="11" spans="1:20" x14ac:dyDescent="0.25">
      <c r="A11" s="23">
        <v>10</v>
      </c>
      <c r="B11" s="1" t="s">
        <v>10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0"/>
    </row>
    <row r="12" spans="1:20" x14ac:dyDescent="0.25">
      <c r="A12" s="23">
        <v>11</v>
      </c>
      <c r="B12" s="1" t="s">
        <v>11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0"/>
    </row>
    <row r="13" spans="1:20" x14ac:dyDescent="0.25">
      <c r="A13" s="23">
        <v>12</v>
      </c>
      <c r="B13" s="1" t="s">
        <v>12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0"/>
    </row>
    <row r="14" spans="1:20" x14ac:dyDescent="0.25">
      <c r="A14" s="23">
        <v>13</v>
      </c>
      <c r="B14" s="1" t="s">
        <v>13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0"/>
    </row>
    <row r="15" spans="1:20" x14ac:dyDescent="0.25">
      <c r="A15" s="23">
        <v>14</v>
      </c>
      <c r="B15" s="1" t="s">
        <v>14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0"/>
    </row>
    <row r="16" spans="1:20" x14ac:dyDescent="0.25">
      <c r="A16" s="23">
        <v>15</v>
      </c>
      <c r="B16" s="1" t="s">
        <v>15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0"/>
    </row>
    <row r="17" spans="1:20" x14ac:dyDescent="0.25">
      <c r="A17" s="23">
        <v>16</v>
      </c>
      <c r="B17" s="1" t="s">
        <v>16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0"/>
    </row>
    <row r="18" spans="1:20" x14ac:dyDescent="0.25">
      <c r="A18" s="23">
        <v>17</v>
      </c>
      <c r="B18" s="1" t="s">
        <v>17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0"/>
    </row>
    <row r="19" spans="1:20" x14ac:dyDescent="0.25">
      <c r="A19" s="23">
        <v>18</v>
      </c>
      <c r="B19" s="1" t="s">
        <v>18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0"/>
    </row>
    <row r="20" spans="1:20" x14ac:dyDescent="0.25">
      <c r="A20" s="23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0"/>
    </row>
    <row r="21" spans="1:20" x14ac:dyDescent="0.25">
      <c r="A21" s="28">
        <v>19</v>
      </c>
      <c r="B21" s="29" t="s">
        <v>49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0"/>
    </row>
    <row r="22" spans="1:20" x14ac:dyDescent="0.25">
      <c r="A22" s="31"/>
      <c r="B22" s="1"/>
      <c r="C22" s="1" t="s">
        <v>50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0"/>
    </row>
    <row r="23" spans="1:20" x14ac:dyDescent="0.25">
      <c r="A23" s="3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0"/>
    </row>
    <row r="24" spans="1:20" x14ac:dyDescent="0.25">
      <c r="A24" s="28">
        <v>20</v>
      </c>
      <c r="B24" s="29" t="s">
        <v>51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0"/>
    </row>
    <row r="25" spans="1:20" x14ac:dyDescent="0.25">
      <c r="A25" s="31"/>
      <c r="B25" s="1" t="s">
        <v>53</v>
      </c>
      <c r="C25" s="1" t="s">
        <v>52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0"/>
    </row>
    <row r="26" spans="1:20" x14ac:dyDescent="0.25">
      <c r="A26" s="31"/>
      <c r="B26" s="1" t="s">
        <v>54</v>
      </c>
      <c r="C26" s="1" t="s">
        <v>56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20"/>
    </row>
    <row r="27" spans="1:20" x14ac:dyDescent="0.25">
      <c r="A27" s="31"/>
      <c r="B27" s="1" t="s">
        <v>55</v>
      </c>
      <c r="C27" s="1" t="s">
        <v>57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20"/>
    </row>
    <row r="28" spans="1:20" x14ac:dyDescent="0.25">
      <c r="A28" s="3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20"/>
    </row>
    <row r="29" spans="1:20" x14ac:dyDescent="0.25">
      <c r="A29" s="32">
        <v>21</v>
      </c>
      <c r="B29" s="29" t="s">
        <v>58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20"/>
    </row>
    <row r="30" spans="1:20" x14ac:dyDescent="0.25">
      <c r="A30" s="31"/>
      <c r="B30" s="1"/>
      <c r="C30" s="1" t="s">
        <v>59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20"/>
    </row>
    <row r="31" spans="1:20" x14ac:dyDescent="0.25">
      <c r="A31" s="31"/>
      <c r="B31" s="1" t="s">
        <v>53</v>
      </c>
      <c r="C31" s="29" t="s">
        <v>60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20"/>
    </row>
    <row r="32" spans="1:20" x14ac:dyDescent="0.25">
      <c r="A32" s="31"/>
      <c r="B32" s="1"/>
      <c r="C32" s="1"/>
      <c r="D32" s="1" t="s">
        <v>61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20"/>
    </row>
    <row r="33" spans="1:20" x14ac:dyDescent="0.25">
      <c r="A33" s="31"/>
      <c r="B33" s="1" t="s">
        <v>54</v>
      </c>
      <c r="C33" s="29" t="s">
        <v>62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0"/>
    </row>
    <row r="34" spans="1:20" x14ac:dyDescent="0.25">
      <c r="A34" s="31"/>
      <c r="B34" s="1"/>
      <c r="C34" s="1"/>
      <c r="D34" s="1" t="s">
        <v>63</v>
      </c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20"/>
    </row>
    <row r="35" spans="1:20" x14ac:dyDescent="0.25">
      <c r="A35" s="31"/>
      <c r="B35" s="1"/>
      <c r="C35" s="1"/>
      <c r="D35" s="1" t="s">
        <v>53</v>
      </c>
      <c r="E35" s="1" t="s">
        <v>64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20"/>
    </row>
    <row r="36" spans="1:20" x14ac:dyDescent="0.25">
      <c r="A36" s="31"/>
      <c r="B36" s="1"/>
      <c r="C36" s="1"/>
      <c r="D36" s="1" t="s">
        <v>54</v>
      </c>
      <c r="E36" s="1" t="s">
        <v>65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0"/>
    </row>
    <row r="37" spans="1:20" x14ac:dyDescent="0.25">
      <c r="A37" s="31"/>
      <c r="B37" s="1"/>
      <c r="C37" s="1"/>
      <c r="D37" s="1" t="s">
        <v>55</v>
      </c>
      <c r="E37" s="1" t="s">
        <v>66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20"/>
    </row>
    <row r="38" spans="1:20" x14ac:dyDescent="0.25">
      <c r="A38" s="3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20"/>
    </row>
    <row r="39" spans="1:20" x14ac:dyDescent="0.25">
      <c r="A39" s="32">
        <v>22</v>
      </c>
      <c r="B39" s="29" t="s">
        <v>67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20"/>
    </row>
    <row r="40" spans="1:20" x14ac:dyDescent="0.25">
      <c r="A40" s="31"/>
      <c r="B40" s="1"/>
      <c r="C40" s="29" t="s">
        <v>68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20"/>
    </row>
    <row r="41" spans="1:20" x14ac:dyDescent="0.25">
      <c r="A41" s="31"/>
      <c r="B41" s="1"/>
      <c r="C41" s="1" t="s">
        <v>69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20"/>
    </row>
    <row r="42" spans="1:20" x14ac:dyDescent="0.25">
      <c r="A42" s="31"/>
      <c r="B42" s="1"/>
      <c r="C42" s="1" t="s">
        <v>53</v>
      </c>
      <c r="D42" s="1" t="s">
        <v>70</v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20"/>
    </row>
    <row r="43" spans="1:20" x14ac:dyDescent="0.25">
      <c r="A43" s="31"/>
      <c r="B43" s="1"/>
      <c r="C43" s="1" t="s">
        <v>54</v>
      </c>
      <c r="D43" s="1" t="s">
        <v>71</v>
      </c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20"/>
    </row>
    <row r="44" spans="1:20" x14ac:dyDescent="0.25">
      <c r="A44" s="31"/>
      <c r="B44" s="1"/>
      <c r="C44" s="1" t="s">
        <v>55</v>
      </c>
      <c r="D44" s="1" t="s">
        <v>72</v>
      </c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20"/>
    </row>
    <row r="45" spans="1:20" x14ac:dyDescent="0.25">
      <c r="A45" s="3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20"/>
    </row>
    <row r="46" spans="1:20" x14ac:dyDescent="0.25">
      <c r="A46" s="3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20"/>
    </row>
    <row r="47" spans="1:20" x14ac:dyDescent="0.25">
      <c r="A47" s="3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20"/>
    </row>
    <row r="48" spans="1:20" ht="15.75" thickBot="1" x14ac:dyDescent="0.3">
      <c r="A48" s="33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N26"/>
  <sheetViews>
    <sheetView showGridLines="0" workbookViewId="0"/>
  </sheetViews>
  <sheetFormatPr defaultColWidth="0" defaultRowHeight="15" zeroHeight="1" x14ac:dyDescent="0.25"/>
  <cols>
    <col min="1" max="1" width="29" bestFit="1" customWidth="1"/>
    <col min="2" max="2" width="20.140625" bestFit="1" customWidth="1"/>
    <col min="3" max="3" width="9.140625" customWidth="1"/>
    <col min="4" max="4" width="10.7109375" customWidth="1"/>
    <col min="5" max="14" width="9.140625" customWidth="1"/>
    <col min="15" max="16384" width="9.140625" hidden="1"/>
  </cols>
  <sheetData>
    <row r="1" spans="1:11" x14ac:dyDescent="0.25">
      <c r="A1" s="160">
        <v>0.70833333333333337</v>
      </c>
      <c r="B1" s="75"/>
    </row>
    <row r="2" spans="1:11" x14ac:dyDescent="0.25">
      <c r="A2" s="159"/>
    </row>
    <row r="3" spans="1:11" x14ac:dyDescent="0.25"/>
    <row r="4" spans="1:11" x14ac:dyDescent="0.25"/>
    <row r="5" spans="1:11" x14ac:dyDescent="0.25">
      <c r="K5" s="157"/>
    </row>
    <row r="6" spans="1:11" x14ac:dyDescent="0.25"/>
    <row r="7" spans="1:11" x14ac:dyDescent="0.25"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58"/>
      <c r="C8" s="1"/>
      <c r="D8" s="1"/>
      <c r="E8" s="1"/>
      <c r="F8" s="1"/>
      <c r="G8" s="1"/>
      <c r="H8" s="1"/>
      <c r="I8" s="1"/>
      <c r="J8" s="1"/>
      <c r="K8" s="1"/>
    </row>
    <row r="9" spans="1:11" ht="15.75" x14ac:dyDescent="0.25">
      <c r="A9" s="2" t="s">
        <v>292</v>
      </c>
      <c r="B9" s="187" t="s">
        <v>291</v>
      </c>
      <c r="C9" s="188"/>
      <c r="D9" s="188"/>
      <c r="E9" s="188"/>
      <c r="F9" s="188"/>
      <c r="G9" s="189"/>
    </row>
    <row r="10" spans="1:11" x14ac:dyDescent="0.25"/>
    <row r="11" spans="1:11" x14ac:dyDescent="0.25"/>
    <row r="12" spans="1:11" ht="15.75" x14ac:dyDescent="0.25">
      <c r="A12" s="2" t="s">
        <v>19</v>
      </c>
      <c r="B12" s="187" t="s">
        <v>2022</v>
      </c>
      <c r="C12" s="188"/>
      <c r="D12" s="188"/>
      <c r="E12" s="188"/>
      <c r="F12" s="188"/>
      <c r="G12" s="189"/>
      <c r="H12" s="1"/>
    </row>
    <row r="13" spans="1:11" ht="15.75" x14ac:dyDescent="0.25">
      <c r="A13" s="2"/>
    </row>
    <row r="14" spans="1:11" x14ac:dyDescent="0.25"/>
    <row r="15" spans="1:11" ht="15.75" x14ac:dyDescent="0.25">
      <c r="A15" s="2"/>
      <c r="B15" s="186"/>
      <c r="C15" s="186"/>
      <c r="D15" s="186"/>
      <c r="E15" s="186"/>
      <c r="F15" s="186"/>
      <c r="G15" s="186"/>
      <c r="H15" s="186"/>
    </row>
    <row r="16" spans="1:11" x14ac:dyDescent="0.25"/>
    <row r="17" spans="3:4" x14ac:dyDescent="0.25"/>
    <row r="18" spans="3:4" x14ac:dyDescent="0.25"/>
    <row r="19" spans="3:4" x14ac:dyDescent="0.25"/>
    <row r="20" spans="3:4" ht="15.75" x14ac:dyDescent="0.25">
      <c r="C20" s="82" t="s">
        <v>136</v>
      </c>
      <c r="D20" s="81">
        <v>43165</v>
      </c>
    </row>
    <row r="21" spans="3:4" x14ac:dyDescent="0.25"/>
    <row r="22" spans="3:4" x14ac:dyDescent="0.25"/>
    <row r="23" spans="3:4" ht="15.75" customHeight="1" x14ac:dyDescent="0.25"/>
    <row r="24" spans="3:4" ht="15.75" customHeight="1" x14ac:dyDescent="0.25"/>
    <row r="25" spans="3:4" x14ac:dyDescent="0.25"/>
    <row r="26" spans="3:4" x14ac:dyDescent="0.25"/>
  </sheetData>
  <mergeCells count="3">
    <mergeCell ref="B15:H15"/>
    <mergeCell ref="B12:G12"/>
    <mergeCell ref="B9:G9"/>
  </mergeCells>
  <pageMargins left="0.7" right="0.7" top="0.75" bottom="0.75" header="0.3" footer="0.3"/>
  <pageSetup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50"/>
  </sheetPr>
  <dimension ref="A1:AI179"/>
  <sheetViews>
    <sheetView topLeftCell="V4" workbookViewId="0"/>
  </sheetViews>
  <sheetFormatPr defaultRowHeight="12.75" x14ac:dyDescent="0.2"/>
  <cols>
    <col min="1" max="1" width="41.42578125" style="3" bestFit="1" customWidth="1"/>
    <col min="2" max="2" width="10.140625" style="3" customWidth="1"/>
    <col min="3" max="3" width="18.42578125" style="3" bestFit="1" customWidth="1"/>
    <col min="4" max="4" width="9.140625" style="3"/>
    <col min="5" max="5" width="11" style="3" bestFit="1" customWidth="1"/>
    <col min="6" max="6" width="9.140625" style="3"/>
    <col min="7" max="7" width="22.28515625" style="3" bestFit="1" customWidth="1"/>
    <col min="8" max="8" width="9.140625" style="3"/>
    <col min="9" max="9" width="12.7109375" style="3" bestFit="1" customWidth="1"/>
    <col min="10" max="10" width="10.140625" style="3" bestFit="1" customWidth="1"/>
    <col min="11" max="11" width="23.85546875" style="3" bestFit="1" customWidth="1"/>
    <col min="12" max="12" width="10.140625" style="3" bestFit="1" customWidth="1"/>
    <col min="13" max="13" width="11.5703125" style="3" bestFit="1" customWidth="1"/>
    <col min="14" max="14" width="10.85546875" style="3" bestFit="1" customWidth="1"/>
    <col min="15" max="15" width="10.28515625" style="3" bestFit="1" customWidth="1"/>
    <col min="16" max="27" width="9.140625" style="3"/>
    <col min="28" max="28" width="3" style="3" customWidth="1"/>
    <col min="29" max="29" width="14.28515625" style="3" bestFit="1" customWidth="1"/>
    <col min="30" max="30" width="6.85546875" style="3" customWidth="1"/>
    <col min="31" max="31" width="16.28515625" style="3" bestFit="1" customWidth="1"/>
    <col min="32" max="32" width="9.140625" style="3"/>
    <col min="33" max="33" width="15.140625" style="3" customWidth="1"/>
    <col min="34" max="34" width="9.140625" style="3"/>
    <col min="35" max="35" width="15.42578125" style="3" customWidth="1"/>
    <col min="36" max="255" width="9.140625" style="3"/>
    <col min="256" max="256" width="41.42578125" style="3" bestFit="1" customWidth="1"/>
    <col min="257" max="257" width="9.140625" style="3"/>
    <col min="258" max="258" width="18.42578125" style="3" bestFit="1" customWidth="1"/>
    <col min="259" max="259" width="9.140625" style="3"/>
    <col min="260" max="260" width="11" style="3" bestFit="1" customWidth="1"/>
    <col min="261" max="511" width="9.140625" style="3"/>
    <col min="512" max="512" width="41.42578125" style="3" bestFit="1" customWidth="1"/>
    <col min="513" max="513" width="9.140625" style="3"/>
    <col min="514" max="514" width="18.42578125" style="3" bestFit="1" customWidth="1"/>
    <col min="515" max="515" width="9.140625" style="3"/>
    <col min="516" max="516" width="11" style="3" bestFit="1" customWidth="1"/>
    <col min="517" max="767" width="9.140625" style="3"/>
    <col min="768" max="768" width="41.42578125" style="3" bestFit="1" customWidth="1"/>
    <col min="769" max="769" width="9.140625" style="3"/>
    <col min="770" max="770" width="18.42578125" style="3" bestFit="1" customWidth="1"/>
    <col min="771" max="771" width="9.140625" style="3"/>
    <col min="772" max="772" width="11" style="3" bestFit="1" customWidth="1"/>
    <col min="773" max="1023" width="9.140625" style="3"/>
    <col min="1024" max="1024" width="41.42578125" style="3" bestFit="1" customWidth="1"/>
    <col min="1025" max="1025" width="9.140625" style="3"/>
    <col min="1026" max="1026" width="18.42578125" style="3" bestFit="1" customWidth="1"/>
    <col min="1027" max="1027" width="9.140625" style="3"/>
    <col min="1028" max="1028" width="11" style="3" bestFit="1" customWidth="1"/>
    <col min="1029" max="1279" width="9.140625" style="3"/>
    <col min="1280" max="1280" width="41.42578125" style="3" bestFit="1" customWidth="1"/>
    <col min="1281" max="1281" width="9.140625" style="3"/>
    <col min="1282" max="1282" width="18.42578125" style="3" bestFit="1" customWidth="1"/>
    <col min="1283" max="1283" width="9.140625" style="3"/>
    <col min="1284" max="1284" width="11" style="3" bestFit="1" customWidth="1"/>
    <col min="1285" max="1535" width="9.140625" style="3"/>
    <col min="1536" max="1536" width="41.42578125" style="3" bestFit="1" customWidth="1"/>
    <col min="1537" max="1537" width="9.140625" style="3"/>
    <col min="1538" max="1538" width="18.42578125" style="3" bestFit="1" customWidth="1"/>
    <col min="1539" max="1539" width="9.140625" style="3"/>
    <col min="1540" max="1540" width="11" style="3" bestFit="1" customWidth="1"/>
    <col min="1541" max="1791" width="9.140625" style="3"/>
    <col min="1792" max="1792" width="41.42578125" style="3" bestFit="1" customWidth="1"/>
    <col min="1793" max="1793" width="9.140625" style="3"/>
    <col min="1794" max="1794" width="18.42578125" style="3" bestFit="1" customWidth="1"/>
    <col min="1795" max="1795" width="9.140625" style="3"/>
    <col min="1796" max="1796" width="11" style="3" bestFit="1" customWidth="1"/>
    <col min="1797" max="2047" width="9.140625" style="3"/>
    <col min="2048" max="2048" width="41.42578125" style="3" bestFit="1" customWidth="1"/>
    <col min="2049" max="2049" width="9.140625" style="3"/>
    <col min="2050" max="2050" width="18.42578125" style="3" bestFit="1" customWidth="1"/>
    <col min="2051" max="2051" width="9.140625" style="3"/>
    <col min="2052" max="2052" width="11" style="3" bestFit="1" customWidth="1"/>
    <col min="2053" max="2303" width="9.140625" style="3"/>
    <col min="2304" max="2304" width="41.42578125" style="3" bestFit="1" customWidth="1"/>
    <col min="2305" max="2305" width="9.140625" style="3"/>
    <col min="2306" max="2306" width="18.42578125" style="3" bestFit="1" customWidth="1"/>
    <col min="2307" max="2307" width="9.140625" style="3"/>
    <col min="2308" max="2308" width="11" style="3" bestFit="1" customWidth="1"/>
    <col min="2309" max="2559" width="9.140625" style="3"/>
    <col min="2560" max="2560" width="41.42578125" style="3" bestFit="1" customWidth="1"/>
    <col min="2561" max="2561" width="9.140625" style="3"/>
    <col min="2562" max="2562" width="18.42578125" style="3" bestFit="1" customWidth="1"/>
    <col min="2563" max="2563" width="9.140625" style="3"/>
    <col min="2564" max="2564" width="11" style="3" bestFit="1" customWidth="1"/>
    <col min="2565" max="2815" width="9.140625" style="3"/>
    <col min="2816" max="2816" width="41.42578125" style="3" bestFit="1" customWidth="1"/>
    <col min="2817" max="2817" width="9.140625" style="3"/>
    <col min="2818" max="2818" width="18.42578125" style="3" bestFit="1" customWidth="1"/>
    <col min="2819" max="2819" width="9.140625" style="3"/>
    <col min="2820" max="2820" width="11" style="3" bestFit="1" customWidth="1"/>
    <col min="2821" max="3071" width="9.140625" style="3"/>
    <col min="3072" max="3072" width="41.42578125" style="3" bestFit="1" customWidth="1"/>
    <col min="3073" max="3073" width="9.140625" style="3"/>
    <col min="3074" max="3074" width="18.42578125" style="3" bestFit="1" customWidth="1"/>
    <col min="3075" max="3075" width="9.140625" style="3"/>
    <col min="3076" max="3076" width="11" style="3" bestFit="1" customWidth="1"/>
    <col min="3077" max="3327" width="9.140625" style="3"/>
    <col min="3328" max="3328" width="41.42578125" style="3" bestFit="1" customWidth="1"/>
    <col min="3329" max="3329" width="9.140625" style="3"/>
    <col min="3330" max="3330" width="18.42578125" style="3" bestFit="1" customWidth="1"/>
    <col min="3331" max="3331" width="9.140625" style="3"/>
    <col min="3332" max="3332" width="11" style="3" bestFit="1" customWidth="1"/>
    <col min="3333" max="3583" width="9.140625" style="3"/>
    <col min="3584" max="3584" width="41.42578125" style="3" bestFit="1" customWidth="1"/>
    <col min="3585" max="3585" width="9.140625" style="3"/>
    <col min="3586" max="3586" width="18.42578125" style="3" bestFit="1" customWidth="1"/>
    <col min="3587" max="3587" width="9.140625" style="3"/>
    <col min="3588" max="3588" width="11" style="3" bestFit="1" customWidth="1"/>
    <col min="3589" max="3839" width="9.140625" style="3"/>
    <col min="3840" max="3840" width="41.42578125" style="3" bestFit="1" customWidth="1"/>
    <col min="3841" max="3841" width="9.140625" style="3"/>
    <col min="3842" max="3842" width="18.42578125" style="3" bestFit="1" customWidth="1"/>
    <col min="3843" max="3843" width="9.140625" style="3"/>
    <col min="3844" max="3844" width="11" style="3" bestFit="1" customWidth="1"/>
    <col min="3845" max="4095" width="9.140625" style="3"/>
    <col min="4096" max="4096" width="41.42578125" style="3" bestFit="1" customWidth="1"/>
    <col min="4097" max="4097" width="9.140625" style="3"/>
    <col min="4098" max="4098" width="18.42578125" style="3" bestFit="1" customWidth="1"/>
    <col min="4099" max="4099" width="9.140625" style="3"/>
    <col min="4100" max="4100" width="11" style="3" bestFit="1" customWidth="1"/>
    <col min="4101" max="4351" width="9.140625" style="3"/>
    <col min="4352" max="4352" width="41.42578125" style="3" bestFit="1" customWidth="1"/>
    <col min="4353" max="4353" width="9.140625" style="3"/>
    <col min="4354" max="4354" width="18.42578125" style="3" bestFit="1" customWidth="1"/>
    <col min="4355" max="4355" width="9.140625" style="3"/>
    <col min="4356" max="4356" width="11" style="3" bestFit="1" customWidth="1"/>
    <col min="4357" max="4607" width="9.140625" style="3"/>
    <col min="4608" max="4608" width="41.42578125" style="3" bestFit="1" customWidth="1"/>
    <col min="4609" max="4609" width="9.140625" style="3"/>
    <col min="4610" max="4610" width="18.42578125" style="3" bestFit="1" customWidth="1"/>
    <col min="4611" max="4611" width="9.140625" style="3"/>
    <col min="4612" max="4612" width="11" style="3" bestFit="1" customWidth="1"/>
    <col min="4613" max="4863" width="9.140625" style="3"/>
    <col min="4864" max="4864" width="41.42578125" style="3" bestFit="1" customWidth="1"/>
    <col min="4865" max="4865" width="9.140625" style="3"/>
    <col min="4866" max="4866" width="18.42578125" style="3" bestFit="1" customWidth="1"/>
    <col min="4867" max="4867" width="9.140625" style="3"/>
    <col min="4868" max="4868" width="11" style="3" bestFit="1" customWidth="1"/>
    <col min="4869" max="5119" width="9.140625" style="3"/>
    <col min="5120" max="5120" width="41.42578125" style="3" bestFit="1" customWidth="1"/>
    <col min="5121" max="5121" width="9.140625" style="3"/>
    <col min="5122" max="5122" width="18.42578125" style="3" bestFit="1" customWidth="1"/>
    <col min="5123" max="5123" width="9.140625" style="3"/>
    <col min="5124" max="5124" width="11" style="3" bestFit="1" customWidth="1"/>
    <col min="5125" max="5375" width="9.140625" style="3"/>
    <col min="5376" max="5376" width="41.42578125" style="3" bestFit="1" customWidth="1"/>
    <col min="5377" max="5377" width="9.140625" style="3"/>
    <col min="5378" max="5378" width="18.42578125" style="3" bestFit="1" customWidth="1"/>
    <col min="5379" max="5379" width="9.140625" style="3"/>
    <col min="5380" max="5380" width="11" style="3" bestFit="1" customWidth="1"/>
    <col min="5381" max="5631" width="9.140625" style="3"/>
    <col min="5632" max="5632" width="41.42578125" style="3" bestFit="1" customWidth="1"/>
    <col min="5633" max="5633" width="9.140625" style="3"/>
    <col min="5634" max="5634" width="18.42578125" style="3" bestFit="1" customWidth="1"/>
    <col min="5635" max="5635" width="9.140625" style="3"/>
    <col min="5636" max="5636" width="11" style="3" bestFit="1" customWidth="1"/>
    <col min="5637" max="5887" width="9.140625" style="3"/>
    <col min="5888" max="5888" width="41.42578125" style="3" bestFit="1" customWidth="1"/>
    <col min="5889" max="5889" width="9.140625" style="3"/>
    <col min="5890" max="5890" width="18.42578125" style="3" bestFit="1" customWidth="1"/>
    <col min="5891" max="5891" width="9.140625" style="3"/>
    <col min="5892" max="5892" width="11" style="3" bestFit="1" customWidth="1"/>
    <col min="5893" max="6143" width="9.140625" style="3"/>
    <col min="6144" max="6144" width="41.42578125" style="3" bestFit="1" customWidth="1"/>
    <col min="6145" max="6145" width="9.140625" style="3"/>
    <col min="6146" max="6146" width="18.42578125" style="3" bestFit="1" customWidth="1"/>
    <col min="6147" max="6147" width="9.140625" style="3"/>
    <col min="6148" max="6148" width="11" style="3" bestFit="1" customWidth="1"/>
    <col min="6149" max="6399" width="9.140625" style="3"/>
    <col min="6400" max="6400" width="41.42578125" style="3" bestFit="1" customWidth="1"/>
    <col min="6401" max="6401" width="9.140625" style="3"/>
    <col min="6402" max="6402" width="18.42578125" style="3" bestFit="1" customWidth="1"/>
    <col min="6403" max="6403" width="9.140625" style="3"/>
    <col min="6404" max="6404" width="11" style="3" bestFit="1" customWidth="1"/>
    <col min="6405" max="6655" width="9.140625" style="3"/>
    <col min="6656" max="6656" width="41.42578125" style="3" bestFit="1" customWidth="1"/>
    <col min="6657" max="6657" width="9.140625" style="3"/>
    <col min="6658" max="6658" width="18.42578125" style="3" bestFit="1" customWidth="1"/>
    <col min="6659" max="6659" width="9.140625" style="3"/>
    <col min="6660" max="6660" width="11" style="3" bestFit="1" customWidth="1"/>
    <col min="6661" max="6911" width="9.140625" style="3"/>
    <col min="6912" max="6912" width="41.42578125" style="3" bestFit="1" customWidth="1"/>
    <col min="6913" max="6913" width="9.140625" style="3"/>
    <col min="6914" max="6914" width="18.42578125" style="3" bestFit="1" customWidth="1"/>
    <col min="6915" max="6915" width="9.140625" style="3"/>
    <col min="6916" max="6916" width="11" style="3" bestFit="1" customWidth="1"/>
    <col min="6917" max="7167" width="9.140625" style="3"/>
    <col min="7168" max="7168" width="41.42578125" style="3" bestFit="1" customWidth="1"/>
    <col min="7169" max="7169" width="9.140625" style="3"/>
    <col min="7170" max="7170" width="18.42578125" style="3" bestFit="1" customWidth="1"/>
    <col min="7171" max="7171" width="9.140625" style="3"/>
    <col min="7172" max="7172" width="11" style="3" bestFit="1" customWidth="1"/>
    <col min="7173" max="7423" width="9.140625" style="3"/>
    <col min="7424" max="7424" width="41.42578125" style="3" bestFit="1" customWidth="1"/>
    <col min="7425" max="7425" width="9.140625" style="3"/>
    <col min="7426" max="7426" width="18.42578125" style="3" bestFit="1" customWidth="1"/>
    <col min="7427" max="7427" width="9.140625" style="3"/>
    <col min="7428" max="7428" width="11" style="3" bestFit="1" customWidth="1"/>
    <col min="7429" max="7679" width="9.140625" style="3"/>
    <col min="7680" max="7680" width="41.42578125" style="3" bestFit="1" customWidth="1"/>
    <col min="7681" max="7681" width="9.140625" style="3"/>
    <col min="7682" max="7682" width="18.42578125" style="3" bestFit="1" customWidth="1"/>
    <col min="7683" max="7683" width="9.140625" style="3"/>
    <col min="7684" max="7684" width="11" style="3" bestFit="1" customWidth="1"/>
    <col min="7685" max="7935" width="9.140625" style="3"/>
    <col min="7936" max="7936" width="41.42578125" style="3" bestFit="1" customWidth="1"/>
    <col min="7937" max="7937" width="9.140625" style="3"/>
    <col min="7938" max="7938" width="18.42578125" style="3" bestFit="1" customWidth="1"/>
    <col min="7939" max="7939" width="9.140625" style="3"/>
    <col min="7940" max="7940" width="11" style="3" bestFit="1" customWidth="1"/>
    <col min="7941" max="8191" width="9.140625" style="3"/>
    <col min="8192" max="8192" width="41.42578125" style="3" bestFit="1" customWidth="1"/>
    <col min="8193" max="8193" width="9.140625" style="3"/>
    <col min="8194" max="8194" width="18.42578125" style="3" bestFit="1" customWidth="1"/>
    <col min="8195" max="8195" width="9.140625" style="3"/>
    <col min="8196" max="8196" width="11" style="3" bestFit="1" customWidth="1"/>
    <col min="8197" max="8447" width="9.140625" style="3"/>
    <col min="8448" max="8448" width="41.42578125" style="3" bestFit="1" customWidth="1"/>
    <col min="8449" max="8449" width="9.140625" style="3"/>
    <col min="8450" max="8450" width="18.42578125" style="3" bestFit="1" customWidth="1"/>
    <col min="8451" max="8451" width="9.140625" style="3"/>
    <col min="8452" max="8452" width="11" style="3" bestFit="1" customWidth="1"/>
    <col min="8453" max="8703" width="9.140625" style="3"/>
    <col min="8704" max="8704" width="41.42578125" style="3" bestFit="1" customWidth="1"/>
    <col min="8705" max="8705" width="9.140625" style="3"/>
    <col min="8706" max="8706" width="18.42578125" style="3" bestFit="1" customWidth="1"/>
    <col min="8707" max="8707" width="9.140625" style="3"/>
    <col min="8708" max="8708" width="11" style="3" bestFit="1" customWidth="1"/>
    <col min="8709" max="8959" width="9.140625" style="3"/>
    <col min="8960" max="8960" width="41.42578125" style="3" bestFit="1" customWidth="1"/>
    <col min="8961" max="8961" width="9.140625" style="3"/>
    <col min="8962" max="8962" width="18.42578125" style="3" bestFit="1" customWidth="1"/>
    <col min="8963" max="8963" width="9.140625" style="3"/>
    <col min="8964" max="8964" width="11" style="3" bestFit="1" customWidth="1"/>
    <col min="8965" max="9215" width="9.140625" style="3"/>
    <col min="9216" max="9216" width="41.42578125" style="3" bestFit="1" customWidth="1"/>
    <col min="9217" max="9217" width="9.140625" style="3"/>
    <col min="9218" max="9218" width="18.42578125" style="3" bestFit="1" customWidth="1"/>
    <col min="9219" max="9219" width="9.140625" style="3"/>
    <col min="9220" max="9220" width="11" style="3" bestFit="1" customWidth="1"/>
    <col min="9221" max="9471" width="9.140625" style="3"/>
    <col min="9472" max="9472" width="41.42578125" style="3" bestFit="1" customWidth="1"/>
    <col min="9473" max="9473" width="9.140625" style="3"/>
    <col min="9474" max="9474" width="18.42578125" style="3" bestFit="1" customWidth="1"/>
    <col min="9475" max="9475" width="9.140625" style="3"/>
    <col min="9476" max="9476" width="11" style="3" bestFit="1" customWidth="1"/>
    <col min="9477" max="9727" width="9.140625" style="3"/>
    <col min="9728" max="9728" width="41.42578125" style="3" bestFit="1" customWidth="1"/>
    <col min="9729" max="9729" width="9.140625" style="3"/>
    <col min="9730" max="9730" width="18.42578125" style="3" bestFit="1" customWidth="1"/>
    <col min="9731" max="9731" width="9.140625" style="3"/>
    <col min="9732" max="9732" width="11" style="3" bestFit="1" customWidth="1"/>
    <col min="9733" max="9983" width="9.140625" style="3"/>
    <col min="9984" max="9984" width="41.42578125" style="3" bestFit="1" customWidth="1"/>
    <col min="9985" max="9985" width="9.140625" style="3"/>
    <col min="9986" max="9986" width="18.42578125" style="3" bestFit="1" customWidth="1"/>
    <col min="9987" max="9987" width="9.140625" style="3"/>
    <col min="9988" max="9988" width="11" style="3" bestFit="1" customWidth="1"/>
    <col min="9989" max="10239" width="9.140625" style="3"/>
    <col min="10240" max="10240" width="41.42578125" style="3" bestFit="1" customWidth="1"/>
    <col min="10241" max="10241" width="9.140625" style="3"/>
    <col min="10242" max="10242" width="18.42578125" style="3" bestFit="1" customWidth="1"/>
    <col min="10243" max="10243" width="9.140625" style="3"/>
    <col min="10244" max="10244" width="11" style="3" bestFit="1" customWidth="1"/>
    <col min="10245" max="10495" width="9.140625" style="3"/>
    <col min="10496" max="10496" width="41.42578125" style="3" bestFit="1" customWidth="1"/>
    <col min="10497" max="10497" width="9.140625" style="3"/>
    <col min="10498" max="10498" width="18.42578125" style="3" bestFit="1" customWidth="1"/>
    <col min="10499" max="10499" width="9.140625" style="3"/>
    <col min="10500" max="10500" width="11" style="3" bestFit="1" customWidth="1"/>
    <col min="10501" max="10751" width="9.140625" style="3"/>
    <col min="10752" max="10752" width="41.42578125" style="3" bestFit="1" customWidth="1"/>
    <col min="10753" max="10753" width="9.140625" style="3"/>
    <col min="10754" max="10754" width="18.42578125" style="3" bestFit="1" customWidth="1"/>
    <col min="10755" max="10755" width="9.140625" style="3"/>
    <col min="10756" max="10756" width="11" style="3" bestFit="1" customWidth="1"/>
    <col min="10757" max="11007" width="9.140625" style="3"/>
    <col min="11008" max="11008" width="41.42578125" style="3" bestFit="1" customWidth="1"/>
    <col min="11009" max="11009" width="9.140625" style="3"/>
    <col min="11010" max="11010" width="18.42578125" style="3" bestFit="1" customWidth="1"/>
    <col min="11011" max="11011" width="9.140625" style="3"/>
    <col min="11012" max="11012" width="11" style="3" bestFit="1" customWidth="1"/>
    <col min="11013" max="11263" width="9.140625" style="3"/>
    <col min="11264" max="11264" width="41.42578125" style="3" bestFit="1" customWidth="1"/>
    <col min="11265" max="11265" width="9.140625" style="3"/>
    <col min="11266" max="11266" width="18.42578125" style="3" bestFit="1" customWidth="1"/>
    <col min="11267" max="11267" width="9.140625" style="3"/>
    <col min="11268" max="11268" width="11" style="3" bestFit="1" customWidth="1"/>
    <col min="11269" max="11519" width="9.140625" style="3"/>
    <col min="11520" max="11520" width="41.42578125" style="3" bestFit="1" customWidth="1"/>
    <col min="11521" max="11521" width="9.140625" style="3"/>
    <col min="11522" max="11522" width="18.42578125" style="3" bestFit="1" customWidth="1"/>
    <col min="11523" max="11523" width="9.140625" style="3"/>
    <col min="11524" max="11524" width="11" style="3" bestFit="1" customWidth="1"/>
    <col min="11525" max="11775" width="9.140625" style="3"/>
    <col min="11776" max="11776" width="41.42578125" style="3" bestFit="1" customWidth="1"/>
    <col min="11777" max="11777" width="9.140625" style="3"/>
    <col min="11778" max="11778" width="18.42578125" style="3" bestFit="1" customWidth="1"/>
    <col min="11779" max="11779" width="9.140625" style="3"/>
    <col min="11780" max="11780" width="11" style="3" bestFit="1" customWidth="1"/>
    <col min="11781" max="12031" width="9.140625" style="3"/>
    <col min="12032" max="12032" width="41.42578125" style="3" bestFit="1" customWidth="1"/>
    <col min="12033" max="12033" width="9.140625" style="3"/>
    <col min="12034" max="12034" width="18.42578125" style="3" bestFit="1" customWidth="1"/>
    <col min="12035" max="12035" width="9.140625" style="3"/>
    <col min="12036" max="12036" width="11" style="3" bestFit="1" customWidth="1"/>
    <col min="12037" max="12287" width="9.140625" style="3"/>
    <col min="12288" max="12288" width="41.42578125" style="3" bestFit="1" customWidth="1"/>
    <col min="12289" max="12289" width="9.140625" style="3"/>
    <col min="12290" max="12290" width="18.42578125" style="3" bestFit="1" customWidth="1"/>
    <col min="12291" max="12291" width="9.140625" style="3"/>
    <col min="12292" max="12292" width="11" style="3" bestFit="1" customWidth="1"/>
    <col min="12293" max="12543" width="9.140625" style="3"/>
    <col min="12544" max="12544" width="41.42578125" style="3" bestFit="1" customWidth="1"/>
    <col min="12545" max="12545" width="9.140625" style="3"/>
    <col min="12546" max="12546" width="18.42578125" style="3" bestFit="1" customWidth="1"/>
    <col min="12547" max="12547" width="9.140625" style="3"/>
    <col min="12548" max="12548" width="11" style="3" bestFit="1" customWidth="1"/>
    <col min="12549" max="12799" width="9.140625" style="3"/>
    <col min="12800" max="12800" width="41.42578125" style="3" bestFit="1" customWidth="1"/>
    <col min="12801" max="12801" width="9.140625" style="3"/>
    <col min="12802" max="12802" width="18.42578125" style="3" bestFit="1" customWidth="1"/>
    <col min="12803" max="12803" width="9.140625" style="3"/>
    <col min="12804" max="12804" width="11" style="3" bestFit="1" customWidth="1"/>
    <col min="12805" max="13055" width="9.140625" style="3"/>
    <col min="13056" max="13056" width="41.42578125" style="3" bestFit="1" customWidth="1"/>
    <col min="13057" max="13057" width="9.140625" style="3"/>
    <col min="13058" max="13058" width="18.42578125" style="3" bestFit="1" customWidth="1"/>
    <col min="13059" max="13059" width="9.140625" style="3"/>
    <col min="13060" max="13060" width="11" style="3" bestFit="1" customWidth="1"/>
    <col min="13061" max="13311" width="9.140625" style="3"/>
    <col min="13312" max="13312" width="41.42578125" style="3" bestFit="1" customWidth="1"/>
    <col min="13313" max="13313" width="9.140625" style="3"/>
    <col min="13314" max="13314" width="18.42578125" style="3" bestFit="1" customWidth="1"/>
    <col min="13315" max="13315" width="9.140625" style="3"/>
    <col min="13316" max="13316" width="11" style="3" bestFit="1" customWidth="1"/>
    <col min="13317" max="13567" width="9.140625" style="3"/>
    <col min="13568" max="13568" width="41.42578125" style="3" bestFit="1" customWidth="1"/>
    <col min="13569" max="13569" width="9.140625" style="3"/>
    <col min="13570" max="13570" width="18.42578125" style="3" bestFit="1" customWidth="1"/>
    <col min="13571" max="13571" width="9.140625" style="3"/>
    <col min="13572" max="13572" width="11" style="3" bestFit="1" customWidth="1"/>
    <col min="13573" max="13823" width="9.140625" style="3"/>
    <col min="13824" max="13824" width="41.42578125" style="3" bestFit="1" customWidth="1"/>
    <col min="13825" max="13825" width="9.140625" style="3"/>
    <col min="13826" max="13826" width="18.42578125" style="3" bestFit="1" customWidth="1"/>
    <col min="13827" max="13827" width="9.140625" style="3"/>
    <col min="13828" max="13828" width="11" style="3" bestFit="1" customWidth="1"/>
    <col min="13829" max="14079" width="9.140625" style="3"/>
    <col min="14080" max="14080" width="41.42578125" style="3" bestFit="1" customWidth="1"/>
    <col min="14081" max="14081" width="9.140625" style="3"/>
    <col min="14082" max="14082" width="18.42578125" style="3" bestFit="1" customWidth="1"/>
    <col min="14083" max="14083" width="9.140625" style="3"/>
    <col min="14084" max="14084" width="11" style="3" bestFit="1" customWidth="1"/>
    <col min="14085" max="14335" width="9.140625" style="3"/>
    <col min="14336" max="14336" width="41.42578125" style="3" bestFit="1" customWidth="1"/>
    <col min="14337" max="14337" width="9.140625" style="3"/>
    <col min="14338" max="14338" width="18.42578125" style="3" bestFit="1" customWidth="1"/>
    <col min="14339" max="14339" width="9.140625" style="3"/>
    <col min="14340" max="14340" width="11" style="3" bestFit="1" customWidth="1"/>
    <col min="14341" max="14591" width="9.140625" style="3"/>
    <col min="14592" max="14592" width="41.42578125" style="3" bestFit="1" customWidth="1"/>
    <col min="14593" max="14593" width="9.140625" style="3"/>
    <col min="14594" max="14594" width="18.42578125" style="3" bestFit="1" customWidth="1"/>
    <col min="14595" max="14595" width="9.140625" style="3"/>
    <col min="14596" max="14596" width="11" style="3" bestFit="1" customWidth="1"/>
    <col min="14597" max="14847" width="9.140625" style="3"/>
    <col min="14848" max="14848" width="41.42578125" style="3" bestFit="1" customWidth="1"/>
    <col min="14849" max="14849" width="9.140625" style="3"/>
    <col min="14850" max="14850" width="18.42578125" style="3" bestFit="1" customWidth="1"/>
    <col min="14851" max="14851" width="9.140625" style="3"/>
    <col min="14852" max="14852" width="11" style="3" bestFit="1" customWidth="1"/>
    <col min="14853" max="15103" width="9.140625" style="3"/>
    <col min="15104" max="15104" width="41.42578125" style="3" bestFit="1" customWidth="1"/>
    <col min="15105" max="15105" width="9.140625" style="3"/>
    <col min="15106" max="15106" width="18.42578125" style="3" bestFit="1" customWidth="1"/>
    <col min="15107" max="15107" width="9.140625" style="3"/>
    <col min="15108" max="15108" width="11" style="3" bestFit="1" customWidth="1"/>
    <col min="15109" max="15359" width="9.140625" style="3"/>
    <col min="15360" max="15360" width="41.42578125" style="3" bestFit="1" customWidth="1"/>
    <col min="15361" max="15361" width="9.140625" style="3"/>
    <col min="15362" max="15362" width="18.42578125" style="3" bestFit="1" customWidth="1"/>
    <col min="15363" max="15363" width="9.140625" style="3"/>
    <col min="15364" max="15364" width="11" style="3" bestFit="1" customWidth="1"/>
    <col min="15365" max="15615" width="9.140625" style="3"/>
    <col min="15616" max="15616" width="41.42578125" style="3" bestFit="1" customWidth="1"/>
    <col min="15617" max="15617" width="9.140625" style="3"/>
    <col min="15618" max="15618" width="18.42578125" style="3" bestFit="1" customWidth="1"/>
    <col min="15619" max="15619" width="9.140625" style="3"/>
    <col min="15620" max="15620" width="11" style="3" bestFit="1" customWidth="1"/>
    <col min="15621" max="15871" width="9.140625" style="3"/>
    <col min="15872" max="15872" width="41.42578125" style="3" bestFit="1" customWidth="1"/>
    <col min="15873" max="15873" width="9.140625" style="3"/>
    <col min="15874" max="15874" width="18.42578125" style="3" bestFit="1" customWidth="1"/>
    <col min="15875" max="15875" width="9.140625" style="3"/>
    <col min="15876" max="15876" width="11" style="3" bestFit="1" customWidth="1"/>
    <col min="15877" max="16127" width="9.140625" style="3"/>
    <col min="16128" max="16128" width="41.42578125" style="3" bestFit="1" customWidth="1"/>
    <col min="16129" max="16129" width="9.140625" style="3"/>
    <col min="16130" max="16130" width="18.42578125" style="3" bestFit="1" customWidth="1"/>
    <col min="16131" max="16131" width="9.140625" style="3"/>
    <col min="16132" max="16132" width="11" style="3" bestFit="1" customWidth="1"/>
    <col min="16133" max="16384" width="9.140625" style="3"/>
  </cols>
  <sheetData>
    <row r="1" spans="1:35" ht="51.75" x14ac:dyDescent="0.25">
      <c r="A1" s="26" t="s">
        <v>31</v>
      </c>
      <c r="C1" s="27" t="s">
        <v>32</v>
      </c>
      <c r="E1" s="27" t="s">
        <v>33</v>
      </c>
      <c r="G1" s="27" t="s">
        <v>269</v>
      </c>
      <c r="I1" s="26" t="s">
        <v>202</v>
      </c>
      <c r="K1" s="26" t="s">
        <v>137</v>
      </c>
      <c r="L1" s="26" t="s">
        <v>138</v>
      </c>
      <c r="M1" s="26" t="s">
        <v>139</v>
      </c>
      <c r="N1" s="26" t="s">
        <v>78</v>
      </c>
      <c r="O1" s="26" t="s">
        <v>140</v>
      </c>
      <c r="R1" s="127" t="s">
        <v>264</v>
      </c>
      <c r="U1" s="127" t="s">
        <v>266</v>
      </c>
      <c r="Y1" s="130" t="s">
        <v>268</v>
      </c>
      <c r="AC1" s="162" t="s">
        <v>307</v>
      </c>
      <c r="AE1" s="162" t="s">
        <v>306</v>
      </c>
      <c r="AG1" s="162" t="s">
        <v>2018</v>
      </c>
      <c r="AI1" s="212" t="s">
        <v>2021</v>
      </c>
    </row>
    <row r="2" spans="1:35" ht="15" x14ac:dyDescent="0.25">
      <c r="A2" s="4" t="s">
        <v>34</v>
      </c>
      <c r="C2" s="4" t="s">
        <v>23</v>
      </c>
      <c r="E2" s="5" t="s">
        <v>24</v>
      </c>
      <c r="G2" s="4" t="s">
        <v>120</v>
      </c>
      <c r="I2" s="4" t="s">
        <v>141</v>
      </c>
      <c r="J2" s="92">
        <f>WORKDAY(Macro!$D$20-DAY(Macro!$D$20),1)</f>
        <v>43160</v>
      </c>
      <c r="K2" s="6" t="s">
        <v>141</v>
      </c>
      <c r="L2" s="93">
        <v>43160</v>
      </c>
      <c r="M2" s="4" t="s">
        <v>141</v>
      </c>
      <c r="N2" s="4" t="s">
        <v>142</v>
      </c>
      <c r="O2" s="4" t="s">
        <v>143</v>
      </c>
      <c r="R2" s="128"/>
      <c r="U2" s="129"/>
      <c r="AC2" s="161" t="s">
        <v>115</v>
      </c>
      <c r="AE2" s="161" t="s">
        <v>117</v>
      </c>
      <c r="AG2" s="161" t="s">
        <v>115</v>
      </c>
      <c r="AI2" s="161" t="s">
        <v>115</v>
      </c>
    </row>
    <row r="3" spans="1:35" ht="15" x14ac:dyDescent="0.25">
      <c r="A3" s="4" t="s">
        <v>27</v>
      </c>
      <c r="C3" s="4" t="s">
        <v>35</v>
      </c>
      <c r="E3" s="5" t="s">
        <v>25</v>
      </c>
      <c r="G3" s="4" t="s">
        <v>293</v>
      </c>
      <c r="I3" s="4" t="s">
        <v>142</v>
      </c>
      <c r="J3" s="92">
        <f>WORKDAY(Macro!$D$20-DAY(Macro!$D$20),2)</f>
        <v>43161</v>
      </c>
      <c r="K3" s="6" t="s">
        <v>144</v>
      </c>
      <c r="L3" s="93">
        <v>43161</v>
      </c>
      <c r="M3" s="4" t="s">
        <v>144</v>
      </c>
      <c r="N3" s="4" t="s">
        <v>145</v>
      </c>
      <c r="O3" s="4" t="s">
        <v>146</v>
      </c>
      <c r="R3" s="128" t="s">
        <v>265</v>
      </c>
      <c r="U3" s="128" t="s">
        <v>267</v>
      </c>
      <c r="AC3" s="161" t="s">
        <v>116</v>
      </c>
      <c r="AE3" s="153" t="s">
        <v>115</v>
      </c>
      <c r="AG3" s="161" t="s">
        <v>116</v>
      </c>
      <c r="AI3" s="161" t="s">
        <v>116</v>
      </c>
    </row>
    <row r="4" spans="1:35" ht="15" x14ac:dyDescent="0.25">
      <c r="A4" s="4" t="s">
        <v>36</v>
      </c>
      <c r="C4" s="4" t="s">
        <v>37</v>
      </c>
      <c r="E4" s="5" t="s">
        <v>38</v>
      </c>
      <c r="G4" s="4" t="s">
        <v>294</v>
      </c>
      <c r="I4" s="4" t="s">
        <v>143</v>
      </c>
      <c r="J4" s="92">
        <f>WORKDAY(Macro!$D$20-DAY(Macro!$D$20),3)</f>
        <v>43164</v>
      </c>
      <c r="K4" s="6" t="s">
        <v>147</v>
      </c>
      <c r="L4" s="93">
        <v>43164</v>
      </c>
      <c r="M4" s="4" t="s">
        <v>147</v>
      </c>
      <c r="N4" s="4" t="s">
        <v>148</v>
      </c>
      <c r="O4" s="4" t="s">
        <v>132</v>
      </c>
      <c r="AC4" s="161" t="s">
        <v>117</v>
      </c>
      <c r="AE4" s="153" t="s">
        <v>273</v>
      </c>
      <c r="AG4" s="161" t="s">
        <v>117</v>
      </c>
      <c r="AI4" s="161" t="s">
        <v>117</v>
      </c>
    </row>
    <row r="5" spans="1:35" x14ac:dyDescent="0.2">
      <c r="A5" s="4" t="s">
        <v>26</v>
      </c>
      <c r="G5" s="4" t="s">
        <v>295</v>
      </c>
      <c r="I5" s="4" t="s">
        <v>203</v>
      </c>
      <c r="J5" s="92">
        <f>WORKDAY(Macro!$D$20-DAY(Macro!$D$20),4)</f>
        <v>43165</v>
      </c>
      <c r="K5" s="6" t="s">
        <v>149</v>
      </c>
      <c r="L5" s="93">
        <v>43165</v>
      </c>
      <c r="M5" s="4" t="s">
        <v>149</v>
      </c>
      <c r="N5" s="4" t="s">
        <v>150</v>
      </c>
      <c r="O5" s="4" t="s">
        <v>151</v>
      </c>
      <c r="AC5" s="161" t="s">
        <v>118</v>
      </c>
      <c r="AE5" s="153" t="s">
        <v>119</v>
      </c>
      <c r="AG5" s="161" t="s">
        <v>118</v>
      </c>
      <c r="AI5" s="161" t="s">
        <v>118</v>
      </c>
    </row>
    <row r="6" spans="1:35" x14ac:dyDescent="0.2">
      <c r="A6" s="4" t="s">
        <v>28</v>
      </c>
      <c r="G6" s="4" t="s">
        <v>296</v>
      </c>
      <c r="I6" s="4" t="s">
        <v>144</v>
      </c>
      <c r="J6" s="92">
        <f>WORKDAY(Macro!$D$20-DAY(Macro!$D$20),5)</f>
        <v>43166</v>
      </c>
      <c r="K6" s="4" t="s">
        <v>207</v>
      </c>
      <c r="L6" s="93">
        <v>43166</v>
      </c>
      <c r="M6" s="4" t="s">
        <v>207</v>
      </c>
      <c r="N6" s="4" t="s">
        <v>208</v>
      </c>
      <c r="O6" s="4" t="s">
        <v>209</v>
      </c>
      <c r="R6" s="3" t="s">
        <v>263</v>
      </c>
      <c r="AC6" s="161" t="s">
        <v>119</v>
      </c>
      <c r="AE6" s="153" t="s">
        <v>274</v>
      </c>
      <c r="AG6" s="161" t="s">
        <v>119</v>
      </c>
      <c r="AI6" s="161" t="s">
        <v>119</v>
      </c>
    </row>
    <row r="7" spans="1:35" x14ac:dyDescent="0.2">
      <c r="A7" s="4" t="s">
        <v>39</v>
      </c>
      <c r="G7" s="4" t="s">
        <v>297</v>
      </c>
      <c r="I7" s="4" t="s">
        <v>145</v>
      </c>
      <c r="J7" s="92">
        <f>WORKDAY(Macro!$D$20-DAY(Macro!$D$20),6)</f>
        <v>43167</v>
      </c>
      <c r="K7" s="4" t="s">
        <v>211</v>
      </c>
      <c r="L7" s="93">
        <v>43167</v>
      </c>
      <c r="M7" s="4" t="s">
        <v>211</v>
      </c>
      <c r="N7" s="4" t="s">
        <v>152</v>
      </c>
      <c r="O7" s="4" t="s">
        <v>153</v>
      </c>
      <c r="AC7" s="161" t="s">
        <v>47</v>
      </c>
      <c r="AE7" s="153" t="s">
        <v>120</v>
      </c>
      <c r="AG7" s="161" t="s">
        <v>47</v>
      </c>
      <c r="AI7" s="161" t="s">
        <v>47</v>
      </c>
    </row>
    <row r="8" spans="1:35" x14ac:dyDescent="0.2">
      <c r="A8" s="4" t="s">
        <v>29</v>
      </c>
      <c r="G8" s="4" t="s">
        <v>298</v>
      </c>
      <c r="I8" s="4" t="s">
        <v>146</v>
      </c>
      <c r="J8" s="92">
        <f>WORKDAY(Macro!$D$20-DAY(Macro!$D$20),7)</f>
        <v>43168</v>
      </c>
      <c r="K8" s="4" t="s">
        <v>212</v>
      </c>
      <c r="L8" s="93">
        <v>43168</v>
      </c>
      <c r="M8" s="4" t="s">
        <v>212</v>
      </c>
      <c r="N8" s="4" t="s">
        <v>155</v>
      </c>
      <c r="O8" s="4" t="s">
        <v>156</v>
      </c>
      <c r="R8" s="3" t="s">
        <v>308</v>
      </c>
      <c r="AC8" s="161" t="s">
        <v>131</v>
      </c>
      <c r="AE8" s="153" t="s">
        <v>124</v>
      </c>
      <c r="AG8" s="161" t="s">
        <v>131</v>
      </c>
      <c r="AI8" s="161" t="s">
        <v>2019</v>
      </c>
    </row>
    <row r="9" spans="1:35" x14ac:dyDescent="0.2">
      <c r="A9" s="4" t="s">
        <v>30</v>
      </c>
      <c r="G9" s="4" t="s">
        <v>299</v>
      </c>
      <c r="I9" s="4" t="s">
        <v>204</v>
      </c>
      <c r="J9" s="92">
        <f>WORKDAY(Macro!$D$20-DAY(Macro!$D$20),8)</f>
        <v>43171</v>
      </c>
      <c r="K9" s="4" t="s">
        <v>213</v>
      </c>
      <c r="L9" s="93">
        <v>43171</v>
      </c>
      <c r="M9" s="4" t="s">
        <v>213</v>
      </c>
      <c r="N9" s="4" t="s">
        <v>214</v>
      </c>
      <c r="O9" s="4" t="s">
        <v>215</v>
      </c>
      <c r="AC9" s="161" t="s">
        <v>120</v>
      </c>
      <c r="AE9" s="153" t="s">
        <v>131</v>
      </c>
      <c r="AG9" s="161" t="s">
        <v>120</v>
      </c>
      <c r="AI9" s="161" t="s">
        <v>120</v>
      </c>
    </row>
    <row r="10" spans="1:35" x14ac:dyDescent="0.2">
      <c r="A10" s="4" t="s">
        <v>40</v>
      </c>
      <c r="G10" s="4" t="s">
        <v>123</v>
      </c>
      <c r="I10" s="4" t="s">
        <v>147</v>
      </c>
      <c r="J10" s="92">
        <f>WORKDAY(Macro!$D$20-DAY(Macro!$D$20),9)</f>
        <v>43172</v>
      </c>
      <c r="K10" s="4" t="s">
        <v>217</v>
      </c>
      <c r="L10" s="93">
        <v>43172</v>
      </c>
      <c r="M10" s="4" t="s">
        <v>217</v>
      </c>
      <c r="N10" s="4" t="s">
        <v>218</v>
      </c>
      <c r="O10" s="4" t="s">
        <v>158</v>
      </c>
      <c r="AC10" s="161" t="s">
        <v>121</v>
      </c>
      <c r="AE10" s="153" t="s">
        <v>125</v>
      </c>
      <c r="AG10" s="161" t="s">
        <v>121</v>
      </c>
      <c r="AI10" s="161" t="s">
        <v>121</v>
      </c>
    </row>
    <row r="11" spans="1:35" x14ac:dyDescent="0.2">
      <c r="A11" s="6" t="s">
        <v>41</v>
      </c>
      <c r="G11" s="4" t="s">
        <v>300</v>
      </c>
      <c r="I11" s="4" t="s">
        <v>148</v>
      </c>
      <c r="J11" s="92">
        <f>WORKDAY(Macro!$D$20-DAY(Macro!$D$20),10)</f>
        <v>43173</v>
      </c>
      <c r="K11" s="4" t="s">
        <v>160</v>
      </c>
      <c r="L11" s="93">
        <v>43173</v>
      </c>
      <c r="M11" s="4" t="s">
        <v>160</v>
      </c>
      <c r="N11" s="4" t="s">
        <v>219</v>
      </c>
      <c r="O11" s="4" t="s">
        <v>161</v>
      </c>
      <c r="AC11" s="161" t="s">
        <v>122</v>
      </c>
      <c r="AE11" s="153" t="s">
        <v>121</v>
      </c>
      <c r="AG11" s="161" t="s">
        <v>122</v>
      </c>
      <c r="AI11" s="161" t="s">
        <v>122</v>
      </c>
    </row>
    <row r="12" spans="1:35" x14ac:dyDescent="0.2">
      <c r="A12" s="4" t="s">
        <v>42</v>
      </c>
      <c r="G12" s="4" t="s">
        <v>301</v>
      </c>
      <c r="I12" s="4" t="s">
        <v>132</v>
      </c>
      <c r="J12" s="92">
        <f>WORKDAY(Macro!$D$20-DAY(Macro!$D$20),11)</f>
        <v>43174</v>
      </c>
      <c r="K12" s="4" t="s">
        <v>163</v>
      </c>
      <c r="L12" s="93">
        <v>43174</v>
      </c>
      <c r="M12" s="4" t="s">
        <v>163</v>
      </c>
      <c r="N12" s="4" t="s">
        <v>220</v>
      </c>
      <c r="O12" s="4" t="s">
        <v>221</v>
      </c>
      <c r="AC12" s="161" t="s">
        <v>123</v>
      </c>
      <c r="AE12" s="153" t="s">
        <v>122</v>
      </c>
      <c r="AG12" s="161" t="s">
        <v>123</v>
      </c>
      <c r="AI12" s="161" t="s">
        <v>123</v>
      </c>
    </row>
    <row r="13" spans="1:35" x14ac:dyDescent="0.2">
      <c r="A13" s="4" t="s">
        <v>43</v>
      </c>
      <c r="G13" s="4" t="s">
        <v>124</v>
      </c>
      <c r="I13" s="4" t="s">
        <v>205</v>
      </c>
      <c r="J13" s="92">
        <f>WORKDAY(Macro!$D$20-DAY(Macro!$D$20),12)</f>
        <v>43175</v>
      </c>
      <c r="K13" s="4" t="s">
        <v>224</v>
      </c>
      <c r="L13" s="93">
        <v>43175</v>
      </c>
      <c r="M13" s="4" t="s">
        <v>224</v>
      </c>
      <c r="N13" s="4" t="s">
        <v>225</v>
      </c>
      <c r="O13" s="4" t="s">
        <v>164</v>
      </c>
      <c r="AC13" s="161" t="s">
        <v>124</v>
      </c>
      <c r="AE13" s="153" t="s">
        <v>123</v>
      </c>
      <c r="AG13" s="161" t="s">
        <v>124</v>
      </c>
      <c r="AI13" s="161" t="s">
        <v>124</v>
      </c>
    </row>
    <row r="14" spans="1:35" x14ac:dyDescent="0.2">
      <c r="A14" s="4" t="s">
        <v>44</v>
      </c>
      <c r="G14" s="4" t="s">
        <v>302</v>
      </c>
      <c r="I14" s="4" t="s">
        <v>149</v>
      </c>
      <c r="J14" s="92">
        <f>WORKDAY(Macro!$D$20-DAY(Macro!$D$20),13)</f>
        <v>43178</v>
      </c>
      <c r="K14" s="4" t="s">
        <v>165</v>
      </c>
      <c r="L14" s="93">
        <v>43178</v>
      </c>
      <c r="M14" s="4" t="s">
        <v>165</v>
      </c>
      <c r="N14" s="4" t="s">
        <v>166</v>
      </c>
      <c r="O14" s="4" t="s">
        <v>226</v>
      </c>
      <c r="AC14" s="161" t="s">
        <v>125</v>
      </c>
      <c r="AE14" s="153" t="s">
        <v>275</v>
      </c>
      <c r="AG14" s="161" t="s">
        <v>125</v>
      </c>
      <c r="AI14" s="161" t="s">
        <v>125</v>
      </c>
    </row>
    <row r="15" spans="1:35" x14ac:dyDescent="0.2">
      <c r="A15" s="4" t="s">
        <v>135</v>
      </c>
      <c r="G15" s="4"/>
      <c r="I15" s="4" t="s">
        <v>150</v>
      </c>
      <c r="J15" s="92">
        <f>WORKDAY(Macro!$D$20-DAY(Macro!$D$20),14)</f>
        <v>43179</v>
      </c>
      <c r="K15" s="4" t="s">
        <v>168</v>
      </c>
      <c r="L15" s="93">
        <v>43179</v>
      </c>
      <c r="M15" s="4" t="s">
        <v>168</v>
      </c>
      <c r="N15" s="4" t="s">
        <v>169</v>
      </c>
      <c r="O15" s="4" t="s">
        <v>227</v>
      </c>
      <c r="AC15" s="161" t="s">
        <v>126</v>
      </c>
      <c r="AE15" s="153" t="s">
        <v>276</v>
      </c>
      <c r="AG15" s="161" t="s">
        <v>126</v>
      </c>
      <c r="AI15" s="161" t="s">
        <v>126</v>
      </c>
    </row>
    <row r="16" spans="1:35" x14ac:dyDescent="0.2">
      <c r="A16" s="94" t="s">
        <v>262</v>
      </c>
      <c r="G16" s="4"/>
      <c r="I16" s="4" t="s">
        <v>151</v>
      </c>
      <c r="J16" s="92">
        <f>WORKDAY(Macro!$D$20-DAY(Macro!$D$20),15)</f>
        <v>43180</v>
      </c>
      <c r="K16" s="4" t="s">
        <v>229</v>
      </c>
      <c r="L16" s="93">
        <v>43180</v>
      </c>
      <c r="M16" s="4" t="s">
        <v>229</v>
      </c>
      <c r="N16" s="4" t="s">
        <v>230</v>
      </c>
      <c r="O16" s="4" t="s">
        <v>231</v>
      </c>
      <c r="AC16" s="161" t="s">
        <v>288</v>
      </c>
      <c r="AE16" s="153" t="s">
        <v>277</v>
      </c>
      <c r="AG16" s="161" t="s">
        <v>288</v>
      </c>
      <c r="AI16" s="161" t="s">
        <v>288</v>
      </c>
    </row>
    <row r="17" spans="6:35" x14ac:dyDescent="0.2">
      <c r="G17" s="4"/>
      <c r="I17" s="4" t="s">
        <v>206</v>
      </c>
      <c r="J17" s="92">
        <f>WORKDAY(Macro!$D$20-DAY(Macro!$D$20),16)</f>
        <v>43181</v>
      </c>
      <c r="K17" s="4" t="s">
        <v>170</v>
      </c>
      <c r="L17" s="93">
        <v>43181</v>
      </c>
      <c r="M17" s="4" t="s">
        <v>170</v>
      </c>
      <c r="N17" s="4" t="s">
        <v>171</v>
      </c>
      <c r="O17" s="4" t="s">
        <v>172</v>
      </c>
      <c r="AC17" s="161" t="s">
        <v>128</v>
      </c>
      <c r="AE17" s="153" t="s">
        <v>278</v>
      </c>
      <c r="AG17" s="161" t="s">
        <v>275</v>
      </c>
      <c r="AI17" s="161" t="s">
        <v>275</v>
      </c>
    </row>
    <row r="18" spans="6:35" x14ac:dyDescent="0.2">
      <c r="G18" s="4"/>
      <c r="I18" s="4" t="s">
        <v>207</v>
      </c>
      <c r="J18" s="92">
        <f>WORKDAY(Macro!$D$20-DAY(Macro!$D$20),17)</f>
        <v>43182</v>
      </c>
      <c r="K18" s="4" t="s">
        <v>173</v>
      </c>
      <c r="L18" s="93">
        <v>43182</v>
      </c>
      <c r="M18" s="4" t="s">
        <v>173</v>
      </c>
      <c r="N18" s="4" t="s">
        <v>174</v>
      </c>
      <c r="O18" s="4" t="s">
        <v>175</v>
      </c>
      <c r="AE18" s="153" t="s">
        <v>20</v>
      </c>
      <c r="AG18" s="161" t="s">
        <v>276</v>
      </c>
      <c r="AI18" s="161" t="s">
        <v>2020</v>
      </c>
    </row>
    <row r="19" spans="6:35" x14ac:dyDescent="0.2">
      <c r="I19" s="4" t="s">
        <v>208</v>
      </c>
      <c r="J19" s="92">
        <f>WORKDAY(Macro!$D$20-DAY(Macro!$D$20),18)</f>
        <v>43185</v>
      </c>
      <c r="K19" s="4" t="s">
        <v>176</v>
      </c>
      <c r="L19" s="93">
        <v>43185</v>
      </c>
      <c r="M19" s="4" t="s">
        <v>176</v>
      </c>
      <c r="N19" s="4" t="s">
        <v>177</v>
      </c>
      <c r="O19" s="4" t="s">
        <v>178</v>
      </c>
      <c r="AE19" s="153" t="s">
        <v>116</v>
      </c>
      <c r="AG19" s="161" t="s">
        <v>277</v>
      </c>
      <c r="AI19" s="161" t="s">
        <v>277</v>
      </c>
    </row>
    <row r="20" spans="6:35" x14ac:dyDescent="0.2">
      <c r="I20" s="4" t="s">
        <v>209</v>
      </c>
      <c r="J20" s="92">
        <f>WORKDAY(Macro!$D$20-DAY(Macro!$D$20),19)</f>
        <v>43186</v>
      </c>
      <c r="K20" s="4" t="s">
        <v>236</v>
      </c>
      <c r="L20" s="93">
        <v>43186</v>
      </c>
      <c r="M20" s="4" t="s">
        <v>236</v>
      </c>
      <c r="N20" s="4" t="s">
        <v>237</v>
      </c>
      <c r="O20" s="4" t="s">
        <v>238</v>
      </c>
      <c r="AE20" s="153" t="s">
        <v>279</v>
      </c>
      <c r="AG20" s="161" t="s">
        <v>278</v>
      </c>
      <c r="AI20" s="161" t="s">
        <v>278</v>
      </c>
    </row>
    <row r="21" spans="6:35" x14ac:dyDescent="0.2">
      <c r="I21" s="4" t="s">
        <v>210</v>
      </c>
      <c r="J21" s="92">
        <f>WORKDAY(Macro!$D$20-DAY(Macro!$D$20),20)</f>
        <v>43187</v>
      </c>
      <c r="K21" s="4" t="s">
        <v>240</v>
      </c>
      <c r="L21" s="93">
        <v>43187</v>
      </c>
      <c r="M21" s="4" t="s">
        <v>240</v>
      </c>
      <c r="N21" s="4" t="s">
        <v>179</v>
      </c>
      <c r="O21" s="4" t="s">
        <v>180</v>
      </c>
      <c r="AE21" s="153" t="s">
        <v>280</v>
      </c>
      <c r="AG21" s="161" t="s">
        <v>20</v>
      </c>
      <c r="AI21" s="161" t="s">
        <v>20</v>
      </c>
    </row>
    <row r="22" spans="6:35" x14ac:dyDescent="0.2">
      <c r="I22" s="4" t="s">
        <v>211</v>
      </c>
      <c r="J22" s="92">
        <f>WORKDAY(Macro!$D$20-DAY(Macro!$D$20),21)</f>
        <v>43188</v>
      </c>
      <c r="K22" s="4" t="s">
        <v>241</v>
      </c>
      <c r="L22" s="93">
        <v>43188</v>
      </c>
      <c r="M22" s="4" t="s">
        <v>241</v>
      </c>
      <c r="N22" s="4" t="s">
        <v>182</v>
      </c>
      <c r="O22" s="4" t="s">
        <v>183</v>
      </c>
      <c r="AE22" s="153" t="s">
        <v>281</v>
      </c>
      <c r="AG22" s="161" t="s">
        <v>279</v>
      </c>
      <c r="AI22" s="161" t="s">
        <v>279</v>
      </c>
    </row>
    <row r="23" spans="6:35" x14ac:dyDescent="0.2">
      <c r="F23" s="3" t="s">
        <v>272</v>
      </c>
      <c r="I23" s="4" t="s">
        <v>152</v>
      </c>
      <c r="J23" s="92">
        <f>WORKDAY(Macro!$D$20-DAY(Macro!$D$20),22)</f>
        <v>43189</v>
      </c>
      <c r="K23" s="4" t="s">
        <v>242</v>
      </c>
      <c r="L23" s="93">
        <v>43189</v>
      </c>
      <c r="M23" s="4" t="s">
        <v>242</v>
      </c>
      <c r="N23" s="4" t="s">
        <v>243</v>
      </c>
      <c r="O23" s="4" t="s">
        <v>244</v>
      </c>
      <c r="AE23" s="153" t="s">
        <v>21</v>
      </c>
      <c r="AG23" s="161" t="s">
        <v>280</v>
      </c>
      <c r="AI23" s="161" t="s">
        <v>280</v>
      </c>
    </row>
    <row r="24" spans="6:35" x14ac:dyDescent="0.2">
      <c r="I24" s="4" t="s">
        <v>153</v>
      </c>
      <c r="J24" s="92"/>
      <c r="K24" s="4" t="s">
        <v>246</v>
      </c>
      <c r="L24" s="93"/>
      <c r="M24" s="4" t="s">
        <v>246</v>
      </c>
      <c r="N24" s="4" t="s">
        <v>247</v>
      </c>
      <c r="O24" s="4" t="s">
        <v>185</v>
      </c>
      <c r="AE24" s="153" t="s">
        <v>47</v>
      </c>
      <c r="AG24" s="161" t="s">
        <v>281</v>
      </c>
      <c r="AI24" s="161" t="s">
        <v>281</v>
      </c>
    </row>
    <row r="25" spans="6:35" x14ac:dyDescent="0.2">
      <c r="I25" s="4" t="s">
        <v>154</v>
      </c>
      <c r="J25" s="92"/>
      <c r="K25" s="4" t="s">
        <v>187</v>
      </c>
      <c r="L25" s="93"/>
      <c r="M25" s="4" t="s">
        <v>187</v>
      </c>
      <c r="N25" s="4" t="s">
        <v>248</v>
      </c>
      <c r="O25" s="4" t="s">
        <v>188</v>
      </c>
      <c r="AE25" s="153" t="s">
        <v>282</v>
      </c>
      <c r="AG25" s="161" t="s">
        <v>21</v>
      </c>
      <c r="AI25" s="161" t="s">
        <v>21</v>
      </c>
    </row>
    <row r="26" spans="6:35" x14ac:dyDescent="0.2">
      <c r="I26" s="4" t="s">
        <v>212</v>
      </c>
      <c r="J26" s="92"/>
      <c r="K26" s="4" t="s">
        <v>190</v>
      </c>
      <c r="L26" s="93"/>
      <c r="M26" s="4" t="s">
        <v>190</v>
      </c>
      <c r="N26" s="4" t="s">
        <v>249</v>
      </c>
      <c r="O26" s="4" t="s">
        <v>191</v>
      </c>
      <c r="AE26" s="153" t="s">
        <v>126</v>
      </c>
      <c r="AG26" s="161" t="s">
        <v>282</v>
      </c>
      <c r="AI26" s="161" t="s">
        <v>282</v>
      </c>
    </row>
    <row r="27" spans="6:35" x14ac:dyDescent="0.2">
      <c r="I27" s="4" t="s">
        <v>155</v>
      </c>
      <c r="J27" s="92"/>
      <c r="K27" s="4" t="s">
        <v>193</v>
      </c>
      <c r="L27" s="93"/>
      <c r="M27" s="4" t="s">
        <v>193</v>
      </c>
      <c r="N27" s="4" t="s">
        <v>250</v>
      </c>
      <c r="O27" s="4" t="s">
        <v>251</v>
      </c>
      <c r="AE27" s="153" t="s">
        <v>283</v>
      </c>
      <c r="AG27" s="161" t="s">
        <v>283</v>
      </c>
      <c r="AI27" s="161" t="s">
        <v>283</v>
      </c>
    </row>
    <row r="28" spans="6:35" x14ac:dyDescent="0.2">
      <c r="I28" s="4" t="s">
        <v>156</v>
      </c>
      <c r="J28" s="92"/>
      <c r="K28" s="4" t="s">
        <v>253</v>
      </c>
      <c r="L28" s="93"/>
      <c r="M28" s="4" t="s">
        <v>253</v>
      </c>
      <c r="N28" s="4" t="s">
        <v>254</v>
      </c>
      <c r="O28" s="4" t="s">
        <v>255</v>
      </c>
      <c r="AE28" s="153" t="s">
        <v>284</v>
      </c>
      <c r="AG28" s="161" t="s">
        <v>284</v>
      </c>
      <c r="AI28" s="161" t="s">
        <v>284</v>
      </c>
    </row>
    <row r="29" spans="6:35" x14ac:dyDescent="0.2">
      <c r="I29" s="4" t="s">
        <v>157</v>
      </c>
      <c r="J29" s="92"/>
      <c r="K29" s="4" t="s">
        <v>195</v>
      </c>
      <c r="L29" s="93"/>
      <c r="M29" s="4" t="s">
        <v>195</v>
      </c>
      <c r="N29" s="4" t="s">
        <v>196</v>
      </c>
      <c r="O29" s="4" t="s">
        <v>256</v>
      </c>
      <c r="AE29" s="153" t="s">
        <v>285</v>
      </c>
      <c r="AG29" s="161" t="s">
        <v>285</v>
      </c>
      <c r="AI29" s="161" t="s">
        <v>285</v>
      </c>
    </row>
    <row r="30" spans="6:35" x14ac:dyDescent="0.2">
      <c r="I30" s="4" t="s">
        <v>213</v>
      </c>
      <c r="J30" s="92"/>
      <c r="K30" s="4" t="s">
        <v>198</v>
      </c>
      <c r="L30" s="93"/>
      <c r="M30" s="4" t="s">
        <v>198</v>
      </c>
      <c r="N30" s="4" t="s">
        <v>199</v>
      </c>
      <c r="O30" s="4" t="s">
        <v>257</v>
      </c>
      <c r="AE30" s="153" t="s">
        <v>286</v>
      </c>
      <c r="AG30" s="161" t="s">
        <v>286</v>
      </c>
      <c r="AI30" s="161" t="s">
        <v>286</v>
      </c>
    </row>
    <row r="31" spans="6:35" x14ac:dyDescent="0.2">
      <c r="I31" s="4" t="s">
        <v>214</v>
      </c>
      <c r="J31" s="92"/>
      <c r="K31" s="4" t="s">
        <v>259</v>
      </c>
      <c r="L31" s="93"/>
      <c r="M31" s="4" t="s">
        <v>259</v>
      </c>
      <c r="N31" s="4" t="s">
        <v>260</v>
      </c>
      <c r="O31" s="4" t="s">
        <v>261</v>
      </c>
      <c r="P31" s="3" t="s">
        <v>76</v>
      </c>
      <c r="AE31" s="153" t="s">
        <v>287</v>
      </c>
      <c r="AG31" s="161" t="s">
        <v>287</v>
      </c>
      <c r="AI31" s="161" t="s">
        <v>287</v>
      </c>
    </row>
    <row r="32" spans="6:35" x14ac:dyDescent="0.2">
      <c r="I32" s="4" t="s">
        <v>215</v>
      </c>
      <c r="J32" s="92"/>
      <c r="K32" s="4" t="s">
        <v>200</v>
      </c>
      <c r="L32" s="93"/>
      <c r="M32" s="4" t="s">
        <v>270</v>
      </c>
      <c r="N32" s="4" t="s">
        <v>200</v>
      </c>
      <c r="O32" s="4" t="s">
        <v>201</v>
      </c>
      <c r="P32" s="3" t="s">
        <v>271</v>
      </c>
      <c r="AE32" s="153" t="s">
        <v>127</v>
      </c>
      <c r="AG32" s="161" t="s">
        <v>127</v>
      </c>
      <c r="AI32" s="161" t="s">
        <v>127</v>
      </c>
    </row>
    <row r="33" spans="9:35" x14ac:dyDescent="0.2">
      <c r="I33" s="4" t="s">
        <v>216</v>
      </c>
      <c r="J33" s="92"/>
      <c r="L33" s="93"/>
      <c r="AE33" s="153" t="s">
        <v>288</v>
      </c>
      <c r="AG33" s="161" t="s">
        <v>128</v>
      </c>
      <c r="AI33" s="161" t="s">
        <v>290</v>
      </c>
    </row>
    <row r="34" spans="9:35" x14ac:dyDescent="0.2">
      <c r="I34" s="4" t="s">
        <v>217</v>
      </c>
      <c r="J34" s="92"/>
      <c r="L34" s="93"/>
      <c r="AE34" s="153" t="s">
        <v>289</v>
      </c>
    </row>
    <row r="35" spans="9:35" x14ac:dyDescent="0.2">
      <c r="I35" s="4" t="s">
        <v>218</v>
      </c>
      <c r="J35" s="92"/>
      <c r="L35" s="93"/>
      <c r="AE35" s="153" t="s">
        <v>128</v>
      </c>
    </row>
    <row r="36" spans="9:35" x14ac:dyDescent="0.2">
      <c r="I36" s="4" t="s">
        <v>158</v>
      </c>
      <c r="J36" s="92"/>
      <c r="L36" s="93"/>
      <c r="AE36" s="153" t="s">
        <v>290</v>
      </c>
    </row>
    <row r="37" spans="9:35" x14ac:dyDescent="0.2">
      <c r="I37" s="4" t="s">
        <v>159</v>
      </c>
      <c r="J37" s="92"/>
      <c r="L37" s="93"/>
      <c r="AE37" s="153"/>
    </row>
    <row r="38" spans="9:35" x14ac:dyDescent="0.2">
      <c r="I38" s="4" t="s">
        <v>160</v>
      </c>
      <c r="J38" s="92"/>
      <c r="L38" s="93"/>
      <c r="AE38" s="154"/>
    </row>
    <row r="39" spans="9:35" x14ac:dyDescent="0.2">
      <c r="I39" s="4" t="s">
        <v>219</v>
      </c>
      <c r="J39" s="92"/>
      <c r="L39" s="93"/>
      <c r="AE39" s="156"/>
    </row>
    <row r="40" spans="9:35" x14ac:dyDescent="0.2">
      <c r="I40" s="4" t="s">
        <v>161</v>
      </c>
      <c r="J40" s="92"/>
      <c r="L40" s="93"/>
      <c r="AE40" s="155"/>
    </row>
    <row r="41" spans="9:35" x14ac:dyDescent="0.2">
      <c r="I41" s="4" t="s">
        <v>162</v>
      </c>
      <c r="J41" s="92"/>
      <c r="L41" s="93">
        <v>43172</v>
      </c>
      <c r="AE41" s="155"/>
    </row>
    <row r="42" spans="9:35" x14ac:dyDescent="0.2">
      <c r="I42" s="4" t="s">
        <v>163</v>
      </c>
      <c r="J42" s="92"/>
      <c r="L42" s="93">
        <v>43173</v>
      </c>
      <c r="AE42" s="155"/>
    </row>
    <row r="43" spans="9:35" x14ac:dyDescent="0.2">
      <c r="I43" s="4" t="s">
        <v>220</v>
      </c>
      <c r="J43" s="92"/>
      <c r="L43" s="93">
        <v>43174</v>
      </c>
      <c r="AE43" s="155"/>
    </row>
    <row r="44" spans="9:35" x14ac:dyDescent="0.2">
      <c r="I44" s="4" t="s">
        <v>221</v>
      </c>
      <c r="J44" s="92"/>
      <c r="L44" s="93">
        <v>43175</v>
      </c>
    </row>
    <row r="45" spans="9:35" x14ac:dyDescent="0.2">
      <c r="I45" s="4" t="s">
        <v>222</v>
      </c>
      <c r="J45" s="92"/>
      <c r="L45" s="93">
        <v>43176</v>
      </c>
    </row>
    <row r="46" spans="9:35" x14ac:dyDescent="0.2">
      <c r="I46" s="4" t="s">
        <v>223</v>
      </c>
      <c r="J46" s="92"/>
      <c r="L46" s="93">
        <v>43177</v>
      </c>
    </row>
    <row r="47" spans="9:35" x14ac:dyDescent="0.2">
      <c r="I47" s="4" t="s">
        <v>224</v>
      </c>
      <c r="L47" s="93">
        <v>43178</v>
      </c>
    </row>
    <row r="48" spans="9:35" x14ac:dyDescent="0.2">
      <c r="I48" s="4" t="s">
        <v>225</v>
      </c>
      <c r="L48" s="93">
        <v>43179</v>
      </c>
    </row>
    <row r="49" spans="9:12" x14ac:dyDescent="0.2">
      <c r="I49" s="4" t="s">
        <v>164</v>
      </c>
      <c r="L49" s="93">
        <v>43180</v>
      </c>
    </row>
    <row r="50" spans="9:12" x14ac:dyDescent="0.2">
      <c r="I50" s="4" t="s">
        <v>165</v>
      </c>
      <c r="L50" s="93">
        <v>43181</v>
      </c>
    </row>
    <row r="51" spans="9:12" x14ac:dyDescent="0.2">
      <c r="I51" s="4" t="s">
        <v>166</v>
      </c>
      <c r="L51" s="93">
        <v>43182</v>
      </c>
    </row>
    <row r="52" spans="9:12" x14ac:dyDescent="0.2">
      <c r="I52" s="4" t="s">
        <v>226</v>
      </c>
      <c r="L52" s="93">
        <v>43183</v>
      </c>
    </row>
    <row r="53" spans="9:12" x14ac:dyDescent="0.2">
      <c r="I53" s="4" t="s">
        <v>167</v>
      </c>
      <c r="L53" s="93">
        <v>43184</v>
      </c>
    </row>
    <row r="54" spans="9:12" x14ac:dyDescent="0.2">
      <c r="I54" s="4" t="s">
        <v>168</v>
      </c>
      <c r="L54" s="93">
        <v>43185</v>
      </c>
    </row>
    <row r="55" spans="9:12" x14ac:dyDescent="0.2">
      <c r="I55" s="4" t="s">
        <v>169</v>
      </c>
      <c r="L55" s="93">
        <v>43186</v>
      </c>
    </row>
    <row r="56" spans="9:12" x14ac:dyDescent="0.2">
      <c r="I56" s="4" t="s">
        <v>227</v>
      </c>
      <c r="L56" s="93">
        <v>43187</v>
      </c>
    </row>
    <row r="57" spans="9:12" x14ac:dyDescent="0.2">
      <c r="I57" s="4" t="s">
        <v>228</v>
      </c>
      <c r="L57" s="93">
        <v>43188</v>
      </c>
    </row>
    <row r="58" spans="9:12" x14ac:dyDescent="0.2">
      <c r="I58" s="4" t="s">
        <v>229</v>
      </c>
      <c r="L58" s="93">
        <v>43189</v>
      </c>
    </row>
    <row r="59" spans="9:12" x14ac:dyDescent="0.2">
      <c r="I59" s="4" t="s">
        <v>230</v>
      </c>
      <c r="L59" s="93">
        <v>43190</v>
      </c>
    </row>
    <row r="60" spans="9:12" x14ac:dyDescent="0.2">
      <c r="I60" s="4" t="s">
        <v>231</v>
      </c>
      <c r="L60" s="93">
        <v>43191</v>
      </c>
    </row>
    <row r="61" spans="9:12" x14ac:dyDescent="0.2">
      <c r="I61" s="4" t="s">
        <v>232</v>
      </c>
    </row>
    <row r="62" spans="9:12" x14ac:dyDescent="0.2">
      <c r="I62" s="4" t="s">
        <v>170</v>
      </c>
    </row>
    <row r="63" spans="9:12" x14ac:dyDescent="0.2">
      <c r="I63" s="4" t="s">
        <v>171</v>
      </c>
    </row>
    <row r="64" spans="9:12" x14ac:dyDescent="0.2">
      <c r="I64" s="4" t="s">
        <v>172</v>
      </c>
    </row>
    <row r="65" spans="9:9" x14ac:dyDescent="0.2">
      <c r="I65" s="4" t="s">
        <v>233</v>
      </c>
    </row>
    <row r="66" spans="9:9" x14ac:dyDescent="0.2">
      <c r="I66" s="4" t="s">
        <v>173</v>
      </c>
    </row>
    <row r="67" spans="9:9" x14ac:dyDescent="0.2">
      <c r="I67" s="4" t="s">
        <v>174</v>
      </c>
    </row>
    <row r="68" spans="9:9" x14ac:dyDescent="0.2">
      <c r="I68" s="4" t="s">
        <v>175</v>
      </c>
    </row>
    <row r="69" spans="9:9" x14ac:dyDescent="0.2">
      <c r="I69" s="4" t="s">
        <v>234</v>
      </c>
    </row>
    <row r="70" spans="9:9" x14ac:dyDescent="0.2">
      <c r="I70" s="4" t="s">
        <v>176</v>
      </c>
    </row>
    <row r="71" spans="9:9" x14ac:dyDescent="0.2">
      <c r="I71" s="4" t="s">
        <v>177</v>
      </c>
    </row>
    <row r="72" spans="9:9" x14ac:dyDescent="0.2">
      <c r="I72" s="4" t="s">
        <v>178</v>
      </c>
    </row>
    <row r="73" spans="9:9" x14ac:dyDescent="0.2">
      <c r="I73" s="4" t="s">
        <v>235</v>
      </c>
    </row>
    <row r="74" spans="9:9" x14ac:dyDescent="0.2">
      <c r="I74" s="4" t="s">
        <v>236</v>
      </c>
    </row>
    <row r="75" spans="9:9" x14ac:dyDescent="0.2">
      <c r="I75" s="4" t="s">
        <v>237</v>
      </c>
    </row>
    <row r="76" spans="9:9" x14ac:dyDescent="0.2">
      <c r="I76" s="4" t="s">
        <v>238</v>
      </c>
    </row>
    <row r="77" spans="9:9" x14ac:dyDescent="0.2">
      <c r="I77" s="4" t="s">
        <v>239</v>
      </c>
    </row>
    <row r="78" spans="9:9" x14ac:dyDescent="0.2">
      <c r="I78" s="4" t="s">
        <v>240</v>
      </c>
    </row>
    <row r="79" spans="9:9" x14ac:dyDescent="0.2">
      <c r="I79" s="4" t="s">
        <v>179</v>
      </c>
    </row>
    <row r="80" spans="9:9" x14ac:dyDescent="0.2">
      <c r="I80" s="4" t="s">
        <v>180</v>
      </c>
    </row>
    <row r="81" spans="9:9" x14ac:dyDescent="0.2">
      <c r="I81" s="4" t="s">
        <v>181</v>
      </c>
    </row>
    <row r="82" spans="9:9" x14ac:dyDescent="0.2">
      <c r="I82" s="4" t="s">
        <v>241</v>
      </c>
    </row>
    <row r="83" spans="9:9" x14ac:dyDescent="0.2">
      <c r="I83" s="4" t="s">
        <v>182</v>
      </c>
    </row>
    <row r="84" spans="9:9" x14ac:dyDescent="0.2">
      <c r="I84" s="4" t="s">
        <v>183</v>
      </c>
    </row>
    <row r="85" spans="9:9" x14ac:dyDescent="0.2">
      <c r="I85" s="4" t="s">
        <v>184</v>
      </c>
    </row>
    <row r="86" spans="9:9" x14ac:dyDescent="0.2">
      <c r="I86" s="4" t="s">
        <v>242</v>
      </c>
    </row>
    <row r="87" spans="9:9" x14ac:dyDescent="0.2">
      <c r="I87" s="4" t="s">
        <v>243</v>
      </c>
    </row>
    <row r="88" spans="9:9" x14ac:dyDescent="0.2">
      <c r="I88" s="4" t="s">
        <v>244</v>
      </c>
    </row>
    <row r="89" spans="9:9" x14ac:dyDescent="0.2">
      <c r="I89" s="4" t="s">
        <v>245</v>
      </c>
    </row>
    <row r="90" spans="9:9" x14ac:dyDescent="0.2">
      <c r="I90" s="4" t="s">
        <v>246</v>
      </c>
    </row>
    <row r="91" spans="9:9" x14ac:dyDescent="0.2">
      <c r="I91" s="4" t="s">
        <v>247</v>
      </c>
    </row>
    <row r="92" spans="9:9" x14ac:dyDescent="0.2">
      <c r="I92" s="4" t="s">
        <v>185</v>
      </c>
    </row>
    <row r="93" spans="9:9" x14ac:dyDescent="0.2">
      <c r="I93" s="4" t="s">
        <v>186</v>
      </c>
    </row>
    <row r="94" spans="9:9" x14ac:dyDescent="0.2">
      <c r="I94" s="4" t="s">
        <v>187</v>
      </c>
    </row>
    <row r="95" spans="9:9" x14ac:dyDescent="0.2">
      <c r="I95" s="4" t="s">
        <v>248</v>
      </c>
    </row>
    <row r="96" spans="9:9" x14ac:dyDescent="0.2">
      <c r="I96" s="4" t="s">
        <v>188</v>
      </c>
    </row>
    <row r="97" spans="9:9" x14ac:dyDescent="0.2">
      <c r="I97" s="4" t="s">
        <v>189</v>
      </c>
    </row>
    <row r="98" spans="9:9" x14ac:dyDescent="0.2">
      <c r="I98" s="4" t="s">
        <v>190</v>
      </c>
    </row>
    <row r="99" spans="9:9" x14ac:dyDescent="0.2">
      <c r="I99" s="4" t="s">
        <v>249</v>
      </c>
    </row>
    <row r="100" spans="9:9" x14ac:dyDescent="0.2">
      <c r="I100" s="4" t="s">
        <v>191</v>
      </c>
    </row>
    <row r="101" spans="9:9" x14ac:dyDescent="0.2">
      <c r="I101" s="4" t="s">
        <v>192</v>
      </c>
    </row>
    <row r="102" spans="9:9" x14ac:dyDescent="0.2">
      <c r="I102" s="4" t="s">
        <v>193</v>
      </c>
    </row>
    <row r="103" spans="9:9" x14ac:dyDescent="0.2">
      <c r="I103" s="4" t="s">
        <v>250</v>
      </c>
    </row>
    <row r="104" spans="9:9" x14ac:dyDescent="0.2">
      <c r="I104" s="4" t="s">
        <v>251</v>
      </c>
    </row>
    <row r="105" spans="9:9" x14ac:dyDescent="0.2">
      <c r="I105" s="4" t="s">
        <v>252</v>
      </c>
    </row>
    <row r="106" spans="9:9" x14ac:dyDescent="0.2">
      <c r="I106" s="4" t="s">
        <v>253</v>
      </c>
    </row>
    <row r="107" spans="9:9" x14ac:dyDescent="0.2">
      <c r="I107" s="4" t="s">
        <v>254</v>
      </c>
    </row>
    <row r="108" spans="9:9" x14ac:dyDescent="0.2">
      <c r="I108" s="4" t="s">
        <v>255</v>
      </c>
    </row>
    <row r="109" spans="9:9" x14ac:dyDescent="0.2">
      <c r="I109" s="4" t="s">
        <v>194</v>
      </c>
    </row>
    <row r="110" spans="9:9" x14ac:dyDescent="0.2">
      <c r="I110" s="4" t="s">
        <v>195</v>
      </c>
    </row>
    <row r="111" spans="9:9" x14ac:dyDescent="0.2">
      <c r="I111" s="4" t="s">
        <v>196</v>
      </c>
    </row>
    <row r="112" spans="9:9" x14ac:dyDescent="0.2">
      <c r="I112" s="4" t="s">
        <v>256</v>
      </c>
    </row>
    <row r="113" spans="9:9" x14ac:dyDescent="0.2">
      <c r="I113" s="4" t="s">
        <v>197</v>
      </c>
    </row>
    <row r="114" spans="9:9" x14ac:dyDescent="0.2">
      <c r="I114" s="4" t="s">
        <v>198</v>
      </c>
    </row>
    <row r="115" spans="9:9" x14ac:dyDescent="0.2">
      <c r="I115" s="4" t="s">
        <v>199</v>
      </c>
    </row>
    <row r="116" spans="9:9" x14ac:dyDescent="0.2">
      <c r="I116" s="4" t="s">
        <v>257</v>
      </c>
    </row>
    <row r="117" spans="9:9" x14ac:dyDescent="0.2">
      <c r="I117" s="4" t="s">
        <v>258</v>
      </c>
    </row>
    <row r="118" spans="9:9" ht="15" x14ac:dyDescent="0.25">
      <c r="I118"/>
    </row>
    <row r="119" spans="9:9" ht="15" x14ac:dyDescent="0.25">
      <c r="I119"/>
    </row>
    <row r="120" spans="9:9" ht="15" x14ac:dyDescent="0.25">
      <c r="I120"/>
    </row>
    <row r="121" spans="9:9" ht="15" x14ac:dyDescent="0.25">
      <c r="I121"/>
    </row>
    <row r="122" spans="9:9" ht="15" x14ac:dyDescent="0.25">
      <c r="I122"/>
    </row>
    <row r="123" spans="9:9" ht="15" x14ac:dyDescent="0.25">
      <c r="I123"/>
    </row>
    <row r="124" spans="9:9" ht="15" x14ac:dyDescent="0.25">
      <c r="I124"/>
    </row>
    <row r="125" spans="9:9" ht="15" x14ac:dyDescent="0.25">
      <c r="I125"/>
    </row>
    <row r="126" spans="9:9" ht="15" x14ac:dyDescent="0.25">
      <c r="I126"/>
    </row>
    <row r="127" spans="9:9" ht="15" x14ac:dyDescent="0.25">
      <c r="I127"/>
    </row>
    <row r="128" spans="9:9" ht="15" x14ac:dyDescent="0.25">
      <c r="I128"/>
    </row>
    <row r="129" spans="9:9" ht="15" x14ac:dyDescent="0.25">
      <c r="I129"/>
    </row>
    <row r="130" spans="9:9" ht="15" x14ac:dyDescent="0.25">
      <c r="I130"/>
    </row>
    <row r="131" spans="9:9" ht="15" x14ac:dyDescent="0.25">
      <c r="I131"/>
    </row>
    <row r="132" spans="9:9" ht="15" x14ac:dyDescent="0.25">
      <c r="I132"/>
    </row>
    <row r="133" spans="9:9" ht="15" x14ac:dyDescent="0.25">
      <c r="I133"/>
    </row>
    <row r="134" spans="9:9" ht="15" x14ac:dyDescent="0.25">
      <c r="I134"/>
    </row>
    <row r="135" spans="9:9" ht="15" x14ac:dyDescent="0.25">
      <c r="I135"/>
    </row>
    <row r="136" spans="9:9" ht="15" x14ac:dyDescent="0.25">
      <c r="I136"/>
    </row>
    <row r="137" spans="9:9" ht="15" x14ac:dyDescent="0.25">
      <c r="I137"/>
    </row>
    <row r="138" spans="9:9" ht="15" x14ac:dyDescent="0.25">
      <c r="I138"/>
    </row>
    <row r="139" spans="9:9" ht="15" x14ac:dyDescent="0.25">
      <c r="I139"/>
    </row>
    <row r="140" spans="9:9" ht="15" x14ac:dyDescent="0.25">
      <c r="I140"/>
    </row>
    <row r="141" spans="9:9" ht="15" x14ac:dyDescent="0.25">
      <c r="I141"/>
    </row>
    <row r="142" spans="9:9" ht="15" x14ac:dyDescent="0.25">
      <c r="I142"/>
    </row>
    <row r="143" spans="9:9" ht="15" x14ac:dyDescent="0.25">
      <c r="I143"/>
    </row>
    <row r="144" spans="9:9" ht="15" x14ac:dyDescent="0.25">
      <c r="I144"/>
    </row>
    <row r="145" spans="9:9" ht="15" x14ac:dyDescent="0.25">
      <c r="I145"/>
    </row>
    <row r="146" spans="9:9" ht="15" x14ac:dyDescent="0.25">
      <c r="I146"/>
    </row>
    <row r="147" spans="9:9" ht="15" x14ac:dyDescent="0.25">
      <c r="I147"/>
    </row>
    <row r="148" spans="9:9" ht="15" x14ac:dyDescent="0.25">
      <c r="I148"/>
    </row>
    <row r="149" spans="9:9" ht="15" x14ac:dyDescent="0.25">
      <c r="I149"/>
    </row>
    <row r="150" spans="9:9" ht="15" x14ac:dyDescent="0.25">
      <c r="I150"/>
    </row>
    <row r="151" spans="9:9" ht="15" x14ac:dyDescent="0.25">
      <c r="I151"/>
    </row>
    <row r="152" spans="9:9" ht="15" x14ac:dyDescent="0.25">
      <c r="I152"/>
    </row>
    <row r="153" spans="9:9" ht="15" x14ac:dyDescent="0.25">
      <c r="I153"/>
    </row>
    <row r="154" spans="9:9" ht="15" x14ac:dyDescent="0.25">
      <c r="I154"/>
    </row>
    <row r="155" spans="9:9" ht="15" x14ac:dyDescent="0.25">
      <c r="I155"/>
    </row>
    <row r="156" spans="9:9" ht="15" x14ac:dyDescent="0.25">
      <c r="I156"/>
    </row>
    <row r="157" spans="9:9" ht="15" x14ac:dyDescent="0.25">
      <c r="I157"/>
    </row>
    <row r="158" spans="9:9" ht="15" x14ac:dyDescent="0.25">
      <c r="I158"/>
    </row>
    <row r="159" spans="9:9" ht="15" x14ac:dyDescent="0.25">
      <c r="I159"/>
    </row>
    <row r="160" spans="9:9" ht="15" x14ac:dyDescent="0.25">
      <c r="I160"/>
    </row>
    <row r="161" spans="9:9" ht="15" x14ac:dyDescent="0.25">
      <c r="I161"/>
    </row>
    <row r="162" spans="9:9" ht="15" x14ac:dyDescent="0.25">
      <c r="I162"/>
    </row>
    <row r="163" spans="9:9" ht="15" x14ac:dyDescent="0.25">
      <c r="I163"/>
    </row>
    <row r="164" spans="9:9" ht="15" x14ac:dyDescent="0.25">
      <c r="I164"/>
    </row>
    <row r="165" spans="9:9" ht="15" x14ac:dyDescent="0.25">
      <c r="I165"/>
    </row>
    <row r="166" spans="9:9" ht="15" x14ac:dyDescent="0.25">
      <c r="I166"/>
    </row>
    <row r="167" spans="9:9" ht="15" x14ac:dyDescent="0.25">
      <c r="I167"/>
    </row>
    <row r="168" spans="9:9" ht="15" x14ac:dyDescent="0.25">
      <c r="I168"/>
    </row>
    <row r="169" spans="9:9" ht="15" x14ac:dyDescent="0.25">
      <c r="I169"/>
    </row>
    <row r="170" spans="9:9" ht="15" x14ac:dyDescent="0.25">
      <c r="I170"/>
    </row>
    <row r="171" spans="9:9" ht="15" x14ac:dyDescent="0.25">
      <c r="I171"/>
    </row>
    <row r="172" spans="9:9" ht="15" x14ac:dyDescent="0.25">
      <c r="I172"/>
    </row>
    <row r="173" spans="9:9" ht="15" x14ac:dyDescent="0.25">
      <c r="I173"/>
    </row>
    <row r="174" spans="9:9" ht="15" x14ac:dyDescent="0.25">
      <c r="I174"/>
    </row>
    <row r="175" spans="9:9" ht="15" x14ac:dyDescent="0.25">
      <c r="I175"/>
    </row>
    <row r="176" spans="9:9" ht="15" x14ac:dyDescent="0.25">
      <c r="I176"/>
    </row>
    <row r="177" spans="9:9" ht="15" x14ac:dyDescent="0.25">
      <c r="I177"/>
    </row>
    <row r="178" spans="9:9" ht="15" x14ac:dyDescent="0.25">
      <c r="I178"/>
    </row>
    <row r="179" spans="9:9" ht="15" x14ac:dyDescent="0.25">
      <c r="I179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656"/>
  <sheetViews>
    <sheetView topLeftCell="F1" workbookViewId="0"/>
  </sheetViews>
  <sheetFormatPr defaultRowHeight="15" x14ac:dyDescent="0.25"/>
  <cols>
    <col min="5" max="5" width="7.7109375" customWidth="1"/>
    <col min="6" max="6" width="10.7109375" customWidth="1"/>
    <col min="7" max="7" width="12.85546875" customWidth="1"/>
    <col min="8" max="8" width="32.140625" bestFit="1" customWidth="1"/>
    <col min="9" max="9" width="32.140625" style="211" customWidth="1"/>
    <col min="10" max="19" width="32.140625" customWidth="1"/>
    <col min="20" max="20" width="32.140625" style="211" customWidth="1"/>
    <col min="21" max="22" width="10.7109375" customWidth="1"/>
    <col min="23" max="24" width="13.140625" customWidth="1"/>
    <col min="25" max="26" width="10.5703125" customWidth="1"/>
    <col min="27" max="28" width="10.7109375" customWidth="1"/>
    <col min="29" max="32" width="28.42578125" customWidth="1"/>
    <col min="33" max="34" width="5.7109375" customWidth="1"/>
    <col min="35" max="36" width="18.42578125" customWidth="1"/>
    <col min="37" max="38" width="14" customWidth="1"/>
    <col min="39" max="40" width="11.42578125" customWidth="1"/>
    <col min="41" max="42" width="10.7109375" customWidth="1"/>
    <col min="43" max="43" width="14.85546875" customWidth="1"/>
    <col min="44" max="44" width="7.5703125" customWidth="1"/>
    <col min="45" max="45" width="12" customWidth="1"/>
    <col min="46" max="46" width="10.7109375" customWidth="1"/>
    <col min="47" max="48" width="12.7109375" customWidth="1"/>
    <col min="49" max="49" width="11.28515625" customWidth="1"/>
    <col min="50" max="53" width="10.7109375" customWidth="1"/>
    <col min="54" max="54" width="13.140625" customWidth="1"/>
    <col min="55" max="55" width="13.85546875" customWidth="1"/>
    <col min="56" max="56" width="13.42578125" customWidth="1"/>
    <col min="57" max="57" width="12.7109375" customWidth="1"/>
    <col min="58" max="58" width="17.140625" customWidth="1"/>
    <col min="59" max="59" width="19.28515625" customWidth="1"/>
    <col min="60" max="60" width="10.7109375" customWidth="1"/>
    <col min="61" max="62" width="18.5703125" customWidth="1"/>
    <col min="63" max="63" width="13.140625" customWidth="1"/>
    <col min="64" max="64" width="17.5703125" customWidth="1"/>
    <col min="65" max="65" width="10.7109375" customWidth="1"/>
    <col min="287" max="287" width="7.7109375" customWidth="1"/>
    <col min="288" max="288" width="10.7109375" customWidth="1"/>
    <col min="289" max="289" width="12.85546875" customWidth="1"/>
    <col min="290" max="290" width="10.7109375" customWidth="1"/>
    <col min="291" max="291" width="13.140625" customWidth="1"/>
    <col min="292" max="292" width="10.5703125" customWidth="1"/>
    <col min="293" max="293" width="10.7109375" customWidth="1"/>
    <col min="294" max="294" width="28.42578125" customWidth="1"/>
    <col min="295" max="295" width="5.7109375" customWidth="1"/>
    <col min="296" max="296" width="18.42578125" customWidth="1"/>
    <col min="297" max="297" width="14" customWidth="1"/>
    <col min="298" max="298" width="11.42578125" customWidth="1"/>
    <col min="299" max="299" width="10.7109375" customWidth="1"/>
    <col min="300" max="300" width="14.85546875" customWidth="1"/>
    <col min="301" max="301" width="7.5703125" customWidth="1"/>
    <col min="302" max="302" width="12" customWidth="1"/>
    <col min="303" max="303" width="10.7109375" customWidth="1"/>
    <col min="304" max="304" width="12.7109375" customWidth="1"/>
    <col min="305" max="305" width="11.28515625" customWidth="1"/>
    <col min="306" max="309" width="10.7109375" customWidth="1"/>
    <col min="310" max="310" width="13.140625" customWidth="1"/>
    <col min="311" max="311" width="13.85546875" customWidth="1"/>
    <col min="312" max="312" width="13.42578125" customWidth="1"/>
    <col min="313" max="313" width="12.7109375" customWidth="1"/>
    <col min="314" max="314" width="17.140625" customWidth="1"/>
    <col min="315" max="315" width="19.28515625" customWidth="1"/>
    <col min="316" max="316" width="10.7109375" customWidth="1"/>
    <col min="317" max="318" width="18.5703125" customWidth="1"/>
    <col min="319" max="319" width="13.140625" customWidth="1"/>
    <col min="320" max="320" width="17.5703125" customWidth="1"/>
    <col min="321" max="321" width="10.7109375" customWidth="1"/>
    <col min="543" max="543" width="7.7109375" customWidth="1"/>
    <col min="544" max="544" width="10.7109375" customWidth="1"/>
    <col min="545" max="545" width="12.85546875" customWidth="1"/>
    <col min="546" max="546" width="10.7109375" customWidth="1"/>
    <col min="547" max="547" width="13.140625" customWidth="1"/>
    <col min="548" max="548" width="10.5703125" customWidth="1"/>
    <col min="549" max="549" width="10.7109375" customWidth="1"/>
    <col min="550" max="550" width="28.42578125" customWidth="1"/>
    <col min="551" max="551" width="5.7109375" customWidth="1"/>
    <col min="552" max="552" width="18.42578125" customWidth="1"/>
    <col min="553" max="553" width="14" customWidth="1"/>
    <col min="554" max="554" width="11.42578125" customWidth="1"/>
    <col min="555" max="555" width="10.7109375" customWidth="1"/>
    <col min="556" max="556" width="14.85546875" customWidth="1"/>
    <col min="557" max="557" width="7.5703125" customWidth="1"/>
    <col min="558" max="558" width="12" customWidth="1"/>
    <col min="559" max="559" width="10.7109375" customWidth="1"/>
    <col min="560" max="560" width="12.7109375" customWidth="1"/>
    <col min="561" max="561" width="11.28515625" customWidth="1"/>
    <col min="562" max="565" width="10.7109375" customWidth="1"/>
    <col min="566" max="566" width="13.140625" customWidth="1"/>
    <col min="567" max="567" width="13.85546875" customWidth="1"/>
    <col min="568" max="568" width="13.42578125" customWidth="1"/>
    <col min="569" max="569" width="12.7109375" customWidth="1"/>
    <col min="570" max="570" width="17.140625" customWidth="1"/>
    <col min="571" max="571" width="19.28515625" customWidth="1"/>
    <col min="572" max="572" width="10.7109375" customWidth="1"/>
    <col min="573" max="574" width="18.5703125" customWidth="1"/>
    <col min="575" max="575" width="13.140625" customWidth="1"/>
    <col min="576" max="576" width="17.5703125" customWidth="1"/>
    <col min="577" max="577" width="10.7109375" customWidth="1"/>
    <col min="799" max="799" width="7.7109375" customWidth="1"/>
    <col min="800" max="800" width="10.7109375" customWidth="1"/>
    <col min="801" max="801" width="12.85546875" customWidth="1"/>
    <col min="802" max="802" width="10.7109375" customWidth="1"/>
    <col min="803" max="803" width="13.140625" customWidth="1"/>
    <col min="804" max="804" width="10.5703125" customWidth="1"/>
    <col min="805" max="805" width="10.7109375" customWidth="1"/>
    <col min="806" max="806" width="28.42578125" customWidth="1"/>
    <col min="807" max="807" width="5.7109375" customWidth="1"/>
    <col min="808" max="808" width="18.42578125" customWidth="1"/>
    <col min="809" max="809" width="14" customWidth="1"/>
    <col min="810" max="810" width="11.42578125" customWidth="1"/>
    <col min="811" max="811" width="10.7109375" customWidth="1"/>
    <col min="812" max="812" width="14.85546875" customWidth="1"/>
    <col min="813" max="813" width="7.5703125" customWidth="1"/>
    <col min="814" max="814" width="12" customWidth="1"/>
    <col min="815" max="815" width="10.7109375" customWidth="1"/>
    <col min="816" max="816" width="12.7109375" customWidth="1"/>
    <col min="817" max="817" width="11.28515625" customWidth="1"/>
    <col min="818" max="821" width="10.7109375" customWidth="1"/>
    <col min="822" max="822" width="13.140625" customWidth="1"/>
    <col min="823" max="823" width="13.85546875" customWidth="1"/>
    <col min="824" max="824" width="13.42578125" customWidth="1"/>
    <col min="825" max="825" width="12.7109375" customWidth="1"/>
    <col min="826" max="826" width="17.140625" customWidth="1"/>
    <col min="827" max="827" width="19.28515625" customWidth="1"/>
    <col min="828" max="828" width="10.7109375" customWidth="1"/>
    <col min="829" max="830" width="18.5703125" customWidth="1"/>
    <col min="831" max="831" width="13.140625" customWidth="1"/>
    <col min="832" max="832" width="17.5703125" customWidth="1"/>
    <col min="833" max="833" width="10.7109375" customWidth="1"/>
    <col min="1055" max="1055" width="7.7109375" customWidth="1"/>
    <col min="1056" max="1056" width="10.7109375" customWidth="1"/>
    <col min="1057" max="1057" width="12.85546875" customWidth="1"/>
    <col min="1058" max="1058" width="10.7109375" customWidth="1"/>
    <col min="1059" max="1059" width="13.140625" customWidth="1"/>
    <col min="1060" max="1060" width="10.5703125" customWidth="1"/>
    <col min="1061" max="1061" width="10.7109375" customWidth="1"/>
    <col min="1062" max="1062" width="28.42578125" customWidth="1"/>
    <col min="1063" max="1063" width="5.7109375" customWidth="1"/>
    <col min="1064" max="1064" width="18.42578125" customWidth="1"/>
    <col min="1065" max="1065" width="14" customWidth="1"/>
    <col min="1066" max="1066" width="11.42578125" customWidth="1"/>
    <col min="1067" max="1067" width="10.7109375" customWidth="1"/>
    <col min="1068" max="1068" width="14.85546875" customWidth="1"/>
    <col min="1069" max="1069" width="7.5703125" customWidth="1"/>
    <col min="1070" max="1070" width="12" customWidth="1"/>
    <col min="1071" max="1071" width="10.7109375" customWidth="1"/>
    <col min="1072" max="1072" width="12.7109375" customWidth="1"/>
    <col min="1073" max="1073" width="11.28515625" customWidth="1"/>
    <col min="1074" max="1077" width="10.7109375" customWidth="1"/>
    <col min="1078" max="1078" width="13.140625" customWidth="1"/>
    <col min="1079" max="1079" width="13.85546875" customWidth="1"/>
    <col min="1080" max="1080" width="13.42578125" customWidth="1"/>
    <col min="1081" max="1081" width="12.7109375" customWidth="1"/>
    <col min="1082" max="1082" width="17.140625" customWidth="1"/>
    <col min="1083" max="1083" width="19.28515625" customWidth="1"/>
    <col min="1084" max="1084" width="10.7109375" customWidth="1"/>
    <col min="1085" max="1086" width="18.5703125" customWidth="1"/>
    <col min="1087" max="1087" width="13.140625" customWidth="1"/>
    <col min="1088" max="1088" width="17.5703125" customWidth="1"/>
    <col min="1089" max="1089" width="10.7109375" customWidth="1"/>
    <col min="1311" max="1311" width="7.7109375" customWidth="1"/>
    <col min="1312" max="1312" width="10.7109375" customWidth="1"/>
    <col min="1313" max="1313" width="12.85546875" customWidth="1"/>
    <col min="1314" max="1314" width="10.7109375" customWidth="1"/>
    <col min="1315" max="1315" width="13.140625" customWidth="1"/>
    <col min="1316" max="1316" width="10.5703125" customWidth="1"/>
    <col min="1317" max="1317" width="10.7109375" customWidth="1"/>
    <col min="1318" max="1318" width="28.42578125" customWidth="1"/>
    <col min="1319" max="1319" width="5.7109375" customWidth="1"/>
    <col min="1320" max="1320" width="18.42578125" customWidth="1"/>
    <col min="1321" max="1321" width="14" customWidth="1"/>
    <col min="1322" max="1322" width="11.42578125" customWidth="1"/>
    <col min="1323" max="1323" width="10.7109375" customWidth="1"/>
    <col min="1324" max="1324" width="14.85546875" customWidth="1"/>
    <col min="1325" max="1325" width="7.5703125" customWidth="1"/>
    <col min="1326" max="1326" width="12" customWidth="1"/>
    <col min="1327" max="1327" width="10.7109375" customWidth="1"/>
    <col min="1328" max="1328" width="12.7109375" customWidth="1"/>
    <col min="1329" max="1329" width="11.28515625" customWidth="1"/>
    <col min="1330" max="1333" width="10.7109375" customWidth="1"/>
    <col min="1334" max="1334" width="13.140625" customWidth="1"/>
    <col min="1335" max="1335" width="13.85546875" customWidth="1"/>
    <col min="1336" max="1336" width="13.42578125" customWidth="1"/>
    <col min="1337" max="1337" width="12.7109375" customWidth="1"/>
    <col min="1338" max="1338" width="17.140625" customWidth="1"/>
    <col min="1339" max="1339" width="19.28515625" customWidth="1"/>
    <col min="1340" max="1340" width="10.7109375" customWidth="1"/>
    <col min="1341" max="1342" width="18.5703125" customWidth="1"/>
    <col min="1343" max="1343" width="13.140625" customWidth="1"/>
    <col min="1344" max="1344" width="17.5703125" customWidth="1"/>
    <col min="1345" max="1345" width="10.7109375" customWidth="1"/>
    <col min="1567" max="1567" width="7.7109375" customWidth="1"/>
    <col min="1568" max="1568" width="10.7109375" customWidth="1"/>
    <col min="1569" max="1569" width="12.85546875" customWidth="1"/>
    <col min="1570" max="1570" width="10.7109375" customWidth="1"/>
    <col min="1571" max="1571" width="13.140625" customWidth="1"/>
    <col min="1572" max="1572" width="10.5703125" customWidth="1"/>
    <col min="1573" max="1573" width="10.7109375" customWidth="1"/>
    <col min="1574" max="1574" width="28.42578125" customWidth="1"/>
    <col min="1575" max="1575" width="5.7109375" customWidth="1"/>
    <col min="1576" max="1576" width="18.42578125" customWidth="1"/>
    <col min="1577" max="1577" width="14" customWidth="1"/>
    <col min="1578" max="1578" width="11.42578125" customWidth="1"/>
    <col min="1579" max="1579" width="10.7109375" customWidth="1"/>
    <col min="1580" max="1580" width="14.85546875" customWidth="1"/>
    <col min="1581" max="1581" width="7.5703125" customWidth="1"/>
    <col min="1582" max="1582" width="12" customWidth="1"/>
    <col min="1583" max="1583" width="10.7109375" customWidth="1"/>
    <col min="1584" max="1584" width="12.7109375" customWidth="1"/>
    <col min="1585" max="1585" width="11.28515625" customWidth="1"/>
    <col min="1586" max="1589" width="10.7109375" customWidth="1"/>
    <col min="1590" max="1590" width="13.140625" customWidth="1"/>
    <col min="1591" max="1591" width="13.85546875" customWidth="1"/>
    <col min="1592" max="1592" width="13.42578125" customWidth="1"/>
    <col min="1593" max="1593" width="12.7109375" customWidth="1"/>
    <col min="1594" max="1594" width="17.140625" customWidth="1"/>
    <col min="1595" max="1595" width="19.28515625" customWidth="1"/>
    <col min="1596" max="1596" width="10.7109375" customWidth="1"/>
    <col min="1597" max="1598" width="18.5703125" customWidth="1"/>
    <col min="1599" max="1599" width="13.140625" customWidth="1"/>
    <col min="1600" max="1600" width="17.5703125" customWidth="1"/>
    <col min="1601" max="1601" width="10.7109375" customWidth="1"/>
    <col min="1823" max="1823" width="7.7109375" customWidth="1"/>
    <col min="1824" max="1824" width="10.7109375" customWidth="1"/>
    <col min="1825" max="1825" width="12.85546875" customWidth="1"/>
    <col min="1826" max="1826" width="10.7109375" customWidth="1"/>
    <col min="1827" max="1827" width="13.140625" customWidth="1"/>
    <col min="1828" max="1828" width="10.5703125" customWidth="1"/>
    <col min="1829" max="1829" width="10.7109375" customWidth="1"/>
    <col min="1830" max="1830" width="28.42578125" customWidth="1"/>
    <col min="1831" max="1831" width="5.7109375" customWidth="1"/>
    <col min="1832" max="1832" width="18.42578125" customWidth="1"/>
    <col min="1833" max="1833" width="14" customWidth="1"/>
    <col min="1834" max="1834" width="11.42578125" customWidth="1"/>
    <col min="1835" max="1835" width="10.7109375" customWidth="1"/>
    <col min="1836" max="1836" width="14.85546875" customWidth="1"/>
    <col min="1837" max="1837" width="7.5703125" customWidth="1"/>
    <col min="1838" max="1838" width="12" customWidth="1"/>
    <col min="1839" max="1839" width="10.7109375" customWidth="1"/>
    <col min="1840" max="1840" width="12.7109375" customWidth="1"/>
    <col min="1841" max="1841" width="11.28515625" customWidth="1"/>
    <col min="1842" max="1845" width="10.7109375" customWidth="1"/>
    <col min="1846" max="1846" width="13.140625" customWidth="1"/>
    <col min="1847" max="1847" width="13.85546875" customWidth="1"/>
    <col min="1848" max="1848" width="13.42578125" customWidth="1"/>
    <col min="1849" max="1849" width="12.7109375" customWidth="1"/>
    <col min="1850" max="1850" width="17.140625" customWidth="1"/>
    <col min="1851" max="1851" width="19.28515625" customWidth="1"/>
    <col min="1852" max="1852" width="10.7109375" customWidth="1"/>
    <col min="1853" max="1854" width="18.5703125" customWidth="1"/>
    <col min="1855" max="1855" width="13.140625" customWidth="1"/>
    <col min="1856" max="1856" width="17.5703125" customWidth="1"/>
    <col min="1857" max="1857" width="10.7109375" customWidth="1"/>
    <col min="2079" max="2079" width="7.7109375" customWidth="1"/>
    <col min="2080" max="2080" width="10.7109375" customWidth="1"/>
    <col min="2081" max="2081" width="12.85546875" customWidth="1"/>
    <col min="2082" max="2082" width="10.7109375" customWidth="1"/>
    <col min="2083" max="2083" width="13.140625" customWidth="1"/>
    <col min="2084" max="2084" width="10.5703125" customWidth="1"/>
    <col min="2085" max="2085" width="10.7109375" customWidth="1"/>
    <col min="2086" max="2086" width="28.42578125" customWidth="1"/>
    <col min="2087" max="2087" width="5.7109375" customWidth="1"/>
    <col min="2088" max="2088" width="18.42578125" customWidth="1"/>
    <col min="2089" max="2089" width="14" customWidth="1"/>
    <col min="2090" max="2090" width="11.42578125" customWidth="1"/>
    <col min="2091" max="2091" width="10.7109375" customWidth="1"/>
    <col min="2092" max="2092" width="14.85546875" customWidth="1"/>
    <col min="2093" max="2093" width="7.5703125" customWidth="1"/>
    <col min="2094" max="2094" width="12" customWidth="1"/>
    <col min="2095" max="2095" width="10.7109375" customWidth="1"/>
    <col min="2096" max="2096" width="12.7109375" customWidth="1"/>
    <col min="2097" max="2097" width="11.28515625" customWidth="1"/>
    <col min="2098" max="2101" width="10.7109375" customWidth="1"/>
    <col min="2102" max="2102" width="13.140625" customWidth="1"/>
    <col min="2103" max="2103" width="13.85546875" customWidth="1"/>
    <col min="2104" max="2104" width="13.42578125" customWidth="1"/>
    <col min="2105" max="2105" width="12.7109375" customWidth="1"/>
    <col min="2106" max="2106" width="17.140625" customWidth="1"/>
    <col min="2107" max="2107" width="19.28515625" customWidth="1"/>
    <col min="2108" max="2108" width="10.7109375" customWidth="1"/>
    <col min="2109" max="2110" width="18.5703125" customWidth="1"/>
    <col min="2111" max="2111" width="13.140625" customWidth="1"/>
    <col min="2112" max="2112" width="17.5703125" customWidth="1"/>
    <col min="2113" max="2113" width="10.7109375" customWidth="1"/>
    <col min="2335" max="2335" width="7.7109375" customWidth="1"/>
    <col min="2336" max="2336" width="10.7109375" customWidth="1"/>
    <col min="2337" max="2337" width="12.85546875" customWidth="1"/>
    <col min="2338" max="2338" width="10.7109375" customWidth="1"/>
    <col min="2339" max="2339" width="13.140625" customWidth="1"/>
    <col min="2340" max="2340" width="10.5703125" customWidth="1"/>
    <col min="2341" max="2341" width="10.7109375" customWidth="1"/>
    <col min="2342" max="2342" width="28.42578125" customWidth="1"/>
    <col min="2343" max="2343" width="5.7109375" customWidth="1"/>
    <col min="2344" max="2344" width="18.42578125" customWidth="1"/>
    <col min="2345" max="2345" width="14" customWidth="1"/>
    <col min="2346" max="2346" width="11.42578125" customWidth="1"/>
    <col min="2347" max="2347" width="10.7109375" customWidth="1"/>
    <col min="2348" max="2348" width="14.85546875" customWidth="1"/>
    <col min="2349" max="2349" width="7.5703125" customWidth="1"/>
    <col min="2350" max="2350" width="12" customWidth="1"/>
    <col min="2351" max="2351" width="10.7109375" customWidth="1"/>
    <col min="2352" max="2352" width="12.7109375" customWidth="1"/>
    <col min="2353" max="2353" width="11.28515625" customWidth="1"/>
    <col min="2354" max="2357" width="10.7109375" customWidth="1"/>
    <col min="2358" max="2358" width="13.140625" customWidth="1"/>
    <col min="2359" max="2359" width="13.85546875" customWidth="1"/>
    <col min="2360" max="2360" width="13.42578125" customWidth="1"/>
    <col min="2361" max="2361" width="12.7109375" customWidth="1"/>
    <col min="2362" max="2362" width="17.140625" customWidth="1"/>
    <col min="2363" max="2363" width="19.28515625" customWidth="1"/>
    <col min="2364" max="2364" width="10.7109375" customWidth="1"/>
    <col min="2365" max="2366" width="18.5703125" customWidth="1"/>
    <col min="2367" max="2367" width="13.140625" customWidth="1"/>
    <col min="2368" max="2368" width="17.5703125" customWidth="1"/>
    <col min="2369" max="2369" width="10.7109375" customWidth="1"/>
    <col min="2591" max="2591" width="7.7109375" customWidth="1"/>
    <col min="2592" max="2592" width="10.7109375" customWidth="1"/>
    <col min="2593" max="2593" width="12.85546875" customWidth="1"/>
    <col min="2594" max="2594" width="10.7109375" customWidth="1"/>
    <col min="2595" max="2595" width="13.140625" customWidth="1"/>
    <col min="2596" max="2596" width="10.5703125" customWidth="1"/>
    <col min="2597" max="2597" width="10.7109375" customWidth="1"/>
    <col min="2598" max="2598" width="28.42578125" customWidth="1"/>
    <col min="2599" max="2599" width="5.7109375" customWidth="1"/>
    <col min="2600" max="2600" width="18.42578125" customWidth="1"/>
    <col min="2601" max="2601" width="14" customWidth="1"/>
    <col min="2602" max="2602" width="11.42578125" customWidth="1"/>
    <col min="2603" max="2603" width="10.7109375" customWidth="1"/>
    <col min="2604" max="2604" width="14.85546875" customWidth="1"/>
    <col min="2605" max="2605" width="7.5703125" customWidth="1"/>
    <col min="2606" max="2606" width="12" customWidth="1"/>
    <col min="2607" max="2607" width="10.7109375" customWidth="1"/>
    <col min="2608" max="2608" width="12.7109375" customWidth="1"/>
    <col min="2609" max="2609" width="11.28515625" customWidth="1"/>
    <col min="2610" max="2613" width="10.7109375" customWidth="1"/>
    <col min="2614" max="2614" width="13.140625" customWidth="1"/>
    <col min="2615" max="2615" width="13.85546875" customWidth="1"/>
    <col min="2616" max="2616" width="13.42578125" customWidth="1"/>
    <col min="2617" max="2617" width="12.7109375" customWidth="1"/>
    <col min="2618" max="2618" width="17.140625" customWidth="1"/>
    <col min="2619" max="2619" width="19.28515625" customWidth="1"/>
    <col min="2620" max="2620" width="10.7109375" customWidth="1"/>
    <col min="2621" max="2622" width="18.5703125" customWidth="1"/>
    <col min="2623" max="2623" width="13.140625" customWidth="1"/>
    <col min="2624" max="2624" width="17.5703125" customWidth="1"/>
    <col min="2625" max="2625" width="10.7109375" customWidth="1"/>
    <col min="2847" max="2847" width="7.7109375" customWidth="1"/>
    <col min="2848" max="2848" width="10.7109375" customWidth="1"/>
    <col min="2849" max="2849" width="12.85546875" customWidth="1"/>
    <col min="2850" max="2850" width="10.7109375" customWidth="1"/>
    <col min="2851" max="2851" width="13.140625" customWidth="1"/>
    <col min="2852" max="2852" width="10.5703125" customWidth="1"/>
    <col min="2853" max="2853" width="10.7109375" customWidth="1"/>
    <col min="2854" max="2854" width="28.42578125" customWidth="1"/>
    <col min="2855" max="2855" width="5.7109375" customWidth="1"/>
    <col min="2856" max="2856" width="18.42578125" customWidth="1"/>
    <col min="2857" max="2857" width="14" customWidth="1"/>
    <col min="2858" max="2858" width="11.42578125" customWidth="1"/>
    <col min="2859" max="2859" width="10.7109375" customWidth="1"/>
    <col min="2860" max="2860" width="14.85546875" customWidth="1"/>
    <col min="2861" max="2861" width="7.5703125" customWidth="1"/>
    <col min="2862" max="2862" width="12" customWidth="1"/>
    <col min="2863" max="2863" width="10.7109375" customWidth="1"/>
    <col min="2864" max="2864" width="12.7109375" customWidth="1"/>
    <col min="2865" max="2865" width="11.28515625" customWidth="1"/>
    <col min="2866" max="2869" width="10.7109375" customWidth="1"/>
    <col min="2870" max="2870" width="13.140625" customWidth="1"/>
    <col min="2871" max="2871" width="13.85546875" customWidth="1"/>
    <col min="2872" max="2872" width="13.42578125" customWidth="1"/>
    <col min="2873" max="2873" width="12.7109375" customWidth="1"/>
    <col min="2874" max="2874" width="17.140625" customWidth="1"/>
    <col min="2875" max="2875" width="19.28515625" customWidth="1"/>
    <col min="2876" max="2876" width="10.7109375" customWidth="1"/>
    <col min="2877" max="2878" width="18.5703125" customWidth="1"/>
    <col min="2879" max="2879" width="13.140625" customWidth="1"/>
    <col min="2880" max="2880" width="17.5703125" customWidth="1"/>
    <col min="2881" max="2881" width="10.7109375" customWidth="1"/>
    <col min="3103" max="3103" width="7.7109375" customWidth="1"/>
    <col min="3104" max="3104" width="10.7109375" customWidth="1"/>
    <col min="3105" max="3105" width="12.85546875" customWidth="1"/>
    <col min="3106" max="3106" width="10.7109375" customWidth="1"/>
    <col min="3107" max="3107" width="13.140625" customWidth="1"/>
    <col min="3108" max="3108" width="10.5703125" customWidth="1"/>
    <col min="3109" max="3109" width="10.7109375" customWidth="1"/>
    <col min="3110" max="3110" width="28.42578125" customWidth="1"/>
    <col min="3111" max="3111" width="5.7109375" customWidth="1"/>
    <col min="3112" max="3112" width="18.42578125" customWidth="1"/>
    <col min="3113" max="3113" width="14" customWidth="1"/>
    <col min="3114" max="3114" width="11.42578125" customWidth="1"/>
    <col min="3115" max="3115" width="10.7109375" customWidth="1"/>
    <col min="3116" max="3116" width="14.85546875" customWidth="1"/>
    <col min="3117" max="3117" width="7.5703125" customWidth="1"/>
    <col min="3118" max="3118" width="12" customWidth="1"/>
    <col min="3119" max="3119" width="10.7109375" customWidth="1"/>
    <col min="3120" max="3120" width="12.7109375" customWidth="1"/>
    <col min="3121" max="3121" width="11.28515625" customWidth="1"/>
    <col min="3122" max="3125" width="10.7109375" customWidth="1"/>
    <col min="3126" max="3126" width="13.140625" customWidth="1"/>
    <col min="3127" max="3127" width="13.85546875" customWidth="1"/>
    <col min="3128" max="3128" width="13.42578125" customWidth="1"/>
    <col min="3129" max="3129" width="12.7109375" customWidth="1"/>
    <col min="3130" max="3130" width="17.140625" customWidth="1"/>
    <col min="3131" max="3131" width="19.28515625" customWidth="1"/>
    <col min="3132" max="3132" width="10.7109375" customWidth="1"/>
    <col min="3133" max="3134" width="18.5703125" customWidth="1"/>
    <col min="3135" max="3135" width="13.140625" customWidth="1"/>
    <col min="3136" max="3136" width="17.5703125" customWidth="1"/>
    <col min="3137" max="3137" width="10.7109375" customWidth="1"/>
    <col min="3359" max="3359" width="7.7109375" customWidth="1"/>
    <col min="3360" max="3360" width="10.7109375" customWidth="1"/>
    <col min="3361" max="3361" width="12.85546875" customWidth="1"/>
    <col min="3362" max="3362" width="10.7109375" customWidth="1"/>
    <col min="3363" max="3363" width="13.140625" customWidth="1"/>
    <col min="3364" max="3364" width="10.5703125" customWidth="1"/>
    <col min="3365" max="3365" width="10.7109375" customWidth="1"/>
    <col min="3366" max="3366" width="28.42578125" customWidth="1"/>
    <col min="3367" max="3367" width="5.7109375" customWidth="1"/>
    <col min="3368" max="3368" width="18.42578125" customWidth="1"/>
    <col min="3369" max="3369" width="14" customWidth="1"/>
    <col min="3370" max="3370" width="11.42578125" customWidth="1"/>
    <col min="3371" max="3371" width="10.7109375" customWidth="1"/>
    <col min="3372" max="3372" width="14.85546875" customWidth="1"/>
    <col min="3373" max="3373" width="7.5703125" customWidth="1"/>
    <col min="3374" max="3374" width="12" customWidth="1"/>
    <col min="3375" max="3375" width="10.7109375" customWidth="1"/>
    <col min="3376" max="3376" width="12.7109375" customWidth="1"/>
    <col min="3377" max="3377" width="11.28515625" customWidth="1"/>
    <col min="3378" max="3381" width="10.7109375" customWidth="1"/>
    <col min="3382" max="3382" width="13.140625" customWidth="1"/>
    <col min="3383" max="3383" width="13.85546875" customWidth="1"/>
    <col min="3384" max="3384" width="13.42578125" customWidth="1"/>
    <col min="3385" max="3385" width="12.7109375" customWidth="1"/>
    <col min="3386" max="3386" width="17.140625" customWidth="1"/>
    <col min="3387" max="3387" width="19.28515625" customWidth="1"/>
    <col min="3388" max="3388" width="10.7109375" customWidth="1"/>
    <col min="3389" max="3390" width="18.5703125" customWidth="1"/>
    <col min="3391" max="3391" width="13.140625" customWidth="1"/>
    <col min="3392" max="3392" width="17.5703125" customWidth="1"/>
    <col min="3393" max="3393" width="10.7109375" customWidth="1"/>
    <col min="3615" max="3615" width="7.7109375" customWidth="1"/>
    <col min="3616" max="3616" width="10.7109375" customWidth="1"/>
    <col min="3617" max="3617" width="12.85546875" customWidth="1"/>
    <col min="3618" max="3618" width="10.7109375" customWidth="1"/>
    <col min="3619" max="3619" width="13.140625" customWidth="1"/>
    <col min="3620" max="3620" width="10.5703125" customWidth="1"/>
    <col min="3621" max="3621" width="10.7109375" customWidth="1"/>
    <col min="3622" max="3622" width="28.42578125" customWidth="1"/>
    <col min="3623" max="3623" width="5.7109375" customWidth="1"/>
    <col min="3624" max="3624" width="18.42578125" customWidth="1"/>
    <col min="3625" max="3625" width="14" customWidth="1"/>
    <col min="3626" max="3626" width="11.42578125" customWidth="1"/>
    <col min="3627" max="3627" width="10.7109375" customWidth="1"/>
    <col min="3628" max="3628" width="14.85546875" customWidth="1"/>
    <col min="3629" max="3629" width="7.5703125" customWidth="1"/>
    <col min="3630" max="3630" width="12" customWidth="1"/>
    <col min="3631" max="3631" width="10.7109375" customWidth="1"/>
    <col min="3632" max="3632" width="12.7109375" customWidth="1"/>
    <col min="3633" max="3633" width="11.28515625" customWidth="1"/>
    <col min="3634" max="3637" width="10.7109375" customWidth="1"/>
    <col min="3638" max="3638" width="13.140625" customWidth="1"/>
    <col min="3639" max="3639" width="13.85546875" customWidth="1"/>
    <col min="3640" max="3640" width="13.42578125" customWidth="1"/>
    <col min="3641" max="3641" width="12.7109375" customWidth="1"/>
    <col min="3642" max="3642" width="17.140625" customWidth="1"/>
    <col min="3643" max="3643" width="19.28515625" customWidth="1"/>
    <col min="3644" max="3644" width="10.7109375" customWidth="1"/>
    <col min="3645" max="3646" width="18.5703125" customWidth="1"/>
    <col min="3647" max="3647" width="13.140625" customWidth="1"/>
    <col min="3648" max="3648" width="17.5703125" customWidth="1"/>
    <col min="3649" max="3649" width="10.7109375" customWidth="1"/>
    <col min="3871" max="3871" width="7.7109375" customWidth="1"/>
    <col min="3872" max="3872" width="10.7109375" customWidth="1"/>
    <col min="3873" max="3873" width="12.85546875" customWidth="1"/>
    <col min="3874" max="3874" width="10.7109375" customWidth="1"/>
    <col min="3875" max="3875" width="13.140625" customWidth="1"/>
    <col min="3876" max="3876" width="10.5703125" customWidth="1"/>
    <col min="3877" max="3877" width="10.7109375" customWidth="1"/>
    <col min="3878" max="3878" width="28.42578125" customWidth="1"/>
    <col min="3879" max="3879" width="5.7109375" customWidth="1"/>
    <col min="3880" max="3880" width="18.42578125" customWidth="1"/>
    <col min="3881" max="3881" width="14" customWidth="1"/>
    <col min="3882" max="3882" width="11.42578125" customWidth="1"/>
    <col min="3883" max="3883" width="10.7109375" customWidth="1"/>
    <col min="3884" max="3884" width="14.85546875" customWidth="1"/>
    <col min="3885" max="3885" width="7.5703125" customWidth="1"/>
    <col min="3886" max="3886" width="12" customWidth="1"/>
    <col min="3887" max="3887" width="10.7109375" customWidth="1"/>
    <col min="3888" max="3888" width="12.7109375" customWidth="1"/>
    <col min="3889" max="3889" width="11.28515625" customWidth="1"/>
    <col min="3890" max="3893" width="10.7109375" customWidth="1"/>
    <col min="3894" max="3894" width="13.140625" customWidth="1"/>
    <col min="3895" max="3895" width="13.85546875" customWidth="1"/>
    <col min="3896" max="3896" width="13.42578125" customWidth="1"/>
    <col min="3897" max="3897" width="12.7109375" customWidth="1"/>
    <col min="3898" max="3898" width="17.140625" customWidth="1"/>
    <col min="3899" max="3899" width="19.28515625" customWidth="1"/>
    <col min="3900" max="3900" width="10.7109375" customWidth="1"/>
    <col min="3901" max="3902" width="18.5703125" customWidth="1"/>
    <col min="3903" max="3903" width="13.140625" customWidth="1"/>
    <col min="3904" max="3904" width="17.5703125" customWidth="1"/>
    <col min="3905" max="3905" width="10.7109375" customWidth="1"/>
    <col min="4127" max="4127" width="7.7109375" customWidth="1"/>
    <col min="4128" max="4128" width="10.7109375" customWidth="1"/>
    <col min="4129" max="4129" width="12.85546875" customWidth="1"/>
    <col min="4130" max="4130" width="10.7109375" customWidth="1"/>
    <col min="4131" max="4131" width="13.140625" customWidth="1"/>
    <col min="4132" max="4132" width="10.5703125" customWidth="1"/>
    <col min="4133" max="4133" width="10.7109375" customWidth="1"/>
    <col min="4134" max="4134" width="28.42578125" customWidth="1"/>
    <col min="4135" max="4135" width="5.7109375" customWidth="1"/>
    <col min="4136" max="4136" width="18.42578125" customWidth="1"/>
    <col min="4137" max="4137" width="14" customWidth="1"/>
    <col min="4138" max="4138" width="11.42578125" customWidth="1"/>
    <col min="4139" max="4139" width="10.7109375" customWidth="1"/>
    <col min="4140" max="4140" width="14.85546875" customWidth="1"/>
    <col min="4141" max="4141" width="7.5703125" customWidth="1"/>
    <col min="4142" max="4142" width="12" customWidth="1"/>
    <col min="4143" max="4143" width="10.7109375" customWidth="1"/>
    <col min="4144" max="4144" width="12.7109375" customWidth="1"/>
    <col min="4145" max="4145" width="11.28515625" customWidth="1"/>
    <col min="4146" max="4149" width="10.7109375" customWidth="1"/>
    <col min="4150" max="4150" width="13.140625" customWidth="1"/>
    <col min="4151" max="4151" width="13.85546875" customWidth="1"/>
    <col min="4152" max="4152" width="13.42578125" customWidth="1"/>
    <col min="4153" max="4153" width="12.7109375" customWidth="1"/>
    <col min="4154" max="4154" width="17.140625" customWidth="1"/>
    <col min="4155" max="4155" width="19.28515625" customWidth="1"/>
    <col min="4156" max="4156" width="10.7109375" customWidth="1"/>
    <col min="4157" max="4158" width="18.5703125" customWidth="1"/>
    <col min="4159" max="4159" width="13.140625" customWidth="1"/>
    <col min="4160" max="4160" width="17.5703125" customWidth="1"/>
    <col min="4161" max="4161" width="10.7109375" customWidth="1"/>
    <col min="4383" max="4383" width="7.7109375" customWidth="1"/>
    <col min="4384" max="4384" width="10.7109375" customWidth="1"/>
    <col min="4385" max="4385" width="12.85546875" customWidth="1"/>
    <col min="4386" max="4386" width="10.7109375" customWidth="1"/>
    <col min="4387" max="4387" width="13.140625" customWidth="1"/>
    <col min="4388" max="4388" width="10.5703125" customWidth="1"/>
    <col min="4389" max="4389" width="10.7109375" customWidth="1"/>
    <col min="4390" max="4390" width="28.42578125" customWidth="1"/>
    <col min="4391" max="4391" width="5.7109375" customWidth="1"/>
    <col min="4392" max="4392" width="18.42578125" customWidth="1"/>
    <col min="4393" max="4393" width="14" customWidth="1"/>
    <col min="4394" max="4394" width="11.42578125" customWidth="1"/>
    <col min="4395" max="4395" width="10.7109375" customWidth="1"/>
    <col min="4396" max="4396" width="14.85546875" customWidth="1"/>
    <col min="4397" max="4397" width="7.5703125" customWidth="1"/>
    <col min="4398" max="4398" width="12" customWidth="1"/>
    <col min="4399" max="4399" width="10.7109375" customWidth="1"/>
    <col min="4400" max="4400" width="12.7109375" customWidth="1"/>
    <col min="4401" max="4401" width="11.28515625" customWidth="1"/>
    <col min="4402" max="4405" width="10.7109375" customWidth="1"/>
    <col min="4406" max="4406" width="13.140625" customWidth="1"/>
    <col min="4407" max="4407" width="13.85546875" customWidth="1"/>
    <col min="4408" max="4408" width="13.42578125" customWidth="1"/>
    <col min="4409" max="4409" width="12.7109375" customWidth="1"/>
    <col min="4410" max="4410" width="17.140625" customWidth="1"/>
    <col min="4411" max="4411" width="19.28515625" customWidth="1"/>
    <col min="4412" max="4412" width="10.7109375" customWidth="1"/>
    <col min="4413" max="4414" width="18.5703125" customWidth="1"/>
    <col min="4415" max="4415" width="13.140625" customWidth="1"/>
    <col min="4416" max="4416" width="17.5703125" customWidth="1"/>
    <col min="4417" max="4417" width="10.7109375" customWidth="1"/>
    <col min="4639" max="4639" width="7.7109375" customWidth="1"/>
    <col min="4640" max="4640" width="10.7109375" customWidth="1"/>
    <col min="4641" max="4641" width="12.85546875" customWidth="1"/>
    <col min="4642" max="4642" width="10.7109375" customWidth="1"/>
    <col min="4643" max="4643" width="13.140625" customWidth="1"/>
    <col min="4644" max="4644" width="10.5703125" customWidth="1"/>
    <col min="4645" max="4645" width="10.7109375" customWidth="1"/>
    <col min="4646" max="4646" width="28.42578125" customWidth="1"/>
    <col min="4647" max="4647" width="5.7109375" customWidth="1"/>
    <col min="4648" max="4648" width="18.42578125" customWidth="1"/>
    <col min="4649" max="4649" width="14" customWidth="1"/>
    <col min="4650" max="4650" width="11.42578125" customWidth="1"/>
    <col min="4651" max="4651" width="10.7109375" customWidth="1"/>
    <col min="4652" max="4652" width="14.85546875" customWidth="1"/>
    <col min="4653" max="4653" width="7.5703125" customWidth="1"/>
    <col min="4654" max="4654" width="12" customWidth="1"/>
    <col min="4655" max="4655" width="10.7109375" customWidth="1"/>
    <col min="4656" max="4656" width="12.7109375" customWidth="1"/>
    <col min="4657" max="4657" width="11.28515625" customWidth="1"/>
    <col min="4658" max="4661" width="10.7109375" customWidth="1"/>
    <col min="4662" max="4662" width="13.140625" customWidth="1"/>
    <col min="4663" max="4663" width="13.85546875" customWidth="1"/>
    <col min="4664" max="4664" width="13.42578125" customWidth="1"/>
    <col min="4665" max="4665" width="12.7109375" customWidth="1"/>
    <col min="4666" max="4666" width="17.140625" customWidth="1"/>
    <col min="4667" max="4667" width="19.28515625" customWidth="1"/>
    <col min="4668" max="4668" width="10.7109375" customWidth="1"/>
    <col min="4669" max="4670" width="18.5703125" customWidth="1"/>
    <col min="4671" max="4671" width="13.140625" customWidth="1"/>
    <col min="4672" max="4672" width="17.5703125" customWidth="1"/>
    <col min="4673" max="4673" width="10.7109375" customWidth="1"/>
    <col min="4895" max="4895" width="7.7109375" customWidth="1"/>
    <col min="4896" max="4896" width="10.7109375" customWidth="1"/>
    <col min="4897" max="4897" width="12.85546875" customWidth="1"/>
    <col min="4898" max="4898" width="10.7109375" customWidth="1"/>
    <col min="4899" max="4899" width="13.140625" customWidth="1"/>
    <col min="4900" max="4900" width="10.5703125" customWidth="1"/>
    <col min="4901" max="4901" width="10.7109375" customWidth="1"/>
    <col min="4902" max="4902" width="28.42578125" customWidth="1"/>
    <col min="4903" max="4903" width="5.7109375" customWidth="1"/>
    <col min="4904" max="4904" width="18.42578125" customWidth="1"/>
    <col min="4905" max="4905" width="14" customWidth="1"/>
    <col min="4906" max="4906" width="11.42578125" customWidth="1"/>
    <col min="4907" max="4907" width="10.7109375" customWidth="1"/>
    <col min="4908" max="4908" width="14.85546875" customWidth="1"/>
    <col min="4909" max="4909" width="7.5703125" customWidth="1"/>
    <col min="4910" max="4910" width="12" customWidth="1"/>
    <col min="4911" max="4911" width="10.7109375" customWidth="1"/>
    <col min="4912" max="4912" width="12.7109375" customWidth="1"/>
    <col min="4913" max="4913" width="11.28515625" customWidth="1"/>
    <col min="4914" max="4917" width="10.7109375" customWidth="1"/>
    <col min="4918" max="4918" width="13.140625" customWidth="1"/>
    <col min="4919" max="4919" width="13.85546875" customWidth="1"/>
    <col min="4920" max="4920" width="13.42578125" customWidth="1"/>
    <col min="4921" max="4921" width="12.7109375" customWidth="1"/>
    <col min="4922" max="4922" width="17.140625" customWidth="1"/>
    <col min="4923" max="4923" width="19.28515625" customWidth="1"/>
    <col min="4924" max="4924" width="10.7109375" customWidth="1"/>
    <col min="4925" max="4926" width="18.5703125" customWidth="1"/>
    <col min="4927" max="4927" width="13.140625" customWidth="1"/>
    <col min="4928" max="4928" width="17.5703125" customWidth="1"/>
    <col min="4929" max="4929" width="10.7109375" customWidth="1"/>
    <col min="5151" max="5151" width="7.7109375" customWidth="1"/>
    <col min="5152" max="5152" width="10.7109375" customWidth="1"/>
    <col min="5153" max="5153" width="12.85546875" customWidth="1"/>
    <col min="5154" max="5154" width="10.7109375" customWidth="1"/>
    <col min="5155" max="5155" width="13.140625" customWidth="1"/>
    <col min="5156" max="5156" width="10.5703125" customWidth="1"/>
    <col min="5157" max="5157" width="10.7109375" customWidth="1"/>
    <col min="5158" max="5158" width="28.42578125" customWidth="1"/>
    <col min="5159" max="5159" width="5.7109375" customWidth="1"/>
    <col min="5160" max="5160" width="18.42578125" customWidth="1"/>
    <col min="5161" max="5161" width="14" customWidth="1"/>
    <col min="5162" max="5162" width="11.42578125" customWidth="1"/>
    <col min="5163" max="5163" width="10.7109375" customWidth="1"/>
    <col min="5164" max="5164" width="14.85546875" customWidth="1"/>
    <col min="5165" max="5165" width="7.5703125" customWidth="1"/>
    <col min="5166" max="5166" width="12" customWidth="1"/>
    <col min="5167" max="5167" width="10.7109375" customWidth="1"/>
    <col min="5168" max="5168" width="12.7109375" customWidth="1"/>
    <col min="5169" max="5169" width="11.28515625" customWidth="1"/>
    <col min="5170" max="5173" width="10.7109375" customWidth="1"/>
    <col min="5174" max="5174" width="13.140625" customWidth="1"/>
    <col min="5175" max="5175" width="13.85546875" customWidth="1"/>
    <col min="5176" max="5176" width="13.42578125" customWidth="1"/>
    <col min="5177" max="5177" width="12.7109375" customWidth="1"/>
    <col min="5178" max="5178" width="17.140625" customWidth="1"/>
    <col min="5179" max="5179" width="19.28515625" customWidth="1"/>
    <col min="5180" max="5180" width="10.7109375" customWidth="1"/>
    <col min="5181" max="5182" width="18.5703125" customWidth="1"/>
    <col min="5183" max="5183" width="13.140625" customWidth="1"/>
    <col min="5184" max="5184" width="17.5703125" customWidth="1"/>
    <col min="5185" max="5185" width="10.7109375" customWidth="1"/>
    <col min="5407" max="5407" width="7.7109375" customWidth="1"/>
    <col min="5408" max="5408" width="10.7109375" customWidth="1"/>
    <col min="5409" max="5409" width="12.85546875" customWidth="1"/>
    <col min="5410" max="5410" width="10.7109375" customWidth="1"/>
    <col min="5411" max="5411" width="13.140625" customWidth="1"/>
    <col min="5412" max="5412" width="10.5703125" customWidth="1"/>
    <col min="5413" max="5413" width="10.7109375" customWidth="1"/>
    <col min="5414" max="5414" width="28.42578125" customWidth="1"/>
    <col min="5415" max="5415" width="5.7109375" customWidth="1"/>
    <col min="5416" max="5416" width="18.42578125" customWidth="1"/>
    <col min="5417" max="5417" width="14" customWidth="1"/>
    <col min="5418" max="5418" width="11.42578125" customWidth="1"/>
    <col min="5419" max="5419" width="10.7109375" customWidth="1"/>
    <col min="5420" max="5420" width="14.85546875" customWidth="1"/>
    <col min="5421" max="5421" width="7.5703125" customWidth="1"/>
    <col min="5422" max="5422" width="12" customWidth="1"/>
    <col min="5423" max="5423" width="10.7109375" customWidth="1"/>
    <col min="5424" max="5424" width="12.7109375" customWidth="1"/>
    <col min="5425" max="5425" width="11.28515625" customWidth="1"/>
    <col min="5426" max="5429" width="10.7109375" customWidth="1"/>
    <col min="5430" max="5430" width="13.140625" customWidth="1"/>
    <col min="5431" max="5431" width="13.85546875" customWidth="1"/>
    <col min="5432" max="5432" width="13.42578125" customWidth="1"/>
    <col min="5433" max="5433" width="12.7109375" customWidth="1"/>
    <col min="5434" max="5434" width="17.140625" customWidth="1"/>
    <col min="5435" max="5435" width="19.28515625" customWidth="1"/>
    <col min="5436" max="5436" width="10.7109375" customWidth="1"/>
    <col min="5437" max="5438" width="18.5703125" customWidth="1"/>
    <col min="5439" max="5439" width="13.140625" customWidth="1"/>
    <col min="5440" max="5440" width="17.5703125" customWidth="1"/>
    <col min="5441" max="5441" width="10.7109375" customWidth="1"/>
    <col min="5663" max="5663" width="7.7109375" customWidth="1"/>
    <col min="5664" max="5664" width="10.7109375" customWidth="1"/>
    <col min="5665" max="5665" width="12.85546875" customWidth="1"/>
    <col min="5666" max="5666" width="10.7109375" customWidth="1"/>
    <col min="5667" max="5667" width="13.140625" customWidth="1"/>
    <col min="5668" max="5668" width="10.5703125" customWidth="1"/>
    <col min="5669" max="5669" width="10.7109375" customWidth="1"/>
    <col min="5670" max="5670" width="28.42578125" customWidth="1"/>
    <col min="5671" max="5671" width="5.7109375" customWidth="1"/>
    <col min="5672" max="5672" width="18.42578125" customWidth="1"/>
    <col min="5673" max="5673" width="14" customWidth="1"/>
    <col min="5674" max="5674" width="11.42578125" customWidth="1"/>
    <col min="5675" max="5675" width="10.7109375" customWidth="1"/>
    <col min="5676" max="5676" width="14.85546875" customWidth="1"/>
    <col min="5677" max="5677" width="7.5703125" customWidth="1"/>
    <col min="5678" max="5678" width="12" customWidth="1"/>
    <col min="5679" max="5679" width="10.7109375" customWidth="1"/>
    <col min="5680" max="5680" width="12.7109375" customWidth="1"/>
    <col min="5681" max="5681" width="11.28515625" customWidth="1"/>
    <col min="5682" max="5685" width="10.7109375" customWidth="1"/>
    <col min="5686" max="5686" width="13.140625" customWidth="1"/>
    <col min="5687" max="5687" width="13.85546875" customWidth="1"/>
    <col min="5688" max="5688" width="13.42578125" customWidth="1"/>
    <col min="5689" max="5689" width="12.7109375" customWidth="1"/>
    <col min="5690" max="5690" width="17.140625" customWidth="1"/>
    <col min="5691" max="5691" width="19.28515625" customWidth="1"/>
    <col min="5692" max="5692" width="10.7109375" customWidth="1"/>
    <col min="5693" max="5694" width="18.5703125" customWidth="1"/>
    <col min="5695" max="5695" width="13.140625" customWidth="1"/>
    <col min="5696" max="5696" width="17.5703125" customWidth="1"/>
    <col min="5697" max="5697" width="10.7109375" customWidth="1"/>
    <col min="5919" max="5919" width="7.7109375" customWidth="1"/>
    <col min="5920" max="5920" width="10.7109375" customWidth="1"/>
    <col min="5921" max="5921" width="12.85546875" customWidth="1"/>
    <col min="5922" max="5922" width="10.7109375" customWidth="1"/>
    <col min="5923" max="5923" width="13.140625" customWidth="1"/>
    <col min="5924" max="5924" width="10.5703125" customWidth="1"/>
    <col min="5925" max="5925" width="10.7109375" customWidth="1"/>
    <col min="5926" max="5926" width="28.42578125" customWidth="1"/>
    <col min="5927" max="5927" width="5.7109375" customWidth="1"/>
    <col min="5928" max="5928" width="18.42578125" customWidth="1"/>
    <col min="5929" max="5929" width="14" customWidth="1"/>
    <col min="5930" max="5930" width="11.42578125" customWidth="1"/>
    <col min="5931" max="5931" width="10.7109375" customWidth="1"/>
    <col min="5932" max="5932" width="14.85546875" customWidth="1"/>
    <col min="5933" max="5933" width="7.5703125" customWidth="1"/>
    <col min="5934" max="5934" width="12" customWidth="1"/>
    <col min="5935" max="5935" width="10.7109375" customWidth="1"/>
    <col min="5936" max="5936" width="12.7109375" customWidth="1"/>
    <col min="5937" max="5937" width="11.28515625" customWidth="1"/>
    <col min="5938" max="5941" width="10.7109375" customWidth="1"/>
    <col min="5942" max="5942" width="13.140625" customWidth="1"/>
    <col min="5943" max="5943" width="13.85546875" customWidth="1"/>
    <col min="5944" max="5944" width="13.42578125" customWidth="1"/>
    <col min="5945" max="5945" width="12.7109375" customWidth="1"/>
    <col min="5946" max="5946" width="17.140625" customWidth="1"/>
    <col min="5947" max="5947" width="19.28515625" customWidth="1"/>
    <col min="5948" max="5948" width="10.7109375" customWidth="1"/>
    <col min="5949" max="5950" width="18.5703125" customWidth="1"/>
    <col min="5951" max="5951" width="13.140625" customWidth="1"/>
    <col min="5952" max="5952" width="17.5703125" customWidth="1"/>
    <col min="5953" max="5953" width="10.7109375" customWidth="1"/>
    <col min="6175" max="6175" width="7.7109375" customWidth="1"/>
    <col min="6176" max="6176" width="10.7109375" customWidth="1"/>
    <col min="6177" max="6177" width="12.85546875" customWidth="1"/>
    <col min="6178" max="6178" width="10.7109375" customWidth="1"/>
    <col min="6179" max="6179" width="13.140625" customWidth="1"/>
    <col min="6180" max="6180" width="10.5703125" customWidth="1"/>
    <col min="6181" max="6181" width="10.7109375" customWidth="1"/>
    <col min="6182" max="6182" width="28.42578125" customWidth="1"/>
    <col min="6183" max="6183" width="5.7109375" customWidth="1"/>
    <col min="6184" max="6184" width="18.42578125" customWidth="1"/>
    <col min="6185" max="6185" width="14" customWidth="1"/>
    <col min="6186" max="6186" width="11.42578125" customWidth="1"/>
    <col min="6187" max="6187" width="10.7109375" customWidth="1"/>
    <col min="6188" max="6188" width="14.85546875" customWidth="1"/>
    <col min="6189" max="6189" width="7.5703125" customWidth="1"/>
    <col min="6190" max="6190" width="12" customWidth="1"/>
    <col min="6191" max="6191" width="10.7109375" customWidth="1"/>
    <col min="6192" max="6192" width="12.7109375" customWidth="1"/>
    <col min="6193" max="6193" width="11.28515625" customWidth="1"/>
    <col min="6194" max="6197" width="10.7109375" customWidth="1"/>
    <col min="6198" max="6198" width="13.140625" customWidth="1"/>
    <col min="6199" max="6199" width="13.85546875" customWidth="1"/>
    <col min="6200" max="6200" width="13.42578125" customWidth="1"/>
    <col min="6201" max="6201" width="12.7109375" customWidth="1"/>
    <col min="6202" max="6202" width="17.140625" customWidth="1"/>
    <col min="6203" max="6203" width="19.28515625" customWidth="1"/>
    <col min="6204" max="6204" width="10.7109375" customWidth="1"/>
    <col min="6205" max="6206" width="18.5703125" customWidth="1"/>
    <col min="6207" max="6207" width="13.140625" customWidth="1"/>
    <col min="6208" max="6208" width="17.5703125" customWidth="1"/>
    <col min="6209" max="6209" width="10.7109375" customWidth="1"/>
    <col min="6431" max="6431" width="7.7109375" customWidth="1"/>
    <col min="6432" max="6432" width="10.7109375" customWidth="1"/>
    <col min="6433" max="6433" width="12.85546875" customWidth="1"/>
    <col min="6434" max="6434" width="10.7109375" customWidth="1"/>
    <col min="6435" max="6435" width="13.140625" customWidth="1"/>
    <col min="6436" max="6436" width="10.5703125" customWidth="1"/>
    <col min="6437" max="6437" width="10.7109375" customWidth="1"/>
    <col min="6438" max="6438" width="28.42578125" customWidth="1"/>
    <col min="6439" max="6439" width="5.7109375" customWidth="1"/>
    <col min="6440" max="6440" width="18.42578125" customWidth="1"/>
    <col min="6441" max="6441" width="14" customWidth="1"/>
    <col min="6442" max="6442" width="11.42578125" customWidth="1"/>
    <col min="6443" max="6443" width="10.7109375" customWidth="1"/>
    <col min="6444" max="6444" width="14.85546875" customWidth="1"/>
    <col min="6445" max="6445" width="7.5703125" customWidth="1"/>
    <col min="6446" max="6446" width="12" customWidth="1"/>
    <col min="6447" max="6447" width="10.7109375" customWidth="1"/>
    <col min="6448" max="6448" width="12.7109375" customWidth="1"/>
    <col min="6449" max="6449" width="11.28515625" customWidth="1"/>
    <col min="6450" max="6453" width="10.7109375" customWidth="1"/>
    <col min="6454" max="6454" width="13.140625" customWidth="1"/>
    <col min="6455" max="6455" width="13.85546875" customWidth="1"/>
    <col min="6456" max="6456" width="13.42578125" customWidth="1"/>
    <col min="6457" max="6457" width="12.7109375" customWidth="1"/>
    <col min="6458" max="6458" width="17.140625" customWidth="1"/>
    <col min="6459" max="6459" width="19.28515625" customWidth="1"/>
    <col min="6460" max="6460" width="10.7109375" customWidth="1"/>
    <col min="6461" max="6462" width="18.5703125" customWidth="1"/>
    <col min="6463" max="6463" width="13.140625" customWidth="1"/>
    <col min="6464" max="6464" width="17.5703125" customWidth="1"/>
    <col min="6465" max="6465" width="10.7109375" customWidth="1"/>
    <col min="6687" max="6687" width="7.7109375" customWidth="1"/>
    <col min="6688" max="6688" width="10.7109375" customWidth="1"/>
    <col min="6689" max="6689" width="12.85546875" customWidth="1"/>
    <col min="6690" max="6690" width="10.7109375" customWidth="1"/>
    <col min="6691" max="6691" width="13.140625" customWidth="1"/>
    <col min="6692" max="6692" width="10.5703125" customWidth="1"/>
    <col min="6693" max="6693" width="10.7109375" customWidth="1"/>
    <col min="6694" max="6694" width="28.42578125" customWidth="1"/>
    <col min="6695" max="6695" width="5.7109375" customWidth="1"/>
    <col min="6696" max="6696" width="18.42578125" customWidth="1"/>
    <col min="6697" max="6697" width="14" customWidth="1"/>
    <col min="6698" max="6698" width="11.42578125" customWidth="1"/>
    <col min="6699" max="6699" width="10.7109375" customWidth="1"/>
    <col min="6700" max="6700" width="14.85546875" customWidth="1"/>
    <col min="6701" max="6701" width="7.5703125" customWidth="1"/>
    <col min="6702" max="6702" width="12" customWidth="1"/>
    <col min="6703" max="6703" width="10.7109375" customWidth="1"/>
    <col min="6704" max="6704" width="12.7109375" customWidth="1"/>
    <col min="6705" max="6705" width="11.28515625" customWidth="1"/>
    <col min="6706" max="6709" width="10.7109375" customWidth="1"/>
    <col min="6710" max="6710" width="13.140625" customWidth="1"/>
    <col min="6711" max="6711" width="13.85546875" customWidth="1"/>
    <col min="6712" max="6712" width="13.42578125" customWidth="1"/>
    <col min="6713" max="6713" width="12.7109375" customWidth="1"/>
    <col min="6714" max="6714" width="17.140625" customWidth="1"/>
    <col min="6715" max="6715" width="19.28515625" customWidth="1"/>
    <col min="6716" max="6716" width="10.7109375" customWidth="1"/>
    <col min="6717" max="6718" width="18.5703125" customWidth="1"/>
    <col min="6719" max="6719" width="13.140625" customWidth="1"/>
    <col min="6720" max="6720" width="17.5703125" customWidth="1"/>
    <col min="6721" max="6721" width="10.7109375" customWidth="1"/>
    <col min="6943" max="6943" width="7.7109375" customWidth="1"/>
    <col min="6944" max="6944" width="10.7109375" customWidth="1"/>
    <col min="6945" max="6945" width="12.85546875" customWidth="1"/>
    <col min="6946" max="6946" width="10.7109375" customWidth="1"/>
    <col min="6947" max="6947" width="13.140625" customWidth="1"/>
    <col min="6948" max="6948" width="10.5703125" customWidth="1"/>
    <col min="6949" max="6949" width="10.7109375" customWidth="1"/>
    <col min="6950" max="6950" width="28.42578125" customWidth="1"/>
    <col min="6951" max="6951" width="5.7109375" customWidth="1"/>
    <col min="6952" max="6952" width="18.42578125" customWidth="1"/>
    <col min="6953" max="6953" width="14" customWidth="1"/>
    <col min="6954" max="6954" width="11.42578125" customWidth="1"/>
    <col min="6955" max="6955" width="10.7109375" customWidth="1"/>
    <col min="6956" max="6956" width="14.85546875" customWidth="1"/>
    <col min="6957" max="6957" width="7.5703125" customWidth="1"/>
    <col min="6958" max="6958" width="12" customWidth="1"/>
    <col min="6959" max="6959" width="10.7109375" customWidth="1"/>
    <col min="6960" max="6960" width="12.7109375" customWidth="1"/>
    <col min="6961" max="6961" width="11.28515625" customWidth="1"/>
    <col min="6962" max="6965" width="10.7109375" customWidth="1"/>
    <col min="6966" max="6966" width="13.140625" customWidth="1"/>
    <col min="6967" max="6967" width="13.85546875" customWidth="1"/>
    <col min="6968" max="6968" width="13.42578125" customWidth="1"/>
    <col min="6969" max="6969" width="12.7109375" customWidth="1"/>
    <col min="6970" max="6970" width="17.140625" customWidth="1"/>
    <col min="6971" max="6971" width="19.28515625" customWidth="1"/>
    <col min="6972" max="6972" width="10.7109375" customWidth="1"/>
    <col min="6973" max="6974" width="18.5703125" customWidth="1"/>
    <col min="6975" max="6975" width="13.140625" customWidth="1"/>
    <col min="6976" max="6976" width="17.5703125" customWidth="1"/>
    <col min="6977" max="6977" width="10.7109375" customWidth="1"/>
    <col min="7199" max="7199" width="7.7109375" customWidth="1"/>
    <col min="7200" max="7200" width="10.7109375" customWidth="1"/>
    <col min="7201" max="7201" width="12.85546875" customWidth="1"/>
    <col min="7202" max="7202" width="10.7109375" customWidth="1"/>
    <col min="7203" max="7203" width="13.140625" customWidth="1"/>
    <col min="7204" max="7204" width="10.5703125" customWidth="1"/>
    <col min="7205" max="7205" width="10.7109375" customWidth="1"/>
    <col min="7206" max="7206" width="28.42578125" customWidth="1"/>
    <col min="7207" max="7207" width="5.7109375" customWidth="1"/>
    <col min="7208" max="7208" width="18.42578125" customWidth="1"/>
    <col min="7209" max="7209" width="14" customWidth="1"/>
    <col min="7210" max="7210" width="11.42578125" customWidth="1"/>
    <col min="7211" max="7211" width="10.7109375" customWidth="1"/>
    <col min="7212" max="7212" width="14.85546875" customWidth="1"/>
    <col min="7213" max="7213" width="7.5703125" customWidth="1"/>
    <col min="7214" max="7214" width="12" customWidth="1"/>
    <col min="7215" max="7215" width="10.7109375" customWidth="1"/>
    <col min="7216" max="7216" width="12.7109375" customWidth="1"/>
    <col min="7217" max="7217" width="11.28515625" customWidth="1"/>
    <col min="7218" max="7221" width="10.7109375" customWidth="1"/>
    <col min="7222" max="7222" width="13.140625" customWidth="1"/>
    <col min="7223" max="7223" width="13.85546875" customWidth="1"/>
    <col min="7224" max="7224" width="13.42578125" customWidth="1"/>
    <col min="7225" max="7225" width="12.7109375" customWidth="1"/>
    <col min="7226" max="7226" width="17.140625" customWidth="1"/>
    <col min="7227" max="7227" width="19.28515625" customWidth="1"/>
    <col min="7228" max="7228" width="10.7109375" customWidth="1"/>
    <col min="7229" max="7230" width="18.5703125" customWidth="1"/>
    <col min="7231" max="7231" width="13.140625" customWidth="1"/>
    <col min="7232" max="7232" width="17.5703125" customWidth="1"/>
    <col min="7233" max="7233" width="10.7109375" customWidth="1"/>
    <col min="7455" max="7455" width="7.7109375" customWidth="1"/>
    <col min="7456" max="7456" width="10.7109375" customWidth="1"/>
    <col min="7457" max="7457" width="12.85546875" customWidth="1"/>
    <col min="7458" max="7458" width="10.7109375" customWidth="1"/>
    <col min="7459" max="7459" width="13.140625" customWidth="1"/>
    <col min="7460" max="7460" width="10.5703125" customWidth="1"/>
    <col min="7461" max="7461" width="10.7109375" customWidth="1"/>
    <col min="7462" max="7462" width="28.42578125" customWidth="1"/>
    <col min="7463" max="7463" width="5.7109375" customWidth="1"/>
    <col min="7464" max="7464" width="18.42578125" customWidth="1"/>
    <col min="7465" max="7465" width="14" customWidth="1"/>
    <col min="7466" max="7466" width="11.42578125" customWidth="1"/>
    <col min="7467" max="7467" width="10.7109375" customWidth="1"/>
    <col min="7468" max="7468" width="14.85546875" customWidth="1"/>
    <col min="7469" max="7469" width="7.5703125" customWidth="1"/>
    <col min="7470" max="7470" width="12" customWidth="1"/>
    <col min="7471" max="7471" width="10.7109375" customWidth="1"/>
    <col min="7472" max="7472" width="12.7109375" customWidth="1"/>
    <col min="7473" max="7473" width="11.28515625" customWidth="1"/>
    <col min="7474" max="7477" width="10.7109375" customWidth="1"/>
    <col min="7478" max="7478" width="13.140625" customWidth="1"/>
    <col min="7479" max="7479" width="13.85546875" customWidth="1"/>
    <col min="7480" max="7480" width="13.42578125" customWidth="1"/>
    <col min="7481" max="7481" width="12.7109375" customWidth="1"/>
    <col min="7482" max="7482" width="17.140625" customWidth="1"/>
    <col min="7483" max="7483" width="19.28515625" customWidth="1"/>
    <col min="7484" max="7484" width="10.7109375" customWidth="1"/>
    <col min="7485" max="7486" width="18.5703125" customWidth="1"/>
    <col min="7487" max="7487" width="13.140625" customWidth="1"/>
    <col min="7488" max="7488" width="17.5703125" customWidth="1"/>
    <col min="7489" max="7489" width="10.7109375" customWidth="1"/>
    <col min="7711" max="7711" width="7.7109375" customWidth="1"/>
    <col min="7712" max="7712" width="10.7109375" customWidth="1"/>
    <col min="7713" max="7713" width="12.85546875" customWidth="1"/>
    <col min="7714" max="7714" width="10.7109375" customWidth="1"/>
    <col min="7715" max="7715" width="13.140625" customWidth="1"/>
    <col min="7716" max="7716" width="10.5703125" customWidth="1"/>
    <col min="7717" max="7717" width="10.7109375" customWidth="1"/>
    <col min="7718" max="7718" width="28.42578125" customWidth="1"/>
    <col min="7719" max="7719" width="5.7109375" customWidth="1"/>
    <col min="7720" max="7720" width="18.42578125" customWidth="1"/>
    <col min="7721" max="7721" width="14" customWidth="1"/>
    <col min="7722" max="7722" width="11.42578125" customWidth="1"/>
    <col min="7723" max="7723" width="10.7109375" customWidth="1"/>
    <col min="7724" max="7724" width="14.85546875" customWidth="1"/>
    <col min="7725" max="7725" width="7.5703125" customWidth="1"/>
    <col min="7726" max="7726" width="12" customWidth="1"/>
    <col min="7727" max="7727" width="10.7109375" customWidth="1"/>
    <col min="7728" max="7728" width="12.7109375" customWidth="1"/>
    <col min="7729" max="7729" width="11.28515625" customWidth="1"/>
    <col min="7730" max="7733" width="10.7109375" customWidth="1"/>
    <col min="7734" max="7734" width="13.140625" customWidth="1"/>
    <col min="7735" max="7735" width="13.85546875" customWidth="1"/>
    <col min="7736" max="7736" width="13.42578125" customWidth="1"/>
    <col min="7737" max="7737" width="12.7109375" customWidth="1"/>
    <col min="7738" max="7738" width="17.140625" customWidth="1"/>
    <col min="7739" max="7739" width="19.28515625" customWidth="1"/>
    <col min="7740" max="7740" width="10.7109375" customWidth="1"/>
    <col min="7741" max="7742" width="18.5703125" customWidth="1"/>
    <col min="7743" max="7743" width="13.140625" customWidth="1"/>
    <col min="7744" max="7744" width="17.5703125" customWidth="1"/>
    <col min="7745" max="7745" width="10.7109375" customWidth="1"/>
    <col min="7967" max="7967" width="7.7109375" customWidth="1"/>
    <col min="7968" max="7968" width="10.7109375" customWidth="1"/>
    <col min="7969" max="7969" width="12.85546875" customWidth="1"/>
    <col min="7970" max="7970" width="10.7109375" customWidth="1"/>
    <col min="7971" max="7971" width="13.140625" customWidth="1"/>
    <col min="7972" max="7972" width="10.5703125" customWidth="1"/>
    <col min="7973" max="7973" width="10.7109375" customWidth="1"/>
    <col min="7974" max="7974" width="28.42578125" customWidth="1"/>
    <col min="7975" max="7975" width="5.7109375" customWidth="1"/>
    <col min="7976" max="7976" width="18.42578125" customWidth="1"/>
    <col min="7977" max="7977" width="14" customWidth="1"/>
    <col min="7978" max="7978" width="11.42578125" customWidth="1"/>
    <col min="7979" max="7979" width="10.7109375" customWidth="1"/>
    <col min="7980" max="7980" width="14.85546875" customWidth="1"/>
    <col min="7981" max="7981" width="7.5703125" customWidth="1"/>
    <col min="7982" max="7982" width="12" customWidth="1"/>
    <col min="7983" max="7983" width="10.7109375" customWidth="1"/>
    <col min="7984" max="7984" width="12.7109375" customWidth="1"/>
    <col min="7985" max="7985" width="11.28515625" customWidth="1"/>
    <col min="7986" max="7989" width="10.7109375" customWidth="1"/>
    <col min="7990" max="7990" width="13.140625" customWidth="1"/>
    <col min="7991" max="7991" width="13.85546875" customWidth="1"/>
    <col min="7992" max="7992" width="13.42578125" customWidth="1"/>
    <col min="7993" max="7993" width="12.7109375" customWidth="1"/>
    <col min="7994" max="7994" width="17.140625" customWidth="1"/>
    <col min="7995" max="7995" width="19.28515625" customWidth="1"/>
    <col min="7996" max="7996" width="10.7109375" customWidth="1"/>
    <col min="7997" max="7998" width="18.5703125" customWidth="1"/>
    <col min="7999" max="7999" width="13.140625" customWidth="1"/>
    <col min="8000" max="8000" width="17.5703125" customWidth="1"/>
    <col min="8001" max="8001" width="10.7109375" customWidth="1"/>
    <col min="8223" max="8223" width="7.7109375" customWidth="1"/>
    <col min="8224" max="8224" width="10.7109375" customWidth="1"/>
    <col min="8225" max="8225" width="12.85546875" customWidth="1"/>
    <col min="8226" max="8226" width="10.7109375" customWidth="1"/>
    <col min="8227" max="8227" width="13.140625" customWidth="1"/>
    <col min="8228" max="8228" width="10.5703125" customWidth="1"/>
    <col min="8229" max="8229" width="10.7109375" customWidth="1"/>
    <col min="8230" max="8230" width="28.42578125" customWidth="1"/>
    <col min="8231" max="8231" width="5.7109375" customWidth="1"/>
    <col min="8232" max="8232" width="18.42578125" customWidth="1"/>
    <col min="8233" max="8233" width="14" customWidth="1"/>
    <col min="8234" max="8234" width="11.42578125" customWidth="1"/>
    <col min="8235" max="8235" width="10.7109375" customWidth="1"/>
    <col min="8236" max="8236" width="14.85546875" customWidth="1"/>
    <col min="8237" max="8237" width="7.5703125" customWidth="1"/>
    <col min="8238" max="8238" width="12" customWidth="1"/>
    <col min="8239" max="8239" width="10.7109375" customWidth="1"/>
    <col min="8240" max="8240" width="12.7109375" customWidth="1"/>
    <col min="8241" max="8241" width="11.28515625" customWidth="1"/>
    <col min="8242" max="8245" width="10.7109375" customWidth="1"/>
    <col min="8246" max="8246" width="13.140625" customWidth="1"/>
    <col min="8247" max="8247" width="13.85546875" customWidth="1"/>
    <col min="8248" max="8248" width="13.42578125" customWidth="1"/>
    <col min="8249" max="8249" width="12.7109375" customWidth="1"/>
    <col min="8250" max="8250" width="17.140625" customWidth="1"/>
    <col min="8251" max="8251" width="19.28515625" customWidth="1"/>
    <col min="8252" max="8252" width="10.7109375" customWidth="1"/>
    <col min="8253" max="8254" width="18.5703125" customWidth="1"/>
    <col min="8255" max="8255" width="13.140625" customWidth="1"/>
    <col min="8256" max="8256" width="17.5703125" customWidth="1"/>
    <col min="8257" max="8257" width="10.7109375" customWidth="1"/>
    <col min="8479" max="8479" width="7.7109375" customWidth="1"/>
    <col min="8480" max="8480" width="10.7109375" customWidth="1"/>
    <col min="8481" max="8481" width="12.85546875" customWidth="1"/>
    <col min="8482" max="8482" width="10.7109375" customWidth="1"/>
    <col min="8483" max="8483" width="13.140625" customWidth="1"/>
    <col min="8484" max="8484" width="10.5703125" customWidth="1"/>
    <col min="8485" max="8485" width="10.7109375" customWidth="1"/>
    <col min="8486" max="8486" width="28.42578125" customWidth="1"/>
    <col min="8487" max="8487" width="5.7109375" customWidth="1"/>
    <col min="8488" max="8488" width="18.42578125" customWidth="1"/>
    <col min="8489" max="8489" width="14" customWidth="1"/>
    <col min="8490" max="8490" width="11.42578125" customWidth="1"/>
    <col min="8491" max="8491" width="10.7109375" customWidth="1"/>
    <col min="8492" max="8492" width="14.85546875" customWidth="1"/>
    <col min="8493" max="8493" width="7.5703125" customWidth="1"/>
    <col min="8494" max="8494" width="12" customWidth="1"/>
    <col min="8495" max="8495" width="10.7109375" customWidth="1"/>
    <col min="8496" max="8496" width="12.7109375" customWidth="1"/>
    <col min="8497" max="8497" width="11.28515625" customWidth="1"/>
    <col min="8498" max="8501" width="10.7109375" customWidth="1"/>
    <col min="8502" max="8502" width="13.140625" customWidth="1"/>
    <col min="8503" max="8503" width="13.85546875" customWidth="1"/>
    <col min="8504" max="8504" width="13.42578125" customWidth="1"/>
    <col min="8505" max="8505" width="12.7109375" customWidth="1"/>
    <col min="8506" max="8506" width="17.140625" customWidth="1"/>
    <col min="8507" max="8507" width="19.28515625" customWidth="1"/>
    <col min="8508" max="8508" width="10.7109375" customWidth="1"/>
    <col min="8509" max="8510" width="18.5703125" customWidth="1"/>
    <col min="8511" max="8511" width="13.140625" customWidth="1"/>
    <col min="8512" max="8512" width="17.5703125" customWidth="1"/>
    <col min="8513" max="8513" width="10.7109375" customWidth="1"/>
    <col min="8735" max="8735" width="7.7109375" customWidth="1"/>
    <col min="8736" max="8736" width="10.7109375" customWidth="1"/>
    <col min="8737" max="8737" width="12.85546875" customWidth="1"/>
    <col min="8738" max="8738" width="10.7109375" customWidth="1"/>
    <col min="8739" max="8739" width="13.140625" customWidth="1"/>
    <col min="8740" max="8740" width="10.5703125" customWidth="1"/>
    <col min="8741" max="8741" width="10.7109375" customWidth="1"/>
    <col min="8742" max="8742" width="28.42578125" customWidth="1"/>
    <col min="8743" max="8743" width="5.7109375" customWidth="1"/>
    <col min="8744" max="8744" width="18.42578125" customWidth="1"/>
    <col min="8745" max="8745" width="14" customWidth="1"/>
    <col min="8746" max="8746" width="11.42578125" customWidth="1"/>
    <col min="8747" max="8747" width="10.7109375" customWidth="1"/>
    <col min="8748" max="8748" width="14.85546875" customWidth="1"/>
    <col min="8749" max="8749" width="7.5703125" customWidth="1"/>
    <col min="8750" max="8750" width="12" customWidth="1"/>
    <col min="8751" max="8751" width="10.7109375" customWidth="1"/>
    <col min="8752" max="8752" width="12.7109375" customWidth="1"/>
    <col min="8753" max="8753" width="11.28515625" customWidth="1"/>
    <col min="8754" max="8757" width="10.7109375" customWidth="1"/>
    <col min="8758" max="8758" width="13.140625" customWidth="1"/>
    <col min="8759" max="8759" width="13.85546875" customWidth="1"/>
    <col min="8760" max="8760" width="13.42578125" customWidth="1"/>
    <col min="8761" max="8761" width="12.7109375" customWidth="1"/>
    <col min="8762" max="8762" width="17.140625" customWidth="1"/>
    <col min="8763" max="8763" width="19.28515625" customWidth="1"/>
    <col min="8764" max="8764" width="10.7109375" customWidth="1"/>
    <col min="8765" max="8766" width="18.5703125" customWidth="1"/>
    <col min="8767" max="8767" width="13.140625" customWidth="1"/>
    <col min="8768" max="8768" width="17.5703125" customWidth="1"/>
    <col min="8769" max="8769" width="10.7109375" customWidth="1"/>
    <col min="8991" max="8991" width="7.7109375" customWidth="1"/>
    <col min="8992" max="8992" width="10.7109375" customWidth="1"/>
    <col min="8993" max="8993" width="12.85546875" customWidth="1"/>
    <col min="8994" max="8994" width="10.7109375" customWidth="1"/>
    <col min="8995" max="8995" width="13.140625" customWidth="1"/>
    <col min="8996" max="8996" width="10.5703125" customWidth="1"/>
    <col min="8997" max="8997" width="10.7109375" customWidth="1"/>
    <col min="8998" max="8998" width="28.42578125" customWidth="1"/>
    <col min="8999" max="8999" width="5.7109375" customWidth="1"/>
    <col min="9000" max="9000" width="18.42578125" customWidth="1"/>
    <col min="9001" max="9001" width="14" customWidth="1"/>
    <col min="9002" max="9002" width="11.42578125" customWidth="1"/>
    <col min="9003" max="9003" width="10.7109375" customWidth="1"/>
    <col min="9004" max="9004" width="14.85546875" customWidth="1"/>
    <col min="9005" max="9005" width="7.5703125" customWidth="1"/>
    <col min="9006" max="9006" width="12" customWidth="1"/>
    <col min="9007" max="9007" width="10.7109375" customWidth="1"/>
    <col min="9008" max="9008" width="12.7109375" customWidth="1"/>
    <col min="9009" max="9009" width="11.28515625" customWidth="1"/>
    <col min="9010" max="9013" width="10.7109375" customWidth="1"/>
    <col min="9014" max="9014" width="13.140625" customWidth="1"/>
    <col min="9015" max="9015" width="13.85546875" customWidth="1"/>
    <col min="9016" max="9016" width="13.42578125" customWidth="1"/>
    <col min="9017" max="9017" width="12.7109375" customWidth="1"/>
    <col min="9018" max="9018" width="17.140625" customWidth="1"/>
    <col min="9019" max="9019" width="19.28515625" customWidth="1"/>
    <col min="9020" max="9020" width="10.7109375" customWidth="1"/>
    <col min="9021" max="9022" width="18.5703125" customWidth="1"/>
    <col min="9023" max="9023" width="13.140625" customWidth="1"/>
    <col min="9024" max="9024" width="17.5703125" customWidth="1"/>
    <col min="9025" max="9025" width="10.7109375" customWidth="1"/>
    <col min="9247" max="9247" width="7.7109375" customWidth="1"/>
    <col min="9248" max="9248" width="10.7109375" customWidth="1"/>
    <col min="9249" max="9249" width="12.85546875" customWidth="1"/>
    <col min="9250" max="9250" width="10.7109375" customWidth="1"/>
    <col min="9251" max="9251" width="13.140625" customWidth="1"/>
    <col min="9252" max="9252" width="10.5703125" customWidth="1"/>
    <col min="9253" max="9253" width="10.7109375" customWidth="1"/>
    <col min="9254" max="9254" width="28.42578125" customWidth="1"/>
    <col min="9255" max="9255" width="5.7109375" customWidth="1"/>
    <col min="9256" max="9256" width="18.42578125" customWidth="1"/>
    <col min="9257" max="9257" width="14" customWidth="1"/>
    <col min="9258" max="9258" width="11.42578125" customWidth="1"/>
    <col min="9259" max="9259" width="10.7109375" customWidth="1"/>
    <col min="9260" max="9260" width="14.85546875" customWidth="1"/>
    <col min="9261" max="9261" width="7.5703125" customWidth="1"/>
    <col min="9262" max="9262" width="12" customWidth="1"/>
    <col min="9263" max="9263" width="10.7109375" customWidth="1"/>
    <col min="9264" max="9264" width="12.7109375" customWidth="1"/>
    <col min="9265" max="9265" width="11.28515625" customWidth="1"/>
    <col min="9266" max="9269" width="10.7109375" customWidth="1"/>
    <col min="9270" max="9270" width="13.140625" customWidth="1"/>
    <col min="9271" max="9271" width="13.85546875" customWidth="1"/>
    <col min="9272" max="9272" width="13.42578125" customWidth="1"/>
    <col min="9273" max="9273" width="12.7109375" customWidth="1"/>
    <col min="9274" max="9274" width="17.140625" customWidth="1"/>
    <col min="9275" max="9275" width="19.28515625" customWidth="1"/>
    <col min="9276" max="9276" width="10.7109375" customWidth="1"/>
    <col min="9277" max="9278" width="18.5703125" customWidth="1"/>
    <col min="9279" max="9279" width="13.140625" customWidth="1"/>
    <col min="9280" max="9280" width="17.5703125" customWidth="1"/>
    <col min="9281" max="9281" width="10.7109375" customWidth="1"/>
    <col min="9503" max="9503" width="7.7109375" customWidth="1"/>
    <col min="9504" max="9504" width="10.7109375" customWidth="1"/>
    <col min="9505" max="9505" width="12.85546875" customWidth="1"/>
    <col min="9506" max="9506" width="10.7109375" customWidth="1"/>
    <col min="9507" max="9507" width="13.140625" customWidth="1"/>
    <col min="9508" max="9508" width="10.5703125" customWidth="1"/>
    <col min="9509" max="9509" width="10.7109375" customWidth="1"/>
    <col min="9510" max="9510" width="28.42578125" customWidth="1"/>
    <col min="9511" max="9511" width="5.7109375" customWidth="1"/>
    <col min="9512" max="9512" width="18.42578125" customWidth="1"/>
    <col min="9513" max="9513" width="14" customWidth="1"/>
    <col min="9514" max="9514" width="11.42578125" customWidth="1"/>
    <col min="9515" max="9515" width="10.7109375" customWidth="1"/>
    <col min="9516" max="9516" width="14.85546875" customWidth="1"/>
    <col min="9517" max="9517" width="7.5703125" customWidth="1"/>
    <col min="9518" max="9518" width="12" customWidth="1"/>
    <col min="9519" max="9519" width="10.7109375" customWidth="1"/>
    <col min="9520" max="9520" width="12.7109375" customWidth="1"/>
    <col min="9521" max="9521" width="11.28515625" customWidth="1"/>
    <col min="9522" max="9525" width="10.7109375" customWidth="1"/>
    <col min="9526" max="9526" width="13.140625" customWidth="1"/>
    <col min="9527" max="9527" width="13.85546875" customWidth="1"/>
    <col min="9528" max="9528" width="13.42578125" customWidth="1"/>
    <col min="9529" max="9529" width="12.7109375" customWidth="1"/>
    <col min="9530" max="9530" width="17.140625" customWidth="1"/>
    <col min="9531" max="9531" width="19.28515625" customWidth="1"/>
    <col min="9532" max="9532" width="10.7109375" customWidth="1"/>
    <col min="9533" max="9534" width="18.5703125" customWidth="1"/>
    <col min="9535" max="9535" width="13.140625" customWidth="1"/>
    <col min="9536" max="9536" width="17.5703125" customWidth="1"/>
    <col min="9537" max="9537" width="10.7109375" customWidth="1"/>
    <col min="9759" max="9759" width="7.7109375" customWidth="1"/>
    <col min="9760" max="9760" width="10.7109375" customWidth="1"/>
    <col min="9761" max="9761" width="12.85546875" customWidth="1"/>
    <col min="9762" max="9762" width="10.7109375" customWidth="1"/>
    <col min="9763" max="9763" width="13.140625" customWidth="1"/>
    <col min="9764" max="9764" width="10.5703125" customWidth="1"/>
    <col min="9765" max="9765" width="10.7109375" customWidth="1"/>
    <col min="9766" max="9766" width="28.42578125" customWidth="1"/>
    <col min="9767" max="9767" width="5.7109375" customWidth="1"/>
    <col min="9768" max="9768" width="18.42578125" customWidth="1"/>
    <col min="9769" max="9769" width="14" customWidth="1"/>
    <col min="9770" max="9770" width="11.42578125" customWidth="1"/>
    <col min="9771" max="9771" width="10.7109375" customWidth="1"/>
    <col min="9772" max="9772" width="14.85546875" customWidth="1"/>
    <col min="9773" max="9773" width="7.5703125" customWidth="1"/>
    <col min="9774" max="9774" width="12" customWidth="1"/>
    <col min="9775" max="9775" width="10.7109375" customWidth="1"/>
    <col min="9776" max="9776" width="12.7109375" customWidth="1"/>
    <col min="9777" max="9777" width="11.28515625" customWidth="1"/>
    <col min="9778" max="9781" width="10.7109375" customWidth="1"/>
    <col min="9782" max="9782" width="13.140625" customWidth="1"/>
    <col min="9783" max="9783" width="13.85546875" customWidth="1"/>
    <col min="9784" max="9784" width="13.42578125" customWidth="1"/>
    <col min="9785" max="9785" width="12.7109375" customWidth="1"/>
    <col min="9786" max="9786" width="17.140625" customWidth="1"/>
    <col min="9787" max="9787" width="19.28515625" customWidth="1"/>
    <col min="9788" max="9788" width="10.7109375" customWidth="1"/>
    <col min="9789" max="9790" width="18.5703125" customWidth="1"/>
    <col min="9791" max="9791" width="13.140625" customWidth="1"/>
    <col min="9792" max="9792" width="17.5703125" customWidth="1"/>
    <col min="9793" max="9793" width="10.7109375" customWidth="1"/>
    <col min="10015" max="10015" width="7.7109375" customWidth="1"/>
    <col min="10016" max="10016" width="10.7109375" customWidth="1"/>
    <col min="10017" max="10017" width="12.85546875" customWidth="1"/>
    <col min="10018" max="10018" width="10.7109375" customWidth="1"/>
    <col min="10019" max="10019" width="13.140625" customWidth="1"/>
    <col min="10020" max="10020" width="10.5703125" customWidth="1"/>
    <col min="10021" max="10021" width="10.7109375" customWidth="1"/>
    <col min="10022" max="10022" width="28.42578125" customWidth="1"/>
    <col min="10023" max="10023" width="5.7109375" customWidth="1"/>
    <col min="10024" max="10024" width="18.42578125" customWidth="1"/>
    <col min="10025" max="10025" width="14" customWidth="1"/>
    <col min="10026" max="10026" width="11.42578125" customWidth="1"/>
    <col min="10027" max="10027" width="10.7109375" customWidth="1"/>
    <col min="10028" max="10028" width="14.85546875" customWidth="1"/>
    <col min="10029" max="10029" width="7.5703125" customWidth="1"/>
    <col min="10030" max="10030" width="12" customWidth="1"/>
    <col min="10031" max="10031" width="10.7109375" customWidth="1"/>
    <col min="10032" max="10032" width="12.7109375" customWidth="1"/>
    <col min="10033" max="10033" width="11.28515625" customWidth="1"/>
    <col min="10034" max="10037" width="10.7109375" customWidth="1"/>
    <col min="10038" max="10038" width="13.140625" customWidth="1"/>
    <col min="10039" max="10039" width="13.85546875" customWidth="1"/>
    <col min="10040" max="10040" width="13.42578125" customWidth="1"/>
    <col min="10041" max="10041" width="12.7109375" customWidth="1"/>
    <col min="10042" max="10042" width="17.140625" customWidth="1"/>
    <col min="10043" max="10043" width="19.28515625" customWidth="1"/>
    <col min="10044" max="10044" width="10.7109375" customWidth="1"/>
    <col min="10045" max="10046" width="18.5703125" customWidth="1"/>
    <col min="10047" max="10047" width="13.140625" customWidth="1"/>
    <col min="10048" max="10048" width="17.5703125" customWidth="1"/>
    <col min="10049" max="10049" width="10.7109375" customWidth="1"/>
    <col min="10271" max="10271" width="7.7109375" customWidth="1"/>
    <col min="10272" max="10272" width="10.7109375" customWidth="1"/>
    <col min="10273" max="10273" width="12.85546875" customWidth="1"/>
    <col min="10274" max="10274" width="10.7109375" customWidth="1"/>
    <col min="10275" max="10275" width="13.140625" customWidth="1"/>
    <col min="10276" max="10276" width="10.5703125" customWidth="1"/>
    <col min="10277" max="10277" width="10.7109375" customWidth="1"/>
    <col min="10278" max="10278" width="28.42578125" customWidth="1"/>
    <col min="10279" max="10279" width="5.7109375" customWidth="1"/>
    <col min="10280" max="10280" width="18.42578125" customWidth="1"/>
    <col min="10281" max="10281" width="14" customWidth="1"/>
    <col min="10282" max="10282" width="11.42578125" customWidth="1"/>
    <col min="10283" max="10283" width="10.7109375" customWidth="1"/>
    <col min="10284" max="10284" width="14.85546875" customWidth="1"/>
    <col min="10285" max="10285" width="7.5703125" customWidth="1"/>
    <col min="10286" max="10286" width="12" customWidth="1"/>
    <col min="10287" max="10287" width="10.7109375" customWidth="1"/>
    <col min="10288" max="10288" width="12.7109375" customWidth="1"/>
    <col min="10289" max="10289" width="11.28515625" customWidth="1"/>
    <col min="10290" max="10293" width="10.7109375" customWidth="1"/>
    <col min="10294" max="10294" width="13.140625" customWidth="1"/>
    <col min="10295" max="10295" width="13.85546875" customWidth="1"/>
    <col min="10296" max="10296" width="13.42578125" customWidth="1"/>
    <col min="10297" max="10297" width="12.7109375" customWidth="1"/>
    <col min="10298" max="10298" width="17.140625" customWidth="1"/>
    <col min="10299" max="10299" width="19.28515625" customWidth="1"/>
    <col min="10300" max="10300" width="10.7109375" customWidth="1"/>
    <col min="10301" max="10302" width="18.5703125" customWidth="1"/>
    <col min="10303" max="10303" width="13.140625" customWidth="1"/>
    <col min="10304" max="10304" width="17.5703125" customWidth="1"/>
    <col min="10305" max="10305" width="10.7109375" customWidth="1"/>
    <col min="10527" max="10527" width="7.7109375" customWidth="1"/>
    <col min="10528" max="10528" width="10.7109375" customWidth="1"/>
    <col min="10529" max="10529" width="12.85546875" customWidth="1"/>
    <col min="10530" max="10530" width="10.7109375" customWidth="1"/>
    <col min="10531" max="10531" width="13.140625" customWidth="1"/>
    <col min="10532" max="10532" width="10.5703125" customWidth="1"/>
    <col min="10533" max="10533" width="10.7109375" customWidth="1"/>
    <col min="10534" max="10534" width="28.42578125" customWidth="1"/>
    <col min="10535" max="10535" width="5.7109375" customWidth="1"/>
    <col min="10536" max="10536" width="18.42578125" customWidth="1"/>
    <col min="10537" max="10537" width="14" customWidth="1"/>
    <col min="10538" max="10538" width="11.42578125" customWidth="1"/>
    <col min="10539" max="10539" width="10.7109375" customWidth="1"/>
    <col min="10540" max="10540" width="14.85546875" customWidth="1"/>
    <col min="10541" max="10541" width="7.5703125" customWidth="1"/>
    <col min="10542" max="10542" width="12" customWidth="1"/>
    <col min="10543" max="10543" width="10.7109375" customWidth="1"/>
    <col min="10544" max="10544" width="12.7109375" customWidth="1"/>
    <col min="10545" max="10545" width="11.28515625" customWidth="1"/>
    <col min="10546" max="10549" width="10.7109375" customWidth="1"/>
    <col min="10550" max="10550" width="13.140625" customWidth="1"/>
    <col min="10551" max="10551" width="13.85546875" customWidth="1"/>
    <col min="10552" max="10552" width="13.42578125" customWidth="1"/>
    <col min="10553" max="10553" width="12.7109375" customWidth="1"/>
    <col min="10554" max="10554" width="17.140625" customWidth="1"/>
    <col min="10555" max="10555" width="19.28515625" customWidth="1"/>
    <col min="10556" max="10556" width="10.7109375" customWidth="1"/>
    <col min="10557" max="10558" width="18.5703125" customWidth="1"/>
    <col min="10559" max="10559" width="13.140625" customWidth="1"/>
    <col min="10560" max="10560" width="17.5703125" customWidth="1"/>
    <col min="10561" max="10561" width="10.7109375" customWidth="1"/>
    <col min="10783" max="10783" width="7.7109375" customWidth="1"/>
    <col min="10784" max="10784" width="10.7109375" customWidth="1"/>
    <col min="10785" max="10785" width="12.85546875" customWidth="1"/>
    <col min="10786" max="10786" width="10.7109375" customWidth="1"/>
    <col min="10787" max="10787" width="13.140625" customWidth="1"/>
    <col min="10788" max="10788" width="10.5703125" customWidth="1"/>
    <col min="10789" max="10789" width="10.7109375" customWidth="1"/>
    <col min="10790" max="10790" width="28.42578125" customWidth="1"/>
    <col min="10791" max="10791" width="5.7109375" customWidth="1"/>
    <col min="10792" max="10792" width="18.42578125" customWidth="1"/>
    <col min="10793" max="10793" width="14" customWidth="1"/>
    <col min="10794" max="10794" width="11.42578125" customWidth="1"/>
    <col min="10795" max="10795" width="10.7109375" customWidth="1"/>
    <col min="10796" max="10796" width="14.85546875" customWidth="1"/>
    <col min="10797" max="10797" width="7.5703125" customWidth="1"/>
    <col min="10798" max="10798" width="12" customWidth="1"/>
    <col min="10799" max="10799" width="10.7109375" customWidth="1"/>
    <col min="10800" max="10800" width="12.7109375" customWidth="1"/>
    <col min="10801" max="10801" width="11.28515625" customWidth="1"/>
    <col min="10802" max="10805" width="10.7109375" customWidth="1"/>
    <col min="10806" max="10806" width="13.140625" customWidth="1"/>
    <col min="10807" max="10807" width="13.85546875" customWidth="1"/>
    <col min="10808" max="10808" width="13.42578125" customWidth="1"/>
    <col min="10809" max="10809" width="12.7109375" customWidth="1"/>
    <col min="10810" max="10810" width="17.140625" customWidth="1"/>
    <col min="10811" max="10811" width="19.28515625" customWidth="1"/>
    <col min="10812" max="10812" width="10.7109375" customWidth="1"/>
    <col min="10813" max="10814" width="18.5703125" customWidth="1"/>
    <col min="10815" max="10815" width="13.140625" customWidth="1"/>
    <col min="10816" max="10816" width="17.5703125" customWidth="1"/>
    <col min="10817" max="10817" width="10.7109375" customWidth="1"/>
    <col min="11039" max="11039" width="7.7109375" customWidth="1"/>
    <col min="11040" max="11040" width="10.7109375" customWidth="1"/>
    <col min="11041" max="11041" width="12.85546875" customWidth="1"/>
    <col min="11042" max="11042" width="10.7109375" customWidth="1"/>
    <col min="11043" max="11043" width="13.140625" customWidth="1"/>
    <col min="11044" max="11044" width="10.5703125" customWidth="1"/>
    <col min="11045" max="11045" width="10.7109375" customWidth="1"/>
    <col min="11046" max="11046" width="28.42578125" customWidth="1"/>
    <col min="11047" max="11047" width="5.7109375" customWidth="1"/>
    <col min="11048" max="11048" width="18.42578125" customWidth="1"/>
    <col min="11049" max="11049" width="14" customWidth="1"/>
    <col min="11050" max="11050" width="11.42578125" customWidth="1"/>
    <col min="11051" max="11051" width="10.7109375" customWidth="1"/>
    <col min="11052" max="11052" width="14.85546875" customWidth="1"/>
    <col min="11053" max="11053" width="7.5703125" customWidth="1"/>
    <col min="11054" max="11054" width="12" customWidth="1"/>
    <col min="11055" max="11055" width="10.7109375" customWidth="1"/>
    <col min="11056" max="11056" width="12.7109375" customWidth="1"/>
    <col min="11057" max="11057" width="11.28515625" customWidth="1"/>
    <col min="11058" max="11061" width="10.7109375" customWidth="1"/>
    <col min="11062" max="11062" width="13.140625" customWidth="1"/>
    <col min="11063" max="11063" width="13.85546875" customWidth="1"/>
    <col min="11064" max="11064" width="13.42578125" customWidth="1"/>
    <col min="11065" max="11065" width="12.7109375" customWidth="1"/>
    <col min="11066" max="11066" width="17.140625" customWidth="1"/>
    <col min="11067" max="11067" width="19.28515625" customWidth="1"/>
    <col min="11068" max="11068" width="10.7109375" customWidth="1"/>
    <col min="11069" max="11070" width="18.5703125" customWidth="1"/>
    <col min="11071" max="11071" width="13.140625" customWidth="1"/>
    <col min="11072" max="11072" width="17.5703125" customWidth="1"/>
    <col min="11073" max="11073" width="10.7109375" customWidth="1"/>
    <col min="11295" max="11295" width="7.7109375" customWidth="1"/>
    <col min="11296" max="11296" width="10.7109375" customWidth="1"/>
    <col min="11297" max="11297" width="12.85546875" customWidth="1"/>
    <col min="11298" max="11298" width="10.7109375" customWidth="1"/>
    <col min="11299" max="11299" width="13.140625" customWidth="1"/>
    <col min="11300" max="11300" width="10.5703125" customWidth="1"/>
    <col min="11301" max="11301" width="10.7109375" customWidth="1"/>
    <col min="11302" max="11302" width="28.42578125" customWidth="1"/>
    <col min="11303" max="11303" width="5.7109375" customWidth="1"/>
    <col min="11304" max="11304" width="18.42578125" customWidth="1"/>
    <col min="11305" max="11305" width="14" customWidth="1"/>
    <col min="11306" max="11306" width="11.42578125" customWidth="1"/>
    <col min="11307" max="11307" width="10.7109375" customWidth="1"/>
    <col min="11308" max="11308" width="14.85546875" customWidth="1"/>
    <col min="11309" max="11309" width="7.5703125" customWidth="1"/>
    <col min="11310" max="11310" width="12" customWidth="1"/>
    <col min="11311" max="11311" width="10.7109375" customWidth="1"/>
    <col min="11312" max="11312" width="12.7109375" customWidth="1"/>
    <col min="11313" max="11313" width="11.28515625" customWidth="1"/>
    <col min="11314" max="11317" width="10.7109375" customWidth="1"/>
    <col min="11318" max="11318" width="13.140625" customWidth="1"/>
    <col min="11319" max="11319" width="13.85546875" customWidth="1"/>
    <col min="11320" max="11320" width="13.42578125" customWidth="1"/>
    <col min="11321" max="11321" width="12.7109375" customWidth="1"/>
    <col min="11322" max="11322" width="17.140625" customWidth="1"/>
    <col min="11323" max="11323" width="19.28515625" customWidth="1"/>
    <col min="11324" max="11324" width="10.7109375" customWidth="1"/>
    <col min="11325" max="11326" width="18.5703125" customWidth="1"/>
    <col min="11327" max="11327" width="13.140625" customWidth="1"/>
    <col min="11328" max="11328" width="17.5703125" customWidth="1"/>
    <col min="11329" max="11329" width="10.7109375" customWidth="1"/>
    <col min="11551" max="11551" width="7.7109375" customWidth="1"/>
    <col min="11552" max="11552" width="10.7109375" customWidth="1"/>
    <col min="11553" max="11553" width="12.85546875" customWidth="1"/>
    <col min="11554" max="11554" width="10.7109375" customWidth="1"/>
    <col min="11555" max="11555" width="13.140625" customWidth="1"/>
    <col min="11556" max="11556" width="10.5703125" customWidth="1"/>
    <col min="11557" max="11557" width="10.7109375" customWidth="1"/>
    <col min="11558" max="11558" width="28.42578125" customWidth="1"/>
    <col min="11559" max="11559" width="5.7109375" customWidth="1"/>
    <col min="11560" max="11560" width="18.42578125" customWidth="1"/>
    <col min="11561" max="11561" width="14" customWidth="1"/>
    <col min="11562" max="11562" width="11.42578125" customWidth="1"/>
    <col min="11563" max="11563" width="10.7109375" customWidth="1"/>
    <col min="11564" max="11564" width="14.85546875" customWidth="1"/>
    <col min="11565" max="11565" width="7.5703125" customWidth="1"/>
    <col min="11566" max="11566" width="12" customWidth="1"/>
    <col min="11567" max="11567" width="10.7109375" customWidth="1"/>
    <col min="11568" max="11568" width="12.7109375" customWidth="1"/>
    <col min="11569" max="11569" width="11.28515625" customWidth="1"/>
    <col min="11570" max="11573" width="10.7109375" customWidth="1"/>
    <col min="11574" max="11574" width="13.140625" customWidth="1"/>
    <col min="11575" max="11575" width="13.85546875" customWidth="1"/>
    <col min="11576" max="11576" width="13.42578125" customWidth="1"/>
    <col min="11577" max="11577" width="12.7109375" customWidth="1"/>
    <col min="11578" max="11578" width="17.140625" customWidth="1"/>
    <col min="11579" max="11579" width="19.28515625" customWidth="1"/>
    <col min="11580" max="11580" width="10.7109375" customWidth="1"/>
    <col min="11581" max="11582" width="18.5703125" customWidth="1"/>
    <col min="11583" max="11583" width="13.140625" customWidth="1"/>
    <col min="11584" max="11584" width="17.5703125" customWidth="1"/>
    <col min="11585" max="11585" width="10.7109375" customWidth="1"/>
    <col min="11807" max="11807" width="7.7109375" customWidth="1"/>
    <col min="11808" max="11808" width="10.7109375" customWidth="1"/>
    <col min="11809" max="11809" width="12.85546875" customWidth="1"/>
    <col min="11810" max="11810" width="10.7109375" customWidth="1"/>
    <col min="11811" max="11811" width="13.140625" customWidth="1"/>
    <col min="11812" max="11812" width="10.5703125" customWidth="1"/>
    <col min="11813" max="11813" width="10.7109375" customWidth="1"/>
    <col min="11814" max="11814" width="28.42578125" customWidth="1"/>
    <col min="11815" max="11815" width="5.7109375" customWidth="1"/>
    <col min="11816" max="11816" width="18.42578125" customWidth="1"/>
    <col min="11817" max="11817" width="14" customWidth="1"/>
    <col min="11818" max="11818" width="11.42578125" customWidth="1"/>
    <col min="11819" max="11819" width="10.7109375" customWidth="1"/>
    <col min="11820" max="11820" width="14.85546875" customWidth="1"/>
    <col min="11821" max="11821" width="7.5703125" customWidth="1"/>
    <col min="11822" max="11822" width="12" customWidth="1"/>
    <col min="11823" max="11823" width="10.7109375" customWidth="1"/>
    <col min="11824" max="11824" width="12.7109375" customWidth="1"/>
    <col min="11825" max="11825" width="11.28515625" customWidth="1"/>
    <col min="11826" max="11829" width="10.7109375" customWidth="1"/>
    <col min="11830" max="11830" width="13.140625" customWidth="1"/>
    <col min="11831" max="11831" width="13.85546875" customWidth="1"/>
    <col min="11832" max="11832" width="13.42578125" customWidth="1"/>
    <col min="11833" max="11833" width="12.7109375" customWidth="1"/>
    <col min="11834" max="11834" width="17.140625" customWidth="1"/>
    <col min="11835" max="11835" width="19.28515625" customWidth="1"/>
    <col min="11836" max="11836" width="10.7109375" customWidth="1"/>
    <col min="11837" max="11838" width="18.5703125" customWidth="1"/>
    <col min="11839" max="11839" width="13.140625" customWidth="1"/>
    <col min="11840" max="11840" width="17.5703125" customWidth="1"/>
    <col min="11841" max="11841" width="10.7109375" customWidth="1"/>
    <col min="12063" max="12063" width="7.7109375" customWidth="1"/>
    <col min="12064" max="12064" width="10.7109375" customWidth="1"/>
    <col min="12065" max="12065" width="12.85546875" customWidth="1"/>
    <col min="12066" max="12066" width="10.7109375" customWidth="1"/>
    <col min="12067" max="12067" width="13.140625" customWidth="1"/>
    <col min="12068" max="12068" width="10.5703125" customWidth="1"/>
    <col min="12069" max="12069" width="10.7109375" customWidth="1"/>
    <col min="12070" max="12070" width="28.42578125" customWidth="1"/>
    <col min="12071" max="12071" width="5.7109375" customWidth="1"/>
    <col min="12072" max="12072" width="18.42578125" customWidth="1"/>
    <col min="12073" max="12073" width="14" customWidth="1"/>
    <col min="12074" max="12074" width="11.42578125" customWidth="1"/>
    <col min="12075" max="12075" width="10.7109375" customWidth="1"/>
    <col min="12076" max="12076" width="14.85546875" customWidth="1"/>
    <col min="12077" max="12077" width="7.5703125" customWidth="1"/>
    <col min="12078" max="12078" width="12" customWidth="1"/>
    <col min="12079" max="12079" width="10.7109375" customWidth="1"/>
    <col min="12080" max="12080" width="12.7109375" customWidth="1"/>
    <col min="12081" max="12081" width="11.28515625" customWidth="1"/>
    <col min="12082" max="12085" width="10.7109375" customWidth="1"/>
    <col min="12086" max="12086" width="13.140625" customWidth="1"/>
    <col min="12087" max="12087" width="13.85546875" customWidth="1"/>
    <col min="12088" max="12088" width="13.42578125" customWidth="1"/>
    <col min="12089" max="12089" width="12.7109375" customWidth="1"/>
    <col min="12090" max="12090" width="17.140625" customWidth="1"/>
    <col min="12091" max="12091" width="19.28515625" customWidth="1"/>
    <col min="12092" max="12092" width="10.7109375" customWidth="1"/>
    <col min="12093" max="12094" width="18.5703125" customWidth="1"/>
    <col min="12095" max="12095" width="13.140625" customWidth="1"/>
    <col min="12096" max="12096" width="17.5703125" customWidth="1"/>
    <col min="12097" max="12097" width="10.7109375" customWidth="1"/>
    <col min="12319" max="12319" width="7.7109375" customWidth="1"/>
    <col min="12320" max="12320" width="10.7109375" customWidth="1"/>
    <col min="12321" max="12321" width="12.85546875" customWidth="1"/>
    <col min="12322" max="12322" width="10.7109375" customWidth="1"/>
    <col min="12323" max="12323" width="13.140625" customWidth="1"/>
    <col min="12324" max="12324" width="10.5703125" customWidth="1"/>
    <col min="12325" max="12325" width="10.7109375" customWidth="1"/>
    <col min="12326" max="12326" width="28.42578125" customWidth="1"/>
    <col min="12327" max="12327" width="5.7109375" customWidth="1"/>
    <col min="12328" max="12328" width="18.42578125" customWidth="1"/>
    <col min="12329" max="12329" width="14" customWidth="1"/>
    <col min="12330" max="12330" width="11.42578125" customWidth="1"/>
    <col min="12331" max="12331" width="10.7109375" customWidth="1"/>
    <col min="12332" max="12332" width="14.85546875" customWidth="1"/>
    <col min="12333" max="12333" width="7.5703125" customWidth="1"/>
    <col min="12334" max="12334" width="12" customWidth="1"/>
    <col min="12335" max="12335" width="10.7109375" customWidth="1"/>
    <col min="12336" max="12336" width="12.7109375" customWidth="1"/>
    <col min="12337" max="12337" width="11.28515625" customWidth="1"/>
    <col min="12338" max="12341" width="10.7109375" customWidth="1"/>
    <col min="12342" max="12342" width="13.140625" customWidth="1"/>
    <col min="12343" max="12343" width="13.85546875" customWidth="1"/>
    <col min="12344" max="12344" width="13.42578125" customWidth="1"/>
    <col min="12345" max="12345" width="12.7109375" customWidth="1"/>
    <col min="12346" max="12346" width="17.140625" customWidth="1"/>
    <col min="12347" max="12347" width="19.28515625" customWidth="1"/>
    <col min="12348" max="12348" width="10.7109375" customWidth="1"/>
    <col min="12349" max="12350" width="18.5703125" customWidth="1"/>
    <col min="12351" max="12351" width="13.140625" customWidth="1"/>
    <col min="12352" max="12352" width="17.5703125" customWidth="1"/>
    <col min="12353" max="12353" width="10.7109375" customWidth="1"/>
    <col min="12575" max="12575" width="7.7109375" customWidth="1"/>
    <col min="12576" max="12576" width="10.7109375" customWidth="1"/>
    <col min="12577" max="12577" width="12.85546875" customWidth="1"/>
    <col min="12578" max="12578" width="10.7109375" customWidth="1"/>
    <col min="12579" max="12579" width="13.140625" customWidth="1"/>
    <col min="12580" max="12580" width="10.5703125" customWidth="1"/>
    <col min="12581" max="12581" width="10.7109375" customWidth="1"/>
    <col min="12582" max="12582" width="28.42578125" customWidth="1"/>
    <col min="12583" max="12583" width="5.7109375" customWidth="1"/>
    <col min="12584" max="12584" width="18.42578125" customWidth="1"/>
    <col min="12585" max="12585" width="14" customWidth="1"/>
    <col min="12586" max="12586" width="11.42578125" customWidth="1"/>
    <col min="12587" max="12587" width="10.7109375" customWidth="1"/>
    <col min="12588" max="12588" width="14.85546875" customWidth="1"/>
    <col min="12589" max="12589" width="7.5703125" customWidth="1"/>
    <col min="12590" max="12590" width="12" customWidth="1"/>
    <col min="12591" max="12591" width="10.7109375" customWidth="1"/>
    <col min="12592" max="12592" width="12.7109375" customWidth="1"/>
    <col min="12593" max="12593" width="11.28515625" customWidth="1"/>
    <col min="12594" max="12597" width="10.7109375" customWidth="1"/>
    <col min="12598" max="12598" width="13.140625" customWidth="1"/>
    <col min="12599" max="12599" width="13.85546875" customWidth="1"/>
    <col min="12600" max="12600" width="13.42578125" customWidth="1"/>
    <col min="12601" max="12601" width="12.7109375" customWidth="1"/>
    <col min="12602" max="12602" width="17.140625" customWidth="1"/>
    <col min="12603" max="12603" width="19.28515625" customWidth="1"/>
    <col min="12604" max="12604" width="10.7109375" customWidth="1"/>
    <col min="12605" max="12606" width="18.5703125" customWidth="1"/>
    <col min="12607" max="12607" width="13.140625" customWidth="1"/>
    <col min="12608" max="12608" width="17.5703125" customWidth="1"/>
    <col min="12609" max="12609" width="10.7109375" customWidth="1"/>
    <col min="12831" max="12831" width="7.7109375" customWidth="1"/>
    <col min="12832" max="12832" width="10.7109375" customWidth="1"/>
    <col min="12833" max="12833" width="12.85546875" customWidth="1"/>
    <col min="12834" max="12834" width="10.7109375" customWidth="1"/>
    <col min="12835" max="12835" width="13.140625" customWidth="1"/>
    <col min="12836" max="12836" width="10.5703125" customWidth="1"/>
    <col min="12837" max="12837" width="10.7109375" customWidth="1"/>
    <col min="12838" max="12838" width="28.42578125" customWidth="1"/>
    <col min="12839" max="12839" width="5.7109375" customWidth="1"/>
    <col min="12840" max="12840" width="18.42578125" customWidth="1"/>
    <col min="12841" max="12841" width="14" customWidth="1"/>
    <col min="12842" max="12842" width="11.42578125" customWidth="1"/>
    <col min="12843" max="12843" width="10.7109375" customWidth="1"/>
    <col min="12844" max="12844" width="14.85546875" customWidth="1"/>
    <col min="12845" max="12845" width="7.5703125" customWidth="1"/>
    <col min="12846" max="12846" width="12" customWidth="1"/>
    <col min="12847" max="12847" width="10.7109375" customWidth="1"/>
    <col min="12848" max="12848" width="12.7109375" customWidth="1"/>
    <col min="12849" max="12849" width="11.28515625" customWidth="1"/>
    <col min="12850" max="12853" width="10.7109375" customWidth="1"/>
    <col min="12854" max="12854" width="13.140625" customWidth="1"/>
    <col min="12855" max="12855" width="13.85546875" customWidth="1"/>
    <col min="12856" max="12856" width="13.42578125" customWidth="1"/>
    <col min="12857" max="12857" width="12.7109375" customWidth="1"/>
    <col min="12858" max="12858" width="17.140625" customWidth="1"/>
    <col min="12859" max="12859" width="19.28515625" customWidth="1"/>
    <col min="12860" max="12860" width="10.7109375" customWidth="1"/>
    <col min="12861" max="12862" width="18.5703125" customWidth="1"/>
    <col min="12863" max="12863" width="13.140625" customWidth="1"/>
    <col min="12864" max="12864" width="17.5703125" customWidth="1"/>
    <col min="12865" max="12865" width="10.7109375" customWidth="1"/>
    <col min="13087" max="13087" width="7.7109375" customWidth="1"/>
    <col min="13088" max="13088" width="10.7109375" customWidth="1"/>
    <col min="13089" max="13089" width="12.85546875" customWidth="1"/>
    <col min="13090" max="13090" width="10.7109375" customWidth="1"/>
    <col min="13091" max="13091" width="13.140625" customWidth="1"/>
    <col min="13092" max="13092" width="10.5703125" customWidth="1"/>
    <col min="13093" max="13093" width="10.7109375" customWidth="1"/>
    <col min="13094" max="13094" width="28.42578125" customWidth="1"/>
    <col min="13095" max="13095" width="5.7109375" customWidth="1"/>
    <col min="13096" max="13096" width="18.42578125" customWidth="1"/>
    <col min="13097" max="13097" width="14" customWidth="1"/>
    <col min="13098" max="13098" width="11.42578125" customWidth="1"/>
    <col min="13099" max="13099" width="10.7109375" customWidth="1"/>
    <col min="13100" max="13100" width="14.85546875" customWidth="1"/>
    <col min="13101" max="13101" width="7.5703125" customWidth="1"/>
    <col min="13102" max="13102" width="12" customWidth="1"/>
    <col min="13103" max="13103" width="10.7109375" customWidth="1"/>
    <col min="13104" max="13104" width="12.7109375" customWidth="1"/>
    <col min="13105" max="13105" width="11.28515625" customWidth="1"/>
    <col min="13106" max="13109" width="10.7109375" customWidth="1"/>
    <col min="13110" max="13110" width="13.140625" customWidth="1"/>
    <col min="13111" max="13111" width="13.85546875" customWidth="1"/>
    <col min="13112" max="13112" width="13.42578125" customWidth="1"/>
    <col min="13113" max="13113" width="12.7109375" customWidth="1"/>
    <col min="13114" max="13114" width="17.140625" customWidth="1"/>
    <col min="13115" max="13115" width="19.28515625" customWidth="1"/>
    <col min="13116" max="13116" width="10.7109375" customWidth="1"/>
    <col min="13117" max="13118" width="18.5703125" customWidth="1"/>
    <col min="13119" max="13119" width="13.140625" customWidth="1"/>
    <col min="13120" max="13120" width="17.5703125" customWidth="1"/>
    <col min="13121" max="13121" width="10.7109375" customWidth="1"/>
    <col min="13343" max="13343" width="7.7109375" customWidth="1"/>
    <col min="13344" max="13344" width="10.7109375" customWidth="1"/>
    <col min="13345" max="13345" width="12.85546875" customWidth="1"/>
    <col min="13346" max="13346" width="10.7109375" customWidth="1"/>
    <col min="13347" max="13347" width="13.140625" customWidth="1"/>
    <col min="13348" max="13348" width="10.5703125" customWidth="1"/>
    <col min="13349" max="13349" width="10.7109375" customWidth="1"/>
    <col min="13350" max="13350" width="28.42578125" customWidth="1"/>
    <col min="13351" max="13351" width="5.7109375" customWidth="1"/>
    <col min="13352" max="13352" width="18.42578125" customWidth="1"/>
    <col min="13353" max="13353" width="14" customWidth="1"/>
    <col min="13354" max="13354" width="11.42578125" customWidth="1"/>
    <col min="13355" max="13355" width="10.7109375" customWidth="1"/>
    <col min="13356" max="13356" width="14.85546875" customWidth="1"/>
    <col min="13357" max="13357" width="7.5703125" customWidth="1"/>
    <col min="13358" max="13358" width="12" customWidth="1"/>
    <col min="13359" max="13359" width="10.7109375" customWidth="1"/>
    <col min="13360" max="13360" width="12.7109375" customWidth="1"/>
    <col min="13361" max="13361" width="11.28515625" customWidth="1"/>
    <col min="13362" max="13365" width="10.7109375" customWidth="1"/>
    <col min="13366" max="13366" width="13.140625" customWidth="1"/>
    <col min="13367" max="13367" width="13.85546875" customWidth="1"/>
    <col min="13368" max="13368" width="13.42578125" customWidth="1"/>
    <col min="13369" max="13369" width="12.7109375" customWidth="1"/>
    <col min="13370" max="13370" width="17.140625" customWidth="1"/>
    <col min="13371" max="13371" width="19.28515625" customWidth="1"/>
    <col min="13372" max="13372" width="10.7109375" customWidth="1"/>
    <col min="13373" max="13374" width="18.5703125" customWidth="1"/>
    <col min="13375" max="13375" width="13.140625" customWidth="1"/>
    <col min="13376" max="13376" width="17.5703125" customWidth="1"/>
    <col min="13377" max="13377" width="10.7109375" customWidth="1"/>
    <col min="13599" max="13599" width="7.7109375" customWidth="1"/>
    <col min="13600" max="13600" width="10.7109375" customWidth="1"/>
    <col min="13601" max="13601" width="12.85546875" customWidth="1"/>
    <col min="13602" max="13602" width="10.7109375" customWidth="1"/>
    <col min="13603" max="13603" width="13.140625" customWidth="1"/>
    <col min="13604" max="13604" width="10.5703125" customWidth="1"/>
    <col min="13605" max="13605" width="10.7109375" customWidth="1"/>
    <col min="13606" max="13606" width="28.42578125" customWidth="1"/>
    <col min="13607" max="13607" width="5.7109375" customWidth="1"/>
    <col min="13608" max="13608" width="18.42578125" customWidth="1"/>
    <col min="13609" max="13609" width="14" customWidth="1"/>
    <col min="13610" max="13610" width="11.42578125" customWidth="1"/>
    <col min="13611" max="13611" width="10.7109375" customWidth="1"/>
    <col min="13612" max="13612" width="14.85546875" customWidth="1"/>
    <col min="13613" max="13613" width="7.5703125" customWidth="1"/>
    <col min="13614" max="13614" width="12" customWidth="1"/>
    <col min="13615" max="13615" width="10.7109375" customWidth="1"/>
    <col min="13616" max="13616" width="12.7109375" customWidth="1"/>
    <col min="13617" max="13617" width="11.28515625" customWidth="1"/>
    <col min="13618" max="13621" width="10.7109375" customWidth="1"/>
    <col min="13622" max="13622" width="13.140625" customWidth="1"/>
    <col min="13623" max="13623" width="13.85546875" customWidth="1"/>
    <col min="13624" max="13624" width="13.42578125" customWidth="1"/>
    <col min="13625" max="13625" width="12.7109375" customWidth="1"/>
    <col min="13626" max="13626" width="17.140625" customWidth="1"/>
    <col min="13627" max="13627" width="19.28515625" customWidth="1"/>
    <col min="13628" max="13628" width="10.7109375" customWidth="1"/>
    <col min="13629" max="13630" width="18.5703125" customWidth="1"/>
    <col min="13631" max="13631" width="13.140625" customWidth="1"/>
    <col min="13632" max="13632" width="17.5703125" customWidth="1"/>
    <col min="13633" max="13633" width="10.7109375" customWidth="1"/>
    <col min="13855" max="13855" width="7.7109375" customWidth="1"/>
    <col min="13856" max="13856" width="10.7109375" customWidth="1"/>
    <col min="13857" max="13857" width="12.85546875" customWidth="1"/>
    <col min="13858" max="13858" width="10.7109375" customWidth="1"/>
    <col min="13859" max="13859" width="13.140625" customWidth="1"/>
    <col min="13860" max="13860" width="10.5703125" customWidth="1"/>
    <col min="13861" max="13861" width="10.7109375" customWidth="1"/>
    <col min="13862" max="13862" width="28.42578125" customWidth="1"/>
    <col min="13863" max="13863" width="5.7109375" customWidth="1"/>
    <col min="13864" max="13864" width="18.42578125" customWidth="1"/>
    <col min="13865" max="13865" width="14" customWidth="1"/>
    <col min="13866" max="13866" width="11.42578125" customWidth="1"/>
    <col min="13867" max="13867" width="10.7109375" customWidth="1"/>
    <col min="13868" max="13868" width="14.85546875" customWidth="1"/>
    <col min="13869" max="13869" width="7.5703125" customWidth="1"/>
    <col min="13870" max="13870" width="12" customWidth="1"/>
    <col min="13871" max="13871" width="10.7109375" customWidth="1"/>
    <col min="13872" max="13872" width="12.7109375" customWidth="1"/>
    <col min="13873" max="13873" width="11.28515625" customWidth="1"/>
    <col min="13874" max="13877" width="10.7109375" customWidth="1"/>
    <col min="13878" max="13878" width="13.140625" customWidth="1"/>
    <col min="13879" max="13879" width="13.85546875" customWidth="1"/>
    <col min="13880" max="13880" width="13.42578125" customWidth="1"/>
    <col min="13881" max="13881" width="12.7109375" customWidth="1"/>
    <col min="13882" max="13882" width="17.140625" customWidth="1"/>
    <col min="13883" max="13883" width="19.28515625" customWidth="1"/>
    <col min="13884" max="13884" width="10.7109375" customWidth="1"/>
    <col min="13885" max="13886" width="18.5703125" customWidth="1"/>
    <col min="13887" max="13887" width="13.140625" customWidth="1"/>
    <col min="13888" max="13888" width="17.5703125" customWidth="1"/>
    <col min="13889" max="13889" width="10.7109375" customWidth="1"/>
    <col min="14111" max="14111" width="7.7109375" customWidth="1"/>
    <col min="14112" max="14112" width="10.7109375" customWidth="1"/>
    <col min="14113" max="14113" width="12.85546875" customWidth="1"/>
    <col min="14114" max="14114" width="10.7109375" customWidth="1"/>
    <col min="14115" max="14115" width="13.140625" customWidth="1"/>
    <col min="14116" max="14116" width="10.5703125" customWidth="1"/>
    <col min="14117" max="14117" width="10.7109375" customWidth="1"/>
    <col min="14118" max="14118" width="28.42578125" customWidth="1"/>
    <col min="14119" max="14119" width="5.7109375" customWidth="1"/>
    <col min="14120" max="14120" width="18.42578125" customWidth="1"/>
    <col min="14121" max="14121" width="14" customWidth="1"/>
    <col min="14122" max="14122" width="11.42578125" customWidth="1"/>
    <col min="14123" max="14123" width="10.7109375" customWidth="1"/>
    <col min="14124" max="14124" width="14.85546875" customWidth="1"/>
    <col min="14125" max="14125" width="7.5703125" customWidth="1"/>
    <col min="14126" max="14126" width="12" customWidth="1"/>
    <col min="14127" max="14127" width="10.7109375" customWidth="1"/>
    <col min="14128" max="14128" width="12.7109375" customWidth="1"/>
    <col min="14129" max="14129" width="11.28515625" customWidth="1"/>
    <col min="14130" max="14133" width="10.7109375" customWidth="1"/>
    <col min="14134" max="14134" width="13.140625" customWidth="1"/>
    <col min="14135" max="14135" width="13.85546875" customWidth="1"/>
    <col min="14136" max="14136" width="13.42578125" customWidth="1"/>
    <col min="14137" max="14137" width="12.7109375" customWidth="1"/>
    <col min="14138" max="14138" width="17.140625" customWidth="1"/>
    <col min="14139" max="14139" width="19.28515625" customWidth="1"/>
    <col min="14140" max="14140" width="10.7109375" customWidth="1"/>
    <col min="14141" max="14142" width="18.5703125" customWidth="1"/>
    <col min="14143" max="14143" width="13.140625" customWidth="1"/>
    <col min="14144" max="14144" width="17.5703125" customWidth="1"/>
    <col min="14145" max="14145" width="10.7109375" customWidth="1"/>
    <col min="14367" max="14367" width="7.7109375" customWidth="1"/>
    <col min="14368" max="14368" width="10.7109375" customWidth="1"/>
    <col min="14369" max="14369" width="12.85546875" customWidth="1"/>
    <col min="14370" max="14370" width="10.7109375" customWidth="1"/>
    <col min="14371" max="14371" width="13.140625" customWidth="1"/>
    <col min="14372" max="14372" width="10.5703125" customWidth="1"/>
    <col min="14373" max="14373" width="10.7109375" customWidth="1"/>
    <col min="14374" max="14374" width="28.42578125" customWidth="1"/>
    <col min="14375" max="14375" width="5.7109375" customWidth="1"/>
    <col min="14376" max="14376" width="18.42578125" customWidth="1"/>
    <col min="14377" max="14377" width="14" customWidth="1"/>
    <col min="14378" max="14378" width="11.42578125" customWidth="1"/>
    <col min="14379" max="14379" width="10.7109375" customWidth="1"/>
    <col min="14380" max="14380" width="14.85546875" customWidth="1"/>
    <col min="14381" max="14381" width="7.5703125" customWidth="1"/>
    <col min="14382" max="14382" width="12" customWidth="1"/>
    <col min="14383" max="14383" width="10.7109375" customWidth="1"/>
    <col min="14384" max="14384" width="12.7109375" customWidth="1"/>
    <col min="14385" max="14385" width="11.28515625" customWidth="1"/>
    <col min="14386" max="14389" width="10.7109375" customWidth="1"/>
    <col min="14390" max="14390" width="13.140625" customWidth="1"/>
    <col min="14391" max="14391" width="13.85546875" customWidth="1"/>
    <col min="14392" max="14392" width="13.42578125" customWidth="1"/>
    <col min="14393" max="14393" width="12.7109375" customWidth="1"/>
    <col min="14394" max="14394" width="17.140625" customWidth="1"/>
    <col min="14395" max="14395" width="19.28515625" customWidth="1"/>
    <col min="14396" max="14396" width="10.7109375" customWidth="1"/>
    <col min="14397" max="14398" width="18.5703125" customWidth="1"/>
    <col min="14399" max="14399" width="13.140625" customWidth="1"/>
    <col min="14400" max="14400" width="17.5703125" customWidth="1"/>
    <col min="14401" max="14401" width="10.7109375" customWidth="1"/>
    <col min="14623" max="14623" width="7.7109375" customWidth="1"/>
    <col min="14624" max="14624" width="10.7109375" customWidth="1"/>
    <col min="14625" max="14625" width="12.85546875" customWidth="1"/>
    <col min="14626" max="14626" width="10.7109375" customWidth="1"/>
    <col min="14627" max="14627" width="13.140625" customWidth="1"/>
    <col min="14628" max="14628" width="10.5703125" customWidth="1"/>
    <col min="14629" max="14629" width="10.7109375" customWidth="1"/>
    <col min="14630" max="14630" width="28.42578125" customWidth="1"/>
    <col min="14631" max="14631" width="5.7109375" customWidth="1"/>
    <col min="14632" max="14632" width="18.42578125" customWidth="1"/>
    <col min="14633" max="14633" width="14" customWidth="1"/>
    <col min="14634" max="14634" width="11.42578125" customWidth="1"/>
    <col min="14635" max="14635" width="10.7109375" customWidth="1"/>
    <col min="14636" max="14636" width="14.85546875" customWidth="1"/>
    <col min="14637" max="14637" width="7.5703125" customWidth="1"/>
    <col min="14638" max="14638" width="12" customWidth="1"/>
    <col min="14639" max="14639" width="10.7109375" customWidth="1"/>
    <col min="14640" max="14640" width="12.7109375" customWidth="1"/>
    <col min="14641" max="14641" width="11.28515625" customWidth="1"/>
    <col min="14642" max="14645" width="10.7109375" customWidth="1"/>
    <col min="14646" max="14646" width="13.140625" customWidth="1"/>
    <col min="14647" max="14647" width="13.85546875" customWidth="1"/>
    <col min="14648" max="14648" width="13.42578125" customWidth="1"/>
    <col min="14649" max="14649" width="12.7109375" customWidth="1"/>
    <col min="14650" max="14650" width="17.140625" customWidth="1"/>
    <col min="14651" max="14651" width="19.28515625" customWidth="1"/>
    <col min="14652" max="14652" width="10.7109375" customWidth="1"/>
    <col min="14653" max="14654" width="18.5703125" customWidth="1"/>
    <col min="14655" max="14655" width="13.140625" customWidth="1"/>
    <col min="14656" max="14656" width="17.5703125" customWidth="1"/>
    <col min="14657" max="14657" width="10.7109375" customWidth="1"/>
    <col min="14879" max="14879" width="7.7109375" customWidth="1"/>
    <col min="14880" max="14880" width="10.7109375" customWidth="1"/>
    <col min="14881" max="14881" width="12.85546875" customWidth="1"/>
    <col min="14882" max="14882" width="10.7109375" customWidth="1"/>
    <col min="14883" max="14883" width="13.140625" customWidth="1"/>
    <col min="14884" max="14884" width="10.5703125" customWidth="1"/>
    <col min="14885" max="14885" width="10.7109375" customWidth="1"/>
    <col min="14886" max="14886" width="28.42578125" customWidth="1"/>
    <col min="14887" max="14887" width="5.7109375" customWidth="1"/>
    <col min="14888" max="14888" width="18.42578125" customWidth="1"/>
    <col min="14889" max="14889" width="14" customWidth="1"/>
    <col min="14890" max="14890" width="11.42578125" customWidth="1"/>
    <col min="14891" max="14891" width="10.7109375" customWidth="1"/>
    <col min="14892" max="14892" width="14.85546875" customWidth="1"/>
    <col min="14893" max="14893" width="7.5703125" customWidth="1"/>
    <col min="14894" max="14894" width="12" customWidth="1"/>
    <col min="14895" max="14895" width="10.7109375" customWidth="1"/>
    <col min="14896" max="14896" width="12.7109375" customWidth="1"/>
    <col min="14897" max="14897" width="11.28515625" customWidth="1"/>
    <col min="14898" max="14901" width="10.7109375" customWidth="1"/>
    <col min="14902" max="14902" width="13.140625" customWidth="1"/>
    <col min="14903" max="14903" width="13.85546875" customWidth="1"/>
    <col min="14904" max="14904" width="13.42578125" customWidth="1"/>
    <col min="14905" max="14905" width="12.7109375" customWidth="1"/>
    <col min="14906" max="14906" width="17.140625" customWidth="1"/>
    <col min="14907" max="14907" width="19.28515625" customWidth="1"/>
    <col min="14908" max="14908" width="10.7109375" customWidth="1"/>
    <col min="14909" max="14910" width="18.5703125" customWidth="1"/>
    <col min="14911" max="14911" width="13.140625" customWidth="1"/>
    <col min="14912" max="14912" width="17.5703125" customWidth="1"/>
    <col min="14913" max="14913" width="10.7109375" customWidth="1"/>
    <col min="15135" max="15135" width="7.7109375" customWidth="1"/>
    <col min="15136" max="15136" width="10.7109375" customWidth="1"/>
    <col min="15137" max="15137" width="12.85546875" customWidth="1"/>
    <col min="15138" max="15138" width="10.7109375" customWidth="1"/>
    <col min="15139" max="15139" width="13.140625" customWidth="1"/>
    <col min="15140" max="15140" width="10.5703125" customWidth="1"/>
    <col min="15141" max="15141" width="10.7109375" customWidth="1"/>
    <col min="15142" max="15142" width="28.42578125" customWidth="1"/>
    <col min="15143" max="15143" width="5.7109375" customWidth="1"/>
    <col min="15144" max="15144" width="18.42578125" customWidth="1"/>
    <col min="15145" max="15145" width="14" customWidth="1"/>
    <col min="15146" max="15146" width="11.42578125" customWidth="1"/>
    <col min="15147" max="15147" width="10.7109375" customWidth="1"/>
    <col min="15148" max="15148" width="14.85546875" customWidth="1"/>
    <col min="15149" max="15149" width="7.5703125" customWidth="1"/>
    <col min="15150" max="15150" width="12" customWidth="1"/>
    <col min="15151" max="15151" width="10.7109375" customWidth="1"/>
    <col min="15152" max="15152" width="12.7109375" customWidth="1"/>
    <col min="15153" max="15153" width="11.28515625" customWidth="1"/>
    <col min="15154" max="15157" width="10.7109375" customWidth="1"/>
    <col min="15158" max="15158" width="13.140625" customWidth="1"/>
    <col min="15159" max="15159" width="13.85546875" customWidth="1"/>
    <col min="15160" max="15160" width="13.42578125" customWidth="1"/>
    <col min="15161" max="15161" width="12.7109375" customWidth="1"/>
    <col min="15162" max="15162" width="17.140625" customWidth="1"/>
    <col min="15163" max="15163" width="19.28515625" customWidth="1"/>
    <col min="15164" max="15164" width="10.7109375" customWidth="1"/>
    <col min="15165" max="15166" width="18.5703125" customWidth="1"/>
    <col min="15167" max="15167" width="13.140625" customWidth="1"/>
    <col min="15168" max="15168" width="17.5703125" customWidth="1"/>
    <col min="15169" max="15169" width="10.7109375" customWidth="1"/>
    <col min="15391" max="15391" width="7.7109375" customWidth="1"/>
    <col min="15392" max="15392" width="10.7109375" customWidth="1"/>
    <col min="15393" max="15393" width="12.85546875" customWidth="1"/>
    <col min="15394" max="15394" width="10.7109375" customWidth="1"/>
    <col min="15395" max="15395" width="13.140625" customWidth="1"/>
    <col min="15396" max="15396" width="10.5703125" customWidth="1"/>
    <col min="15397" max="15397" width="10.7109375" customWidth="1"/>
    <col min="15398" max="15398" width="28.42578125" customWidth="1"/>
    <col min="15399" max="15399" width="5.7109375" customWidth="1"/>
    <col min="15400" max="15400" width="18.42578125" customWidth="1"/>
    <col min="15401" max="15401" width="14" customWidth="1"/>
    <col min="15402" max="15402" width="11.42578125" customWidth="1"/>
    <col min="15403" max="15403" width="10.7109375" customWidth="1"/>
    <col min="15404" max="15404" width="14.85546875" customWidth="1"/>
    <col min="15405" max="15405" width="7.5703125" customWidth="1"/>
    <col min="15406" max="15406" width="12" customWidth="1"/>
    <col min="15407" max="15407" width="10.7109375" customWidth="1"/>
    <col min="15408" max="15408" width="12.7109375" customWidth="1"/>
    <col min="15409" max="15409" width="11.28515625" customWidth="1"/>
    <col min="15410" max="15413" width="10.7109375" customWidth="1"/>
    <col min="15414" max="15414" width="13.140625" customWidth="1"/>
    <col min="15415" max="15415" width="13.85546875" customWidth="1"/>
    <col min="15416" max="15416" width="13.42578125" customWidth="1"/>
    <col min="15417" max="15417" width="12.7109375" customWidth="1"/>
    <col min="15418" max="15418" width="17.140625" customWidth="1"/>
    <col min="15419" max="15419" width="19.28515625" customWidth="1"/>
    <col min="15420" max="15420" width="10.7109375" customWidth="1"/>
    <col min="15421" max="15422" width="18.5703125" customWidth="1"/>
    <col min="15423" max="15423" width="13.140625" customWidth="1"/>
    <col min="15424" max="15424" width="17.5703125" customWidth="1"/>
    <col min="15425" max="15425" width="10.7109375" customWidth="1"/>
    <col min="15647" max="15647" width="7.7109375" customWidth="1"/>
    <col min="15648" max="15648" width="10.7109375" customWidth="1"/>
    <col min="15649" max="15649" width="12.85546875" customWidth="1"/>
    <col min="15650" max="15650" width="10.7109375" customWidth="1"/>
    <col min="15651" max="15651" width="13.140625" customWidth="1"/>
    <col min="15652" max="15652" width="10.5703125" customWidth="1"/>
    <col min="15653" max="15653" width="10.7109375" customWidth="1"/>
    <col min="15654" max="15654" width="28.42578125" customWidth="1"/>
    <col min="15655" max="15655" width="5.7109375" customWidth="1"/>
    <col min="15656" max="15656" width="18.42578125" customWidth="1"/>
    <col min="15657" max="15657" width="14" customWidth="1"/>
    <col min="15658" max="15658" width="11.42578125" customWidth="1"/>
    <col min="15659" max="15659" width="10.7109375" customWidth="1"/>
    <col min="15660" max="15660" width="14.85546875" customWidth="1"/>
    <col min="15661" max="15661" width="7.5703125" customWidth="1"/>
    <col min="15662" max="15662" width="12" customWidth="1"/>
    <col min="15663" max="15663" width="10.7109375" customWidth="1"/>
    <col min="15664" max="15664" width="12.7109375" customWidth="1"/>
    <col min="15665" max="15665" width="11.28515625" customWidth="1"/>
    <col min="15666" max="15669" width="10.7109375" customWidth="1"/>
    <col min="15670" max="15670" width="13.140625" customWidth="1"/>
    <col min="15671" max="15671" width="13.85546875" customWidth="1"/>
    <col min="15672" max="15672" width="13.42578125" customWidth="1"/>
    <col min="15673" max="15673" width="12.7109375" customWidth="1"/>
    <col min="15674" max="15674" width="17.140625" customWidth="1"/>
    <col min="15675" max="15675" width="19.28515625" customWidth="1"/>
    <col min="15676" max="15676" width="10.7109375" customWidth="1"/>
    <col min="15677" max="15678" width="18.5703125" customWidth="1"/>
    <col min="15679" max="15679" width="13.140625" customWidth="1"/>
    <col min="15680" max="15680" width="17.5703125" customWidth="1"/>
    <col min="15681" max="15681" width="10.7109375" customWidth="1"/>
    <col min="15903" max="15903" width="7.7109375" customWidth="1"/>
    <col min="15904" max="15904" width="10.7109375" customWidth="1"/>
    <col min="15905" max="15905" width="12.85546875" customWidth="1"/>
    <col min="15906" max="15906" width="10.7109375" customWidth="1"/>
    <col min="15907" max="15907" width="13.140625" customWidth="1"/>
    <col min="15908" max="15908" width="10.5703125" customWidth="1"/>
    <col min="15909" max="15909" width="10.7109375" customWidth="1"/>
    <col min="15910" max="15910" width="28.42578125" customWidth="1"/>
    <col min="15911" max="15911" width="5.7109375" customWidth="1"/>
    <col min="15912" max="15912" width="18.42578125" customWidth="1"/>
    <col min="15913" max="15913" width="14" customWidth="1"/>
    <col min="15914" max="15914" width="11.42578125" customWidth="1"/>
    <col min="15915" max="15915" width="10.7109375" customWidth="1"/>
    <col min="15916" max="15916" width="14.85546875" customWidth="1"/>
    <col min="15917" max="15917" width="7.5703125" customWidth="1"/>
    <col min="15918" max="15918" width="12" customWidth="1"/>
    <col min="15919" max="15919" width="10.7109375" customWidth="1"/>
    <col min="15920" max="15920" width="12.7109375" customWidth="1"/>
    <col min="15921" max="15921" width="11.28515625" customWidth="1"/>
    <col min="15922" max="15925" width="10.7109375" customWidth="1"/>
    <col min="15926" max="15926" width="13.140625" customWidth="1"/>
    <col min="15927" max="15927" width="13.85546875" customWidth="1"/>
    <col min="15928" max="15928" width="13.42578125" customWidth="1"/>
    <col min="15929" max="15929" width="12.7109375" customWidth="1"/>
    <col min="15930" max="15930" width="17.140625" customWidth="1"/>
    <col min="15931" max="15931" width="19.28515625" customWidth="1"/>
    <col min="15932" max="15932" width="10.7109375" customWidth="1"/>
    <col min="15933" max="15934" width="18.5703125" customWidth="1"/>
    <col min="15935" max="15935" width="13.140625" customWidth="1"/>
    <col min="15936" max="15936" width="17.5703125" customWidth="1"/>
    <col min="15937" max="15937" width="10.7109375" customWidth="1"/>
    <col min="16159" max="16159" width="7.7109375" customWidth="1"/>
    <col min="16160" max="16160" width="10.7109375" customWidth="1"/>
    <col min="16161" max="16161" width="12.85546875" customWidth="1"/>
    <col min="16162" max="16162" width="10.7109375" customWidth="1"/>
    <col min="16163" max="16163" width="13.140625" customWidth="1"/>
    <col min="16164" max="16164" width="10.5703125" customWidth="1"/>
    <col min="16165" max="16165" width="10.7109375" customWidth="1"/>
    <col min="16166" max="16166" width="28.42578125" customWidth="1"/>
    <col min="16167" max="16167" width="5.7109375" customWidth="1"/>
    <col min="16168" max="16168" width="18.42578125" customWidth="1"/>
    <col min="16169" max="16169" width="14" customWidth="1"/>
    <col min="16170" max="16170" width="11.42578125" customWidth="1"/>
    <col min="16171" max="16171" width="10.7109375" customWidth="1"/>
    <col min="16172" max="16172" width="14.85546875" customWidth="1"/>
    <col min="16173" max="16173" width="7.5703125" customWidth="1"/>
    <col min="16174" max="16174" width="12" customWidth="1"/>
    <col min="16175" max="16175" width="10.7109375" customWidth="1"/>
    <col min="16176" max="16176" width="12.7109375" customWidth="1"/>
    <col min="16177" max="16177" width="11.28515625" customWidth="1"/>
    <col min="16178" max="16181" width="10.7109375" customWidth="1"/>
    <col min="16182" max="16182" width="13.140625" customWidth="1"/>
    <col min="16183" max="16183" width="13.85546875" customWidth="1"/>
    <col min="16184" max="16184" width="13.42578125" customWidth="1"/>
    <col min="16185" max="16185" width="12.7109375" customWidth="1"/>
    <col min="16186" max="16186" width="17.140625" customWidth="1"/>
    <col min="16187" max="16187" width="19.28515625" customWidth="1"/>
    <col min="16188" max="16188" width="10.7109375" customWidth="1"/>
    <col min="16189" max="16190" width="18.5703125" customWidth="1"/>
    <col min="16191" max="16191" width="13.140625" customWidth="1"/>
    <col min="16192" max="16192" width="17.5703125" customWidth="1"/>
    <col min="16193" max="16193" width="10.7109375" customWidth="1"/>
  </cols>
  <sheetData>
    <row r="1" spans="1:37" ht="12.95" customHeight="1" x14ac:dyDescent="0.25">
      <c r="A1" s="173" t="s">
        <v>117</v>
      </c>
      <c r="B1" s="173" t="s">
        <v>115</v>
      </c>
      <c r="C1" s="173" t="s">
        <v>273</v>
      </c>
      <c r="D1" s="173" t="s">
        <v>119</v>
      </c>
      <c r="E1" s="173" t="s">
        <v>118</v>
      </c>
      <c r="F1" s="173" t="s">
        <v>120</v>
      </c>
      <c r="G1" s="173" t="s">
        <v>124</v>
      </c>
      <c r="H1" s="173" t="s">
        <v>131</v>
      </c>
      <c r="I1" s="173"/>
      <c r="J1" s="173" t="s">
        <v>125</v>
      </c>
      <c r="K1" s="173" t="s">
        <v>121</v>
      </c>
      <c r="L1" s="173" t="s">
        <v>122</v>
      </c>
      <c r="M1" s="173" t="s">
        <v>123</v>
      </c>
      <c r="N1" s="173" t="s">
        <v>275</v>
      </c>
      <c r="O1" s="173" t="s">
        <v>276</v>
      </c>
      <c r="P1" s="173" t="s">
        <v>277</v>
      </c>
      <c r="Q1" s="173" t="s">
        <v>278</v>
      </c>
      <c r="R1" s="173" t="s">
        <v>20</v>
      </c>
      <c r="S1" s="173" t="s">
        <v>116</v>
      </c>
      <c r="T1" s="173"/>
      <c r="U1" s="173" t="s">
        <v>279</v>
      </c>
      <c r="V1" s="173" t="s">
        <v>280</v>
      </c>
      <c r="W1" s="173" t="s">
        <v>281</v>
      </c>
      <c r="X1" s="173" t="s">
        <v>21</v>
      </c>
      <c r="Y1" s="173" t="s">
        <v>47</v>
      </c>
      <c r="Z1" s="173" t="s">
        <v>282</v>
      </c>
      <c r="AA1" s="173" t="s">
        <v>126</v>
      </c>
      <c r="AB1" s="173" t="s">
        <v>283</v>
      </c>
      <c r="AC1" s="173" t="s">
        <v>284</v>
      </c>
      <c r="AD1" s="173" t="s">
        <v>285</v>
      </c>
      <c r="AE1" s="173" t="s">
        <v>286</v>
      </c>
      <c r="AF1" s="173" t="s">
        <v>287</v>
      </c>
      <c r="AG1" s="173" t="s">
        <v>127</v>
      </c>
      <c r="AH1" s="173" t="s">
        <v>288</v>
      </c>
      <c r="AI1" s="173" t="s">
        <v>289</v>
      </c>
      <c r="AJ1" s="173" t="s">
        <v>128</v>
      </c>
      <c r="AK1" s="173" t="s">
        <v>290</v>
      </c>
    </row>
    <row r="2" spans="1:37" ht="15.95" customHeight="1" x14ac:dyDescent="0.25">
      <c r="A2" s="174" t="s">
        <v>461</v>
      </c>
      <c r="B2" s="174" t="s">
        <v>462</v>
      </c>
      <c r="C2" s="175"/>
      <c r="D2" s="174" t="s">
        <v>463</v>
      </c>
      <c r="E2" s="174" t="s">
        <v>464</v>
      </c>
      <c r="F2" s="176">
        <v>43164</v>
      </c>
      <c r="G2" s="176">
        <v>43165</v>
      </c>
      <c r="H2" s="174" t="s">
        <v>465</v>
      </c>
      <c r="I2" s="175" t="e">
        <f>VLOOKUP($H2,Mapping!$A:$A,1,0)</f>
        <v>#N/A</v>
      </c>
      <c r="J2" s="177" t="s">
        <v>466</v>
      </c>
      <c r="K2" s="174" t="s">
        <v>467</v>
      </c>
      <c r="L2" s="178">
        <v>20000000</v>
      </c>
      <c r="M2" s="178">
        <v>100.09375</v>
      </c>
      <c r="N2" s="178">
        <v>2.6047616576000001</v>
      </c>
      <c r="O2" s="178">
        <v>20027309.782608699</v>
      </c>
      <c r="P2" s="174" t="s">
        <v>337</v>
      </c>
      <c r="Q2" s="174" t="s">
        <v>468</v>
      </c>
      <c r="R2" s="174" t="s">
        <v>23</v>
      </c>
      <c r="S2" s="174" t="s">
        <v>130</v>
      </c>
      <c r="T2" s="175" t="str">
        <f>VLOOKUP($S2,Mapping!$C:$C,1,0)</f>
        <v>Manual</v>
      </c>
      <c r="U2" s="175"/>
      <c r="V2" s="175"/>
      <c r="W2" s="175"/>
      <c r="X2" s="175"/>
      <c r="Y2" s="174" t="s">
        <v>469</v>
      </c>
      <c r="Z2" s="174" t="s">
        <v>470</v>
      </c>
      <c r="AA2" s="174" t="s">
        <v>24</v>
      </c>
      <c r="AB2" s="174"/>
      <c r="AC2" s="174" t="s">
        <v>471</v>
      </c>
      <c r="AD2" s="174" t="s">
        <v>472</v>
      </c>
      <c r="AE2" s="175"/>
      <c r="AF2" s="175"/>
      <c r="AG2" s="176">
        <v>43164.473773148151</v>
      </c>
      <c r="AH2" s="176">
        <v>43164.473773148151</v>
      </c>
      <c r="AI2" s="174" t="s">
        <v>473</v>
      </c>
      <c r="AJ2" s="175"/>
      <c r="AK2" s="178">
        <v>1</v>
      </c>
    </row>
    <row r="3" spans="1:37" ht="15.95" customHeight="1" x14ac:dyDescent="0.25">
      <c r="A3" s="174" t="s">
        <v>461</v>
      </c>
      <c r="B3" s="174" t="s">
        <v>474</v>
      </c>
      <c r="C3" s="175"/>
      <c r="D3" s="174" t="s">
        <v>463</v>
      </c>
      <c r="E3" s="174" t="s">
        <v>464</v>
      </c>
      <c r="F3" s="176">
        <v>43164</v>
      </c>
      <c r="G3" s="176">
        <v>43165</v>
      </c>
      <c r="H3" s="174" t="s">
        <v>465</v>
      </c>
      <c r="I3" s="175" t="e">
        <f>VLOOKUP($H3,Mapping!$A:$A,1,0)</f>
        <v>#N/A</v>
      </c>
      <c r="J3" s="177" t="s">
        <v>466</v>
      </c>
      <c r="K3" s="174" t="s">
        <v>475</v>
      </c>
      <c r="L3" s="178">
        <v>15000000</v>
      </c>
      <c r="M3" s="178">
        <v>99.203125</v>
      </c>
      <c r="N3" s="178">
        <v>2.8424247609000002</v>
      </c>
      <c r="O3" s="178">
        <v>14902119.302486191</v>
      </c>
      <c r="P3" s="174" t="s">
        <v>337</v>
      </c>
      <c r="Q3" s="174" t="s">
        <v>476</v>
      </c>
      <c r="R3" s="174" t="s">
        <v>23</v>
      </c>
      <c r="S3" s="174" t="s">
        <v>130</v>
      </c>
      <c r="T3" s="175" t="str">
        <f>VLOOKUP($S3,Mapping!$C:$C,1,0)</f>
        <v>Manual</v>
      </c>
      <c r="U3" s="175"/>
      <c r="V3" s="175"/>
      <c r="W3" s="175"/>
      <c r="X3" s="175"/>
      <c r="Y3" s="174" t="s">
        <v>469</v>
      </c>
      <c r="Z3" s="174" t="s">
        <v>470</v>
      </c>
      <c r="AA3" s="174" t="s">
        <v>24</v>
      </c>
      <c r="AB3" s="174"/>
      <c r="AC3" s="174" t="s">
        <v>471</v>
      </c>
      <c r="AD3" s="174" t="s">
        <v>472</v>
      </c>
      <c r="AE3" s="175"/>
      <c r="AF3" s="175"/>
      <c r="AG3" s="176">
        <v>43164.47378472222</v>
      </c>
      <c r="AH3" s="176">
        <v>43164.47378472222</v>
      </c>
      <c r="AI3" s="174" t="s">
        <v>473</v>
      </c>
      <c r="AJ3" s="175"/>
      <c r="AK3" s="178">
        <v>1</v>
      </c>
    </row>
    <row r="4" spans="1:37" ht="15.95" customHeight="1" x14ac:dyDescent="0.25">
      <c r="A4" s="174" t="s">
        <v>461</v>
      </c>
      <c r="B4" s="174" t="s">
        <v>477</v>
      </c>
      <c r="C4" s="175"/>
      <c r="D4" s="174" t="s">
        <v>478</v>
      </c>
      <c r="E4" s="174" t="s">
        <v>479</v>
      </c>
      <c r="F4" s="176">
        <v>43164</v>
      </c>
      <c r="G4" s="176">
        <v>43165</v>
      </c>
      <c r="H4" s="174" t="s">
        <v>480</v>
      </c>
      <c r="I4" s="175" t="e">
        <f>VLOOKUP($H4,Mapping!$A:$A,1,0)</f>
        <v>#N/A</v>
      </c>
      <c r="J4" s="177" t="s">
        <v>466</v>
      </c>
      <c r="K4" s="174" t="s">
        <v>475</v>
      </c>
      <c r="L4" s="178">
        <v>956000</v>
      </c>
      <c r="M4" s="178">
        <v>98.796875</v>
      </c>
      <c r="N4" s="178">
        <v>2.8899219395000002</v>
      </c>
      <c r="O4" s="178">
        <v>945877.98687845003</v>
      </c>
      <c r="P4" s="174" t="s">
        <v>337</v>
      </c>
      <c r="Q4" s="174" t="s">
        <v>476</v>
      </c>
      <c r="R4" s="174" t="s">
        <v>23</v>
      </c>
      <c r="S4" s="174" t="s">
        <v>133</v>
      </c>
      <c r="T4" s="175" t="str">
        <f>VLOOKUP($S4,Mapping!$C:$C,1,0)</f>
        <v>Oasys</v>
      </c>
      <c r="U4" s="175"/>
      <c r="V4" s="175"/>
      <c r="W4" s="175"/>
      <c r="X4" s="175"/>
      <c r="Y4" s="174" t="s">
        <v>469</v>
      </c>
      <c r="Z4" s="174" t="s">
        <v>481</v>
      </c>
      <c r="AA4" s="174" t="s">
        <v>24</v>
      </c>
      <c r="AB4" s="174"/>
      <c r="AC4" s="174" t="s">
        <v>482</v>
      </c>
      <c r="AD4" s="174" t="s">
        <v>483</v>
      </c>
      <c r="AE4" s="176">
        <v>43164.606608796297</v>
      </c>
      <c r="AF4" s="175"/>
      <c r="AG4" s="176">
        <v>43164.656817129631</v>
      </c>
      <c r="AH4" s="176">
        <v>43164.656817129631</v>
      </c>
      <c r="AI4" s="175"/>
      <c r="AJ4" s="175"/>
      <c r="AK4" s="178">
        <v>1</v>
      </c>
    </row>
    <row r="5" spans="1:37" ht="15.95" customHeight="1" x14ac:dyDescent="0.25">
      <c r="A5" s="174" t="s">
        <v>484</v>
      </c>
      <c r="B5" s="174" t="s">
        <v>485</v>
      </c>
      <c r="C5" s="175"/>
      <c r="D5" s="174" t="s">
        <v>478</v>
      </c>
      <c r="E5" s="174" t="s">
        <v>479</v>
      </c>
      <c r="F5" s="176">
        <v>43164</v>
      </c>
      <c r="G5" s="176">
        <v>43166</v>
      </c>
      <c r="H5" s="174" t="s">
        <v>480</v>
      </c>
      <c r="I5" s="175" t="e">
        <f>VLOOKUP($H5,Mapping!$A:$A,1,0)</f>
        <v>#N/A</v>
      </c>
      <c r="J5" s="179" t="s">
        <v>486</v>
      </c>
      <c r="K5" s="174" t="s">
        <v>487</v>
      </c>
      <c r="L5" s="178">
        <v>1076000</v>
      </c>
      <c r="M5" s="178">
        <v>95.073999999999998</v>
      </c>
      <c r="N5" s="178">
        <v>4.0069995104</v>
      </c>
      <c r="O5" s="178">
        <v>-1028585.46222222</v>
      </c>
      <c r="P5" s="174" t="s">
        <v>337</v>
      </c>
      <c r="Q5" s="174" t="s">
        <v>488</v>
      </c>
      <c r="R5" s="174" t="s">
        <v>23</v>
      </c>
      <c r="S5" s="174" t="s">
        <v>133</v>
      </c>
      <c r="T5" s="175" t="str">
        <f>VLOOKUP($S5,Mapping!$C:$C,1,0)</f>
        <v>Oasys</v>
      </c>
      <c r="U5" s="175"/>
      <c r="V5" s="175"/>
      <c r="W5" s="175"/>
      <c r="X5" s="175"/>
      <c r="Y5" s="174" t="s">
        <v>489</v>
      </c>
      <c r="Z5" s="174" t="s">
        <v>481</v>
      </c>
      <c r="AA5" s="174" t="s">
        <v>24</v>
      </c>
      <c r="AB5" s="174"/>
      <c r="AC5" s="174" t="s">
        <v>482</v>
      </c>
      <c r="AD5" s="174" t="s">
        <v>483</v>
      </c>
      <c r="AE5" s="176">
        <v>43164.606608796297</v>
      </c>
      <c r="AF5" s="175"/>
      <c r="AG5" s="176">
        <v>43164.656828703701</v>
      </c>
      <c r="AH5" s="176">
        <v>43164.656828703701</v>
      </c>
      <c r="AI5" s="175"/>
      <c r="AJ5" s="175"/>
      <c r="AK5" s="178">
        <v>1</v>
      </c>
    </row>
    <row r="6" spans="1:37" ht="15.95" customHeight="1" x14ac:dyDescent="0.25">
      <c r="A6" s="174" t="s">
        <v>484</v>
      </c>
      <c r="B6" s="174" t="s">
        <v>490</v>
      </c>
      <c r="C6" s="175"/>
      <c r="D6" s="174" t="s">
        <v>478</v>
      </c>
      <c r="E6" s="174" t="s">
        <v>491</v>
      </c>
      <c r="F6" s="176">
        <v>43164</v>
      </c>
      <c r="G6" s="176">
        <v>43166</v>
      </c>
      <c r="H6" s="174" t="s">
        <v>480</v>
      </c>
      <c r="I6" s="175" t="e">
        <f>VLOOKUP($H6,Mapping!$A:$A,1,0)</f>
        <v>#N/A</v>
      </c>
      <c r="J6" s="177" t="s">
        <v>466</v>
      </c>
      <c r="K6" s="174" t="s">
        <v>492</v>
      </c>
      <c r="L6" s="178">
        <v>4550000</v>
      </c>
      <c r="M6" s="178">
        <v>99</v>
      </c>
      <c r="N6" s="178">
        <v>5.3234341989000002</v>
      </c>
      <c r="O6" s="178">
        <v>4556319.4444444403</v>
      </c>
      <c r="P6" s="174" t="s">
        <v>337</v>
      </c>
      <c r="Q6" s="174" t="s">
        <v>493</v>
      </c>
      <c r="R6" s="174" t="s">
        <v>23</v>
      </c>
      <c r="S6" s="174" t="s">
        <v>133</v>
      </c>
      <c r="T6" s="175" t="str">
        <f>VLOOKUP($S6,Mapping!$C:$C,1,0)</f>
        <v>Oasys</v>
      </c>
      <c r="U6" s="175"/>
      <c r="V6" s="175"/>
      <c r="W6" s="175"/>
      <c r="X6" s="175"/>
      <c r="Y6" s="174" t="s">
        <v>489</v>
      </c>
      <c r="Z6" s="174" t="s">
        <v>494</v>
      </c>
      <c r="AA6" s="174" t="s">
        <v>24</v>
      </c>
      <c r="AB6" s="174"/>
      <c r="AC6" s="174" t="s">
        <v>495</v>
      </c>
      <c r="AD6" s="174" t="s">
        <v>483</v>
      </c>
      <c r="AE6" s="176">
        <v>43164.693553240744</v>
      </c>
      <c r="AF6" s="175"/>
      <c r="AG6" s="176">
        <v>43164.703657407408</v>
      </c>
      <c r="AH6" s="176">
        <v>43164.703657407408</v>
      </c>
      <c r="AI6" s="175"/>
      <c r="AJ6" s="175"/>
      <c r="AK6" s="178">
        <v>1</v>
      </c>
    </row>
    <row r="7" spans="1:37" ht="15.95" customHeight="1" x14ac:dyDescent="0.25">
      <c r="A7" s="174" t="s">
        <v>461</v>
      </c>
      <c r="B7" s="174" t="s">
        <v>496</v>
      </c>
      <c r="C7" s="175"/>
      <c r="D7" s="174" t="s">
        <v>497</v>
      </c>
      <c r="E7" s="174" t="s">
        <v>498</v>
      </c>
      <c r="F7" s="176">
        <v>43164</v>
      </c>
      <c r="G7" s="176">
        <v>43166</v>
      </c>
      <c r="H7" s="174" t="s">
        <v>499</v>
      </c>
      <c r="I7" s="175" t="e">
        <f>VLOOKUP($H7,Mapping!$A:$A,1,0)</f>
        <v>#N/A</v>
      </c>
      <c r="J7" s="179" t="s">
        <v>486</v>
      </c>
      <c r="K7" s="174" t="s">
        <v>500</v>
      </c>
      <c r="L7" s="178">
        <v>2000000</v>
      </c>
      <c r="M7" s="178">
        <v>106.1</v>
      </c>
      <c r="N7" s="178">
        <v>6.5192138017000003</v>
      </c>
      <c r="O7" s="178">
        <v>-2178250</v>
      </c>
      <c r="P7" s="174" t="s">
        <v>337</v>
      </c>
      <c r="Q7" s="174" t="s">
        <v>501</v>
      </c>
      <c r="R7" s="174" t="s">
        <v>23</v>
      </c>
      <c r="S7" s="174" t="s">
        <v>130</v>
      </c>
      <c r="T7" s="175" t="str">
        <f>VLOOKUP($S7,Mapping!$C:$C,1,0)</f>
        <v>Manual</v>
      </c>
      <c r="U7" s="175"/>
      <c r="V7" s="175"/>
      <c r="W7" s="175"/>
      <c r="X7" s="175"/>
      <c r="Y7" s="174" t="s">
        <v>502</v>
      </c>
      <c r="Z7" s="174" t="s">
        <v>503</v>
      </c>
      <c r="AA7" s="174" t="s">
        <v>24</v>
      </c>
      <c r="AB7" s="174"/>
      <c r="AC7" s="174" t="s">
        <v>504</v>
      </c>
      <c r="AD7" s="174" t="s">
        <v>483</v>
      </c>
      <c r="AE7" s="175"/>
      <c r="AF7" s="175"/>
      <c r="AG7" s="176">
        <v>43165.458240740743</v>
      </c>
      <c r="AH7" s="176">
        <v>43165.458240740743</v>
      </c>
      <c r="AI7" s="175"/>
      <c r="AJ7" s="175"/>
      <c r="AK7" s="178">
        <v>1</v>
      </c>
    </row>
    <row r="8" spans="1:37" ht="15.95" customHeight="1" x14ac:dyDescent="0.25">
      <c r="A8" s="174" t="s">
        <v>461</v>
      </c>
      <c r="B8" s="174" t="s">
        <v>505</v>
      </c>
      <c r="C8" s="175"/>
      <c r="D8" s="174" t="s">
        <v>463</v>
      </c>
      <c r="E8" s="174" t="s">
        <v>506</v>
      </c>
      <c r="F8" s="176">
        <v>43164</v>
      </c>
      <c r="G8" s="176">
        <v>43165</v>
      </c>
      <c r="H8" s="174" t="s">
        <v>507</v>
      </c>
      <c r="I8" s="175" t="e">
        <f>VLOOKUP($H8,Mapping!$A:$A,1,0)</f>
        <v>#N/A</v>
      </c>
      <c r="J8" s="179" t="s">
        <v>486</v>
      </c>
      <c r="K8" s="174" t="s">
        <v>508</v>
      </c>
      <c r="L8" s="178">
        <v>158500000</v>
      </c>
      <c r="M8" s="178">
        <v>99.90625</v>
      </c>
      <c r="N8" s="178">
        <v>2.7648070224999999</v>
      </c>
      <c r="O8" s="178">
        <v>-158422472.82608694</v>
      </c>
      <c r="P8" s="174" t="s">
        <v>337</v>
      </c>
      <c r="Q8" s="174" t="s">
        <v>509</v>
      </c>
      <c r="R8" s="174" t="s">
        <v>22</v>
      </c>
      <c r="S8" s="174" t="s">
        <v>129</v>
      </c>
      <c r="T8" s="175" t="str">
        <f>VLOOKUP($S8,Mapping!$C:$C,1,0)</f>
        <v>Omgeo</v>
      </c>
      <c r="U8" s="174" t="s">
        <v>510</v>
      </c>
      <c r="V8" s="174" t="s">
        <v>132</v>
      </c>
      <c r="W8" s="175"/>
      <c r="X8" s="175"/>
      <c r="Y8" s="174" t="s">
        <v>469</v>
      </c>
      <c r="Z8" s="174" t="s">
        <v>511</v>
      </c>
      <c r="AA8" s="174" t="s">
        <v>22</v>
      </c>
      <c r="AB8" s="174"/>
      <c r="AC8" s="175"/>
      <c r="AD8" s="174" t="s">
        <v>512</v>
      </c>
      <c r="AE8" s="176">
        <v>43164.448148148149</v>
      </c>
      <c r="AF8" s="174" t="s">
        <v>510</v>
      </c>
      <c r="AG8" s="176">
        <v>43164.44363425926</v>
      </c>
      <c r="AH8" s="176">
        <v>43164.443692129629</v>
      </c>
      <c r="AI8" s="174" t="s">
        <v>473</v>
      </c>
      <c r="AJ8" s="175"/>
      <c r="AK8" s="178">
        <v>1</v>
      </c>
    </row>
    <row r="9" spans="1:37" ht="15.95" customHeight="1" x14ac:dyDescent="0.25">
      <c r="A9" s="174" t="s">
        <v>461</v>
      </c>
      <c r="B9" s="174" t="s">
        <v>513</v>
      </c>
      <c r="C9" s="175"/>
      <c r="D9" s="174" t="s">
        <v>463</v>
      </c>
      <c r="E9" s="174" t="s">
        <v>506</v>
      </c>
      <c r="F9" s="176">
        <v>43164</v>
      </c>
      <c r="G9" s="176">
        <v>43165</v>
      </c>
      <c r="H9" s="174" t="s">
        <v>507</v>
      </c>
      <c r="I9" s="175" t="e">
        <f>VLOOKUP($H9,Mapping!$A:$A,1,0)</f>
        <v>#N/A</v>
      </c>
      <c r="J9" s="179" t="s">
        <v>486</v>
      </c>
      <c r="K9" s="174" t="s">
        <v>467</v>
      </c>
      <c r="L9" s="178">
        <v>173500000</v>
      </c>
      <c r="M9" s="178">
        <v>100.0625</v>
      </c>
      <c r="N9" s="178">
        <v>2.6114860305000001</v>
      </c>
      <c r="O9" s="178">
        <v>-173682693.61413044</v>
      </c>
      <c r="P9" s="174" t="s">
        <v>337</v>
      </c>
      <c r="Q9" s="174" t="s">
        <v>468</v>
      </c>
      <c r="R9" s="174" t="s">
        <v>22</v>
      </c>
      <c r="S9" s="174" t="s">
        <v>129</v>
      </c>
      <c r="T9" s="175" t="str">
        <f>VLOOKUP($S9,Mapping!$C:$C,1,0)</f>
        <v>Omgeo</v>
      </c>
      <c r="U9" s="174" t="s">
        <v>514</v>
      </c>
      <c r="V9" s="174" t="s">
        <v>132</v>
      </c>
      <c r="W9" s="175"/>
      <c r="X9" s="175"/>
      <c r="Y9" s="174" t="s">
        <v>469</v>
      </c>
      <c r="Z9" s="174" t="s">
        <v>511</v>
      </c>
      <c r="AA9" s="174" t="s">
        <v>22</v>
      </c>
      <c r="AB9" s="174"/>
      <c r="AC9" s="175"/>
      <c r="AD9" s="174" t="s">
        <v>512</v>
      </c>
      <c r="AE9" s="176">
        <v>43164.461145833331</v>
      </c>
      <c r="AF9" s="174" t="s">
        <v>514</v>
      </c>
      <c r="AG9" s="176">
        <v>43164.45722222222</v>
      </c>
      <c r="AH9" s="176">
        <v>43164.457280092596</v>
      </c>
      <c r="AI9" s="174" t="s">
        <v>473</v>
      </c>
      <c r="AJ9" s="175"/>
      <c r="AK9" s="178">
        <v>1</v>
      </c>
    </row>
    <row r="10" spans="1:37" ht="15.95" customHeight="1" x14ac:dyDescent="0.25">
      <c r="A10" s="174" t="s">
        <v>461</v>
      </c>
      <c r="B10" s="174" t="s">
        <v>515</v>
      </c>
      <c r="C10" s="175"/>
      <c r="D10" s="174" t="s">
        <v>463</v>
      </c>
      <c r="E10" s="174" t="s">
        <v>516</v>
      </c>
      <c r="F10" s="176">
        <v>43164</v>
      </c>
      <c r="G10" s="176">
        <v>43165</v>
      </c>
      <c r="H10" s="174" t="s">
        <v>507</v>
      </c>
      <c r="I10" s="175" t="e">
        <f>VLOOKUP($H10,Mapping!$A:$A,1,0)</f>
        <v>#N/A</v>
      </c>
      <c r="J10" s="177" t="s">
        <v>466</v>
      </c>
      <c r="K10" s="174" t="s">
        <v>475</v>
      </c>
      <c r="L10" s="178">
        <v>95000000</v>
      </c>
      <c r="M10" s="178">
        <v>98.939279999999997</v>
      </c>
      <c r="N10" s="178">
        <v>2.8732471793999999</v>
      </c>
      <c r="O10" s="178">
        <v>94129436.165745854</v>
      </c>
      <c r="P10" s="174" t="s">
        <v>337</v>
      </c>
      <c r="Q10" s="174" t="s">
        <v>476</v>
      </c>
      <c r="R10" s="174" t="s">
        <v>22</v>
      </c>
      <c r="S10" s="174" t="s">
        <v>129</v>
      </c>
      <c r="T10" s="175" t="str">
        <f>VLOOKUP($S10,Mapping!$C:$C,1,0)</f>
        <v>Omgeo</v>
      </c>
      <c r="U10" s="174" t="s">
        <v>517</v>
      </c>
      <c r="V10" s="174" t="s">
        <v>132</v>
      </c>
      <c r="W10" s="175"/>
      <c r="X10" s="175"/>
      <c r="Y10" s="174" t="s">
        <v>469</v>
      </c>
      <c r="Z10" s="174" t="s">
        <v>518</v>
      </c>
      <c r="AA10" s="174" t="s">
        <v>22</v>
      </c>
      <c r="AB10" s="174"/>
      <c r="AC10" s="175"/>
      <c r="AD10" s="174" t="s">
        <v>512</v>
      </c>
      <c r="AE10" s="176">
        <v>43164.506192129629</v>
      </c>
      <c r="AF10" s="174" t="s">
        <v>517</v>
      </c>
      <c r="AG10" s="176">
        <v>43164.500011574077</v>
      </c>
      <c r="AH10" s="176">
        <v>43164.500520833331</v>
      </c>
      <c r="AI10" s="174" t="s">
        <v>473</v>
      </c>
      <c r="AJ10" s="175"/>
      <c r="AK10" s="178">
        <v>1</v>
      </c>
    </row>
    <row r="11" spans="1:37" ht="15.95" customHeight="1" x14ac:dyDescent="0.25">
      <c r="A11" s="174" t="s">
        <v>461</v>
      </c>
      <c r="B11" s="174" t="s">
        <v>519</v>
      </c>
      <c r="C11" s="175"/>
      <c r="D11" s="174" t="s">
        <v>463</v>
      </c>
      <c r="E11" s="174" t="s">
        <v>506</v>
      </c>
      <c r="F11" s="176">
        <v>43164</v>
      </c>
      <c r="G11" s="176">
        <v>43165</v>
      </c>
      <c r="H11" s="174" t="s">
        <v>507</v>
      </c>
      <c r="I11" s="175" t="e">
        <f>VLOOKUP($H11,Mapping!$A:$A,1,0)</f>
        <v>#N/A</v>
      </c>
      <c r="J11" s="179" t="s">
        <v>486</v>
      </c>
      <c r="K11" s="174" t="s">
        <v>467</v>
      </c>
      <c r="L11" s="178">
        <v>155400000</v>
      </c>
      <c r="M11" s="178">
        <v>99.921875</v>
      </c>
      <c r="N11" s="178">
        <v>2.6417754413000001</v>
      </c>
      <c r="O11" s="178">
        <v>-155345103.26086956</v>
      </c>
      <c r="P11" s="174" t="s">
        <v>337</v>
      </c>
      <c r="Q11" s="174" t="s">
        <v>468</v>
      </c>
      <c r="R11" s="174" t="s">
        <v>22</v>
      </c>
      <c r="S11" s="174" t="s">
        <v>129</v>
      </c>
      <c r="T11" s="175" t="str">
        <f>VLOOKUP($S11,Mapping!$C:$C,1,0)</f>
        <v>Omgeo</v>
      </c>
      <c r="U11" s="174" t="s">
        <v>520</v>
      </c>
      <c r="V11" s="174" t="s">
        <v>132</v>
      </c>
      <c r="W11" s="175"/>
      <c r="X11" s="175"/>
      <c r="Y11" s="174" t="s">
        <v>469</v>
      </c>
      <c r="Z11" s="174" t="s">
        <v>511</v>
      </c>
      <c r="AA11" s="174" t="s">
        <v>22</v>
      </c>
      <c r="AB11" s="174"/>
      <c r="AC11" s="175"/>
      <c r="AD11" s="174" t="s">
        <v>512</v>
      </c>
      <c r="AE11" s="176">
        <v>43164.538611111115</v>
      </c>
      <c r="AF11" s="174" t="s">
        <v>520</v>
      </c>
      <c r="AG11" s="176">
        <v>43164.533229166664</v>
      </c>
      <c r="AH11" s="176">
        <v>43164.533310185187</v>
      </c>
      <c r="AI11" s="174" t="s">
        <v>473</v>
      </c>
      <c r="AJ11" s="175"/>
      <c r="AK11" s="178">
        <v>1</v>
      </c>
    </row>
    <row r="12" spans="1:37" ht="15.95" customHeight="1" x14ac:dyDescent="0.25">
      <c r="A12" s="174" t="s">
        <v>461</v>
      </c>
      <c r="B12" s="174" t="s">
        <v>521</v>
      </c>
      <c r="C12" s="175"/>
      <c r="D12" s="174" t="s">
        <v>463</v>
      </c>
      <c r="E12" s="174" t="s">
        <v>516</v>
      </c>
      <c r="F12" s="176">
        <v>43164</v>
      </c>
      <c r="G12" s="176">
        <v>43165</v>
      </c>
      <c r="H12" s="174" t="s">
        <v>507</v>
      </c>
      <c r="I12" s="175" t="e">
        <f>VLOOKUP($H12,Mapping!$A:$A,1,0)</f>
        <v>#N/A</v>
      </c>
      <c r="J12" s="177" t="s">
        <v>466</v>
      </c>
      <c r="K12" s="174" t="s">
        <v>467</v>
      </c>
      <c r="L12" s="178">
        <v>123000000</v>
      </c>
      <c r="M12" s="178">
        <v>100.07289</v>
      </c>
      <c r="N12" s="178">
        <v>2.6092500447</v>
      </c>
      <c r="O12" s="178">
        <v>123142297.36304349</v>
      </c>
      <c r="P12" s="174" t="s">
        <v>337</v>
      </c>
      <c r="Q12" s="174" t="s">
        <v>468</v>
      </c>
      <c r="R12" s="174" t="s">
        <v>22</v>
      </c>
      <c r="S12" s="174" t="s">
        <v>129</v>
      </c>
      <c r="T12" s="175" t="str">
        <f>VLOOKUP($S12,Mapping!$C:$C,1,0)</f>
        <v>Omgeo</v>
      </c>
      <c r="U12" s="174" t="s">
        <v>522</v>
      </c>
      <c r="V12" s="174" t="s">
        <v>132</v>
      </c>
      <c r="W12" s="175"/>
      <c r="X12" s="175"/>
      <c r="Y12" s="174" t="s">
        <v>469</v>
      </c>
      <c r="Z12" s="174" t="s">
        <v>518</v>
      </c>
      <c r="AA12" s="174" t="s">
        <v>22</v>
      </c>
      <c r="AB12" s="174"/>
      <c r="AC12" s="175"/>
      <c r="AD12" s="174" t="s">
        <v>512</v>
      </c>
      <c r="AE12" s="176">
        <v>43164.577835648146</v>
      </c>
      <c r="AF12" s="174" t="s">
        <v>522</v>
      </c>
      <c r="AG12" s="176">
        <v>43164.572314814817</v>
      </c>
      <c r="AH12" s="176">
        <v>43164.572372685187</v>
      </c>
      <c r="AI12" s="174" t="s">
        <v>473</v>
      </c>
      <c r="AJ12" s="175"/>
      <c r="AK12" s="178">
        <v>1</v>
      </c>
    </row>
    <row r="13" spans="1:37" ht="15.95" customHeight="1" x14ac:dyDescent="0.25">
      <c r="A13" s="174" t="s">
        <v>461</v>
      </c>
      <c r="B13" s="174" t="s">
        <v>523</v>
      </c>
      <c r="C13" s="175"/>
      <c r="D13" s="174" t="s">
        <v>463</v>
      </c>
      <c r="E13" s="174" t="s">
        <v>516</v>
      </c>
      <c r="F13" s="176">
        <v>43164</v>
      </c>
      <c r="G13" s="176">
        <v>43165</v>
      </c>
      <c r="H13" s="174" t="s">
        <v>507</v>
      </c>
      <c r="I13" s="175" t="e">
        <f>VLOOKUP($H13,Mapping!$A:$A,1,0)</f>
        <v>#N/A</v>
      </c>
      <c r="J13" s="177" t="s">
        <v>466</v>
      </c>
      <c r="K13" s="174" t="s">
        <v>524</v>
      </c>
      <c r="L13" s="178">
        <v>213000000</v>
      </c>
      <c r="M13" s="178">
        <v>99.637230000000002</v>
      </c>
      <c r="N13" s="178">
        <v>2.3779498184999999</v>
      </c>
      <c r="O13" s="178">
        <v>212478839.95524862</v>
      </c>
      <c r="P13" s="174" t="s">
        <v>337</v>
      </c>
      <c r="Q13" s="174" t="s">
        <v>525</v>
      </c>
      <c r="R13" s="174" t="s">
        <v>22</v>
      </c>
      <c r="S13" s="174" t="s">
        <v>129</v>
      </c>
      <c r="T13" s="175" t="str">
        <f>VLOOKUP($S13,Mapping!$C:$C,1,0)</f>
        <v>Omgeo</v>
      </c>
      <c r="U13" s="174" t="s">
        <v>526</v>
      </c>
      <c r="V13" s="174" t="s">
        <v>132</v>
      </c>
      <c r="W13" s="175"/>
      <c r="X13" s="175"/>
      <c r="Y13" s="174" t="s">
        <v>469</v>
      </c>
      <c r="Z13" s="174" t="s">
        <v>518</v>
      </c>
      <c r="AA13" s="174" t="s">
        <v>22</v>
      </c>
      <c r="AB13" s="174"/>
      <c r="AC13" s="175"/>
      <c r="AD13" s="174" t="s">
        <v>512</v>
      </c>
      <c r="AE13" s="176">
        <v>43164.577835648146</v>
      </c>
      <c r="AF13" s="174" t="s">
        <v>526</v>
      </c>
      <c r="AG13" s="176">
        <v>43164.572326388887</v>
      </c>
      <c r="AH13" s="176">
        <v>43164.572395833333</v>
      </c>
      <c r="AI13" s="174" t="s">
        <v>473</v>
      </c>
      <c r="AJ13" s="175"/>
      <c r="AK13" s="178">
        <v>1</v>
      </c>
    </row>
    <row r="14" spans="1:37" ht="15.95" customHeight="1" x14ac:dyDescent="0.25">
      <c r="A14" s="174" t="s">
        <v>461</v>
      </c>
      <c r="B14" s="174" t="s">
        <v>527</v>
      </c>
      <c r="C14" s="175"/>
      <c r="D14" s="174" t="s">
        <v>463</v>
      </c>
      <c r="E14" s="174" t="s">
        <v>516</v>
      </c>
      <c r="F14" s="176">
        <v>43164</v>
      </c>
      <c r="G14" s="176">
        <v>43165</v>
      </c>
      <c r="H14" s="174" t="s">
        <v>507</v>
      </c>
      <c r="I14" s="175" t="e">
        <f>VLOOKUP($H14,Mapping!$A:$A,1,0)</f>
        <v>#N/A</v>
      </c>
      <c r="J14" s="177" t="s">
        <v>466</v>
      </c>
      <c r="K14" s="174" t="s">
        <v>467</v>
      </c>
      <c r="L14" s="178">
        <v>47000000</v>
      </c>
      <c r="M14" s="178">
        <v>99.902109999999993</v>
      </c>
      <c r="N14" s="178">
        <v>2.6460365567999999</v>
      </c>
      <c r="O14" s="178">
        <v>46974107.189130425</v>
      </c>
      <c r="P14" s="174" t="s">
        <v>337</v>
      </c>
      <c r="Q14" s="174" t="s">
        <v>468</v>
      </c>
      <c r="R14" s="174" t="s">
        <v>22</v>
      </c>
      <c r="S14" s="174" t="s">
        <v>129</v>
      </c>
      <c r="T14" s="175" t="str">
        <f>VLOOKUP($S14,Mapping!$C:$C,1,0)</f>
        <v>Omgeo</v>
      </c>
      <c r="U14" s="174" t="s">
        <v>528</v>
      </c>
      <c r="V14" s="174" t="s">
        <v>132</v>
      </c>
      <c r="W14" s="175"/>
      <c r="X14" s="175"/>
      <c r="Y14" s="174" t="s">
        <v>469</v>
      </c>
      <c r="Z14" s="174" t="s">
        <v>518</v>
      </c>
      <c r="AA14" s="174" t="s">
        <v>22</v>
      </c>
      <c r="AB14" s="174"/>
      <c r="AC14" s="175"/>
      <c r="AD14" s="174" t="s">
        <v>512</v>
      </c>
      <c r="AE14" s="176">
        <v>43164.715856481482</v>
      </c>
      <c r="AF14" s="174" t="s">
        <v>528</v>
      </c>
      <c r="AG14" s="176">
        <v>43164.708912037036</v>
      </c>
      <c r="AH14" s="176">
        <v>43164.708958333336</v>
      </c>
      <c r="AI14" s="174" t="s">
        <v>473</v>
      </c>
      <c r="AJ14" s="175"/>
      <c r="AK14" s="178">
        <v>1</v>
      </c>
    </row>
    <row r="15" spans="1:37" ht="15.95" customHeight="1" x14ac:dyDescent="0.25">
      <c r="A15" s="174" t="s">
        <v>461</v>
      </c>
      <c r="B15" s="174" t="s">
        <v>529</v>
      </c>
      <c r="C15" s="175"/>
      <c r="D15" s="174" t="s">
        <v>463</v>
      </c>
      <c r="E15" s="174" t="s">
        <v>516</v>
      </c>
      <c r="F15" s="176">
        <v>43164</v>
      </c>
      <c r="G15" s="176">
        <v>43165</v>
      </c>
      <c r="H15" s="174" t="s">
        <v>507</v>
      </c>
      <c r="I15" s="175" t="e">
        <f>VLOOKUP($H15,Mapping!$A:$A,1,0)</f>
        <v>#N/A</v>
      </c>
      <c r="J15" s="177" t="s">
        <v>466</v>
      </c>
      <c r="K15" s="174" t="s">
        <v>524</v>
      </c>
      <c r="L15" s="178">
        <v>82000000</v>
      </c>
      <c r="M15" s="178">
        <v>99.56711</v>
      </c>
      <c r="N15" s="178">
        <v>2.4027856089999999</v>
      </c>
      <c r="O15" s="178">
        <v>81741867.216574594</v>
      </c>
      <c r="P15" s="174" t="s">
        <v>337</v>
      </c>
      <c r="Q15" s="174" t="s">
        <v>525</v>
      </c>
      <c r="R15" s="174" t="s">
        <v>22</v>
      </c>
      <c r="S15" s="174" t="s">
        <v>129</v>
      </c>
      <c r="T15" s="175" t="str">
        <f>VLOOKUP($S15,Mapping!$C:$C,1,0)</f>
        <v>Omgeo</v>
      </c>
      <c r="U15" s="174" t="s">
        <v>530</v>
      </c>
      <c r="V15" s="174" t="s">
        <v>132</v>
      </c>
      <c r="W15" s="175"/>
      <c r="X15" s="175"/>
      <c r="Y15" s="174" t="s">
        <v>469</v>
      </c>
      <c r="Z15" s="174" t="s">
        <v>518</v>
      </c>
      <c r="AA15" s="174" t="s">
        <v>22</v>
      </c>
      <c r="AB15" s="174"/>
      <c r="AC15" s="175"/>
      <c r="AD15" s="174" t="s">
        <v>512</v>
      </c>
      <c r="AE15" s="176">
        <v>43164.715856481482</v>
      </c>
      <c r="AF15" s="174" t="s">
        <v>530</v>
      </c>
      <c r="AG15" s="176">
        <v>43164.708912037036</v>
      </c>
      <c r="AH15" s="176">
        <v>43164.709062499998</v>
      </c>
      <c r="AI15" s="174" t="s">
        <v>473</v>
      </c>
      <c r="AJ15" s="175"/>
      <c r="AK15" s="178">
        <v>1</v>
      </c>
    </row>
    <row r="16" spans="1:37" ht="15.95" customHeight="1" x14ac:dyDescent="0.25">
      <c r="A16" s="174" t="s">
        <v>484</v>
      </c>
      <c r="B16" s="174" t="s">
        <v>534</v>
      </c>
      <c r="C16" s="175"/>
      <c r="D16" s="174" t="s">
        <v>478</v>
      </c>
      <c r="E16" s="174" t="s">
        <v>535</v>
      </c>
      <c r="F16" s="176">
        <v>43164</v>
      </c>
      <c r="G16" s="176">
        <v>43166</v>
      </c>
      <c r="H16" s="174" t="s">
        <v>536</v>
      </c>
      <c r="I16" s="175" t="e">
        <f>VLOOKUP($H16,Mapping!$A:$A,1,0)</f>
        <v>#N/A</v>
      </c>
      <c r="J16" s="177" t="s">
        <v>466</v>
      </c>
      <c r="K16" s="174" t="s">
        <v>537</v>
      </c>
      <c r="L16" s="178">
        <v>2200000</v>
      </c>
      <c r="M16" s="178">
        <v>93.311999999999998</v>
      </c>
      <c r="N16" s="178">
        <v>4.1440299089000003</v>
      </c>
      <c r="O16" s="178">
        <v>2083114</v>
      </c>
      <c r="P16" s="174" t="s">
        <v>337</v>
      </c>
      <c r="Q16" s="174" t="s">
        <v>538</v>
      </c>
      <c r="R16" s="174" t="s">
        <v>22</v>
      </c>
      <c r="S16" s="174" t="s">
        <v>129</v>
      </c>
      <c r="T16" s="175" t="str">
        <f>VLOOKUP($S16,Mapping!$C:$C,1,0)</f>
        <v>Omgeo</v>
      </c>
      <c r="U16" s="174" t="s">
        <v>539</v>
      </c>
      <c r="V16" s="174" t="s">
        <v>132</v>
      </c>
      <c r="W16" s="175"/>
      <c r="X16" s="175"/>
      <c r="Y16" s="174" t="s">
        <v>489</v>
      </c>
      <c r="Z16" s="174" t="s">
        <v>540</v>
      </c>
      <c r="AA16" s="174" t="s">
        <v>22</v>
      </c>
      <c r="AB16" s="174"/>
      <c r="AC16" s="175"/>
      <c r="AD16" s="174" t="s">
        <v>541</v>
      </c>
      <c r="AE16" s="176">
        <v>43164.38354166667</v>
      </c>
      <c r="AF16" s="174" t="s">
        <v>539</v>
      </c>
      <c r="AG16" s="176">
        <v>43164.388460648152</v>
      </c>
      <c r="AH16" s="176">
        <v>43164.388460648152</v>
      </c>
      <c r="AI16" s="175"/>
      <c r="AJ16" s="175"/>
      <c r="AK16" s="178">
        <v>1</v>
      </c>
    </row>
    <row r="17" spans="1:37" ht="15.95" customHeight="1" x14ac:dyDescent="0.25">
      <c r="A17" s="174" t="s">
        <v>461</v>
      </c>
      <c r="B17" s="174" t="s">
        <v>542</v>
      </c>
      <c r="C17" s="175"/>
      <c r="D17" s="174" t="s">
        <v>478</v>
      </c>
      <c r="E17" s="174" t="s">
        <v>535</v>
      </c>
      <c r="F17" s="176">
        <v>43164</v>
      </c>
      <c r="G17" s="176">
        <v>43165</v>
      </c>
      <c r="H17" s="174" t="s">
        <v>536</v>
      </c>
      <c r="I17" s="175" t="e">
        <f>VLOOKUP($H17,Mapping!$A:$A,1,0)</f>
        <v>#N/A</v>
      </c>
      <c r="J17" s="179" t="s">
        <v>486</v>
      </c>
      <c r="K17" s="174" t="s">
        <v>543</v>
      </c>
      <c r="L17" s="178">
        <v>1940000</v>
      </c>
      <c r="M17" s="178">
        <v>92.796875</v>
      </c>
      <c r="N17" s="178">
        <v>3.1238701800999999</v>
      </c>
      <c r="O17" s="178">
        <v>-1816618.0766574601</v>
      </c>
      <c r="P17" s="174" t="s">
        <v>337</v>
      </c>
      <c r="Q17" s="174" t="s">
        <v>544</v>
      </c>
      <c r="R17" s="174" t="s">
        <v>22</v>
      </c>
      <c r="S17" s="174" t="s">
        <v>129</v>
      </c>
      <c r="T17" s="175" t="str">
        <f>VLOOKUP($S17,Mapping!$C:$C,1,0)</f>
        <v>Omgeo</v>
      </c>
      <c r="U17" s="174" t="s">
        <v>545</v>
      </c>
      <c r="V17" s="174" t="s">
        <v>132</v>
      </c>
      <c r="W17" s="175"/>
      <c r="X17" s="175"/>
      <c r="Y17" s="174" t="s">
        <v>469</v>
      </c>
      <c r="Z17" s="174" t="s">
        <v>540</v>
      </c>
      <c r="AA17" s="174" t="s">
        <v>22</v>
      </c>
      <c r="AB17" s="174"/>
      <c r="AC17" s="175"/>
      <c r="AD17" s="174" t="s">
        <v>541</v>
      </c>
      <c r="AE17" s="176">
        <v>43164.38354166667</v>
      </c>
      <c r="AF17" s="174" t="s">
        <v>545</v>
      </c>
      <c r="AG17" s="176">
        <v>43164.388564814813</v>
      </c>
      <c r="AH17" s="176">
        <v>43164.388564814813</v>
      </c>
      <c r="AI17" s="175"/>
      <c r="AJ17" s="175"/>
      <c r="AK17" s="178">
        <v>1</v>
      </c>
    </row>
    <row r="18" spans="1:37" ht="15.95" customHeight="1" x14ac:dyDescent="0.25">
      <c r="A18" s="174" t="s">
        <v>484</v>
      </c>
      <c r="B18" s="174" t="s">
        <v>546</v>
      </c>
      <c r="C18" s="175"/>
      <c r="D18" s="174" t="s">
        <v>478</v>
      </c>
      <c r="E18" s="174" t="s">
        <v>535</v>
      </c>
      <c r="F18" s="176">
        <v>43164</v>
      </c>
      <c r="G18" s="176">
        <v>43166</v>
      </c>
      <c r="H18" s="174" t="s">
        <v>536</v>
      </c>
      <c r="I18" s="175" t="e">
        <f>VLOOKUP($H18,Mapping!$A:$A,1,0)</f>
        <v>#N/A</v>
      </c>
      <c r="J18" s="179" t="s">
        <v>486</v>
      </c>
      <c r="K18" s="174" t="s">
        <v>547</v>
      </c>
      <c r="L18" s="178">
        <v>3737000</v>
      </c>
      <c r="M18" s="178">
        <v>88.718999999999994</v>
      </c>
      <c r="N18" s="178">
        <v>4.5739758073000001</v>
      </c>
      <c r="O18" s="178">
        <v>-3385017.67930556</v>
      </c>
      <c r="P18" s="174" t="s">
        <v>337</v>
      </c>
      <c r="Q18" s="174" t="s">
        <v>548</v>
      </c>
      <c r="R18" s="174" t="s">
        <v>22</v>
      </c>
      <c r="S18" s="174" t="s">
        <v>129</v>
      </c>
      <c r="T18" s="175" t="str">
        <f>VLOOKUP($S18,Mapping!$C:$C,1,0)</f>
        <v>Omgeo</v>
      </c>
      <c r="U18" s="174" t="s">
        <v>549</v>
      </c>
      <c r="V18" s="174" t="s">
        <v>132</v>
      </c>
      <c r="W18" s="175"/>
      <c r="X18" s="175"/>
      <c r="Y18" s="174" t="s">
        <v>489</v>
      </c>
      <c r="Z18" s="174" t="s">
        <v>540</v>
      </c>
      <c r="AA18" s="174" t="s">
        <v>22</v>
      </c>
      <c r="AB18" s="174"/>
      <c r="AC18" s="175"/>
      <c r="AD18" s="174" t="s">
        <v>541</v>
      </c>
      <c r="AE18" s="176">
        <v>43164.39638888889</v>
      </c>
      <c r="AF18" s="174" t="s">
        <v>549</v>
      </c>
      <c r="AG18" s="176">
        <v>43164.403495370374</v>
      </c>
      <c r="AH18" s="176">
        <v>43164.403495370374</v>
      </c>
      <c r="AI18" s="175"/>
      <c r="AJ18" s="175"/>
      <c r="AK18" s="178">
        <v>1</v>
      </c>
    </row>
    <row r="19" spans="1:37" ht="15.95" customHeight="1" x14ac:dyDescent="0.25">
      <c r="A19" s="174" t="s">
        <v>461</v>
      </c>
      <c r="B19" s="174" t="s">
        <v>550</v>
      </c>
      <c r="C19" s="175"/>
      <c r="D19" s="174" t="s">
        <v>478</v>
      </c>
      <c r="E19" s="174" t="s">
        <v>535</v>
      </c>
      <c r="F19" s="176">
        <v>43164</v>
      </c>
      <c r="G19" s="176">
        <v>43165</v>
      </c>
      <c r="H19" s="174" t="s">
        <v>536</v>
      </c>
      <c r="I19" s="175" t="e">
        <f>VLOOKUP($H19,Mapping!$A:$A,1,0)</f>
        <v>#N/A</v>
      </c>
      <c r="J19" s="177" t="s">
        <v>466</v>
      </c>
      <c r="K19" s="174" t="s">
        <v>543</v>
      </c>
      <c r="L19" s="178">
        <v>3000000</v>
      </c>
      <c r="M19" s="178">
        <v>92.796875</v>
      </c>
      <c r="N19" s="178">
        <v>3.1238701800999999</v>
      </c>
      <c r="O19" s="178">
        <v>2809203.21132597</v>
      </c>
      <c r="P19" s="174" t="s">
        <v>337</v>
      </c>
      <c r="Q19" s="174" t="s">
        <v>544</v>
      </c>
      <c r="R19" s="174" t="s">
        <v>22</v>
      </c>
      <c r="S19" s="174" t="s">
        <v>129</v>
      </c>
      <c r="T19" s="175" t="str">
        <f>VLOOKUP($S19,Mapping!$C:$C,1,0)</f>
        <v>Omgeo</v>
      </c>
      <c r="U19" s="174" t="s">
        <v>551</v>
      </c>
      <c r="V19" s="174" t="s">
        <v>132</v>
      </c>
      <c r="W19" s="175"/>
      <c r="X19" s="175"/>
      <c r="Y19" s="174" t="s">
        <v>469</v>
      </c>
      <c r="Z19" s="174" t="s">
        <v>540</v>
      </c>
      <c r="AA19" s="174" t="s">
        <v>22</v>
      </c>
      <c r="AB19" s="174"/>
      <c r="AC19" s="175"/>
      <c r="AD19" s="174" t="s">
        <v>541</v>
      </c>
      <c r="AE19" s="176">
        <v>43164.39638888889</v>
      </c>
      <c r="AF19" s="174" t="s">
        <v>551</v>
      </c>
      <c r="AG19" s="176">
        <v>43164.403599537036</v>
      </c>
      <c r="AH19" s="176">
        <v>43164.403599537036</v>
      </c>
      <c r="AI19" s="175"/>
      <c r="AJ19" s="175"/>
      <c r="AK19" s="178">
        <v>1</v>
      </c>
    </row>
    <row r="20" spans="1:37" ht="15.95" customHeight="1" x14ac:dyDescent="0.25">
      <c r="A20" s="174" t="s">
        <v>461</v>
      </c>
      <c r="B20" s="174" t="s">
        <v>552</v>
      </c>
      <c r="C20" s="175"/>
      <c r="D20" s="174" t="s">
        <v>463</v>
      </c>
      <c r="E20" s="174" t="s">
        <v>553</v>
      </c>
      <c r="F20" s="176">
        <v>43164</v>
      </c>
      <c r="G20" s="176">
        <v>43165</v>
      </c>
      <c r="H20" s="174" t="s">
        <v>536</v>
      </c>
      <c r="I20" s="175" t="e">
        <f>VLOOKUP($H20,Mapping!$A:$A,1,0)</f>
        <v>#N/A</v>
      </c>
      <c r="J20" s="177" t="s">
        <v>466</v>
      </c>
      <c r="K20" s="174" t="s">
        <v>475</v>
      </c>
      <c r="L20" s="178">
        <v>1940000</v>
      </c>
      <c r="M20" s="178">
        <v>99.23046875</v>
      </c>
      <c r="N20" s="178">
        <v>2.8392358074000001</v>
      </c>
      <c r="O20" s="178">
        <v>1927871.23187155</v>
      </c>
      <c r="P20" s="174" t="s">
        <v>337</v>
      </c>
      <c r="Q20" s="174" t="s">
        <v>476</v>
      </c>
      <c r="R20" s="174" t="s">
        <v>22</v>
      </c>
      <c r="S20" s="174" t="s">
        <v>129</v>
      </c>
      <c r="T20" s="175" t="str">
        <f>VLOOKUP($S20,Mapping!$C:$C,1,0)</f>
        <v>Omgeo</v>
      </c>
      <c r="U20" s="174" t="s">
        <v>554</v>
      </c>
      <c r="V20" s="174" t="s">
        <v>132</v>
      </c>
      <c r="W20" s="175"/>
      <c r="X20" s="175"/>
      <c r="Y20" s="174" t="s">
        <v>469</v>
      </c>
      <c r="Z20" s="174" t="s">
        <v>555</v>
      </c>
      <c r="AA20" s="174" t="s">
        <v>22</v>
      </c>
      <c r="AB20" s="174"/>
      <c r="AC20" s="175"/>
      <c r="AD20" s="174" t="s">
        <v>556</v>
      </c>
      <c r="AE20" s="176">
        <v>43164.409270833334</v>
      </c>
      <c r="AF20" s="174" t="s">
        <v>554</v>
      </c>
      <c r="AG20" s="176">
        <v>43164.40556712963</v>
      </c>
      <c r="AH20" s="176">
        <v>43164.40556712963</v>
      </c>
      <c r="AI20" s="174" t="s">
        <v>473</v>
      </c>
      <c r="AJ20" s="175"/>
      <c r="AK20" s="178">
        <v>1</v>
      </c>
    </row>
    <row r="21" spans="1:37" ht="15.95" customHeight="1" x14ac:dyDescent="0.25">
      <c r="A21" s="174" t="s">
        <v>461</v>
      </c>
      <c r="B21" s="174" t="s">
        <v>557</v>
      </c>
      <c r="C21" s="175"/>
      <c r="D21" s="174" t="s">
        <v>478</v>
      </c>
      <c r="E21" s="174" t="s">
        <v>558</v>
      </c>
      <c r="F21" s="176">
        <v>43164</v>
      </c>
      <c r="G21" s="176">
        <v>43165</v>
      </c>
      <c r="H21" s="174" t="s">
        <v>536</v>
      </c>
      <c r="I21" s="175" t="e">
        <f>VLOOKUP($H21,Mapping!$A:$A,1,0)</f>
        <v>#N/A</v>
      </c>
      <c r="J21" s="179" t="s">
        <v>486</v>
      </c>
      <c r="K21" s="174" t="s">
        <v>467</v>
      </c>
      <c r="L21" s="178">
        <v>2198000</v>
      </c>
      <c r="M21" s="178">
        <v>100.140625</v>
      </c>
      <c r="N21" s="178">
        <v>2.5946795962000002</v>
      </c>
      <c r="O21" s="178">
        <v>-2202031.6576087</v>
      </c>
      <c r="P21" s="174" t="s">
        <v>337</v>
      </c>
      <c r="Q21" s="174" t="s">
        <v>468</v>
      </c>
      <c r="R21" s="174" t="s">
        <v>22</v>
      </c>
      <c r="S21" s="174" t="s">
        <v>129</v>
      </c>
      <c r="T21" s="175" t="str">
        <f>VLOOKUP($S21,Mapping!$C:$C,1,0)</f>
        <v>Omgeo</v>
      </c>
      <c r="U21" s="174" t="s">
        <v>559</v>
      </c>
      <c r="V21" s="174" t="s">
        <v>132</v>
      </c>
      <c r="W21" s="175"/>
      <c r="X21" s="175"/>
      <c r="Y21" s="174" t="s">
        <v>469</v>
      </c>
      <c r="Z21" s="174" t="s">
        <v>560</v>
      </c>
      <c r="AA21" s="174" t="s">
        <v>22</v>
      </c>
      <c r="AB21" s="174"/>
      <c r="AC21" s="175"/>
      <c r="AD21" s="174" t="s">
        <v>512</v>
      </c>
      <c r="AE21" s="176">
        <v>43164.428738425922</v>
      </c>
      <c r="AF21" s="174" t="s">
        <v>559</v>
      </c>
      <c r="AG21" s="176">
        <v>43164.423773148148</v>
      </c>
      <c r="AH21" s="176">
        <v>43164.423842592594</v>
      </c>
      <c r="AI21" s="175"/>
      <c r="AJ21" s="175"/>
      <c r="AK21" s="178">
        <v>1</v>
      </c>
    </row>
    <row r="22" spans="1:37" ht="15.95" customHeight="1" x14ac:dyDescent="0.25">
      <c r="A22" s="174" t="s">
        <v>484</v>
      </c>
      <c r="B22" s="174" t="s">
        <v>561</v>
      </c>
      <c r="C22" s="175"/>
      <c r="D22" s="174" t="s">
        <v>478</v>
      </c>
      <c r="E22" s="174" t="s">
        <v>558</v>
      </c>
      <c r="F22" s="176">
        <v>43164</v>
      </c>
      <c r="G22" s="176">
        <v>43166</v>
      </c>
      <c r="H22" s="174" t="s">
        <v>536</v>
      </c>
      <c r="I22" s="175" t="e">
        <f>VLOOKUP($H22,Mapping!$A:$A,1,0)</f>
        <v>#N/A</v>
      </c>
      <c r="J22" s="177" t="s">
        <v>466</v>
      </c>
      <c r="K22" s="174" t="s">
        <v>562</v>
      </c>
      <c r="L22" s="178">
        <v>2275000</v>
      </c>
      <c r="M22" s="178">
        <v>100.044</v>
      </c>
      <c r="N22" s="178">
        <v>3.3900611300999999</v>
      </c>
      <c r="O22" s="178">
        <v>2278364.4722222202</v>
      </c>
      <c r="P22" s="174" t="s">
        <v>337</v>
      </c>
      <c r="Q22" s="174" t="s">
        <v>563</v>
      </c>
      <c r="R22" s="174" t="s">
        <v>22</v>
      </c>
      <c r="S22" s="174" t="s">
        <v>129</v>
      </c>
      <c r="T22" s="175" t="str">
        <f>VLOOKUP($S22,Mapping!$C:$C,1,0)</f>
        <v>Omgeo</v>
      </c>
      <c r="U22" s="174" t="s">
        <v>564</v>
      </c>
      <c r="V22" s="174" t="s">
        <v>132</v>
      </c>
      <c r="W22" s="175"/>
      <c r="X22" s="175"/>
      <c r="Y22" s="174" t="s">
        <v>489</v>
      </c>
      <c r="Z22" s="174" t="s">
        <v>560</v>
      </c>
      <c r="AA22" s="174" t="s">
        <v>22</v>
      </c>
      <c r="AB22" s="174"/>
      <c r="AC22" s="175"/>
      <c r="AD22" s="174" t="s">
        <v>512</v>
      </c>
      <c r="AE22" s="176">
        <v>43164.428738425922</v>
      </c>
      <c r="AF22" s="174" t="s">
        <v>564</v>
      </c>
      <c r="AG22" s="176">
        <v>43164.423773148148</v>
      </c>
      <c r="AH22" s="176">
        <v>43164.423854166664</v>
      </c>
      <c r="AI22" s="175"/>
      <c r="AJ22" s="175"/>
      <c r="AK22" s="178">
        <v>1</v>
      </c>
    </row>
    <row r="23" spans="1:37" ht="15.95" customHeight="1" x14ac:dyDescent="0.25">
      <c r="A23" s="174" t="s">
        <v>484</v>
      </c>
      <c r="B23" s="174" t="s">
        <v>565</v>
      </c>
      <c r="C23" s="175"/>
      <c r="D23" s="174" t="s">
        <v>566</v>
      </c>
      <c r="E23" s="174" t="s">
        <v>491</v>
      </c>
      <c r="F23" s="176">
        <v>43164</v>
      </c>
      <c r="G23" s="176">
        <v>43166</v>
      </c>
      <c r="H23" s="174" t="s">
        <v>536</v>
      </c>
      <c r="I23" s="175" t="e">
        <f>VLOOKUP($H23,Mapping!$A:$A,1,0)</f>
        <v>#N/A</v>
      </c>
      <c r="J23" s="177" t="s">
        <v>466</v>
      </c>
      <c r="K23" s="174" t="s">
        <v>567</v>
      </c>
      <c r="L23" s="178">
        <v>4550000</v>
      </c>
      <c r="M23" s="178">
        <v>99.081999999999994</v>
      </c>
      <c r="N23" s="178">
        <v>1.1950780747</v>
      </c>
      <c r="O23" s="178">
        <v>4514214.5616438398</v>
      </c>
      <c r="P23" s="174" t="s">
        <v>386</v>
      </c>
      <c r="Q23" s="174" t="s">
        <v>568</v>
      </c>
      <c r="R23" s="174" t="s">
        <v>22</v>
      </c>
      <c r="S23" s="174" t="s">
        <v>129</v>
      </c>
      <c r="T23" s="175" t="str">
        <f>VLOOKUP($S23,Mapping!$C:$C,1,0)</f>
        <v>Omgeo</v>
      </c>
      <c r="U23" s="174" t="s">
        <v>569</v>
      </c>
      <c r="V23" s="174" t="s">
        <v>132</v>
      </c>
      <c r="W23" s="175"/>
      <c r="X23" s="175"/>
      <c r="Y23" s="174" t="s">
        <v>570</v>
      </c>
      <c r="Z23" s="174" t="s">
        <v>494</v>
      </c>
      <c r="AA23" s="174" t="s">
        <v>22</v>
      </c>
      <c r="AB23" s="174"/>
      <c r="AC23" s="175"/>
      <c r="AD23" s="174" t="s">
        <v>512</v>
      </c>
      <c r="AE23" s="176">
        <v>43164.428738425922</v>
      </c>
      <c r="AF23" s="174" t="s">
        <v>569</v>
      </c>
      <c r="AG23" s="176">
        <v>43164.423854166664</v>
      </c>
      <c r="AH23" s="176">
        <v>43164.423946759256</v>
      </c>
      <c r="AI23" s="175"/>
      <c r="AJ23" s="175"/>
      <c r="AK23" s="178">
        <v>1</v>
      </c>
    </row>
    <row r="24" spans="1:37" ht="15.95" customHeight="1" x14ac:dyDescent="0.25">
      <c r="A24" s="174" t="s">
        <v>461</v>
      </c>
      <c r="B24" s="174" t="s">
        <v>571</v>
      </c>
      <c r="C24" s="175"/>
      <c r="D24" s="174" t="s">
        <v>566</v>
      </c>
      <c r="E24" s="174" t="s">
        <v>491</v>
      </c>
      <c r="F24" s="176">
        <v>43164</v>
      </c>
      <c r="G24" s="176">
        <v>43166</v>
      </c>
      <c r="H24" s="174" t="s">
        <v>536</v>
      </c>
      <c r="I24" s="175" t="e">
        <f>VLOOKUP($H24,Mapping!$A:$A,1,0)</f>
        <v>#N/A</v>
      </c>
      <c r="J24" s="179" t="s">
        <v>486</v>
      </c>
      <c r="K24" s="174" t="s">
        <v>572</v>
      </c>
      <c r="L24" s="178">
        <v>4614000</v>
      </c>
      <c r="M24" s="178">
        <v>100.482</v>
      </c>
      <c r="N24" s="178">
        <v>-0.10478816890000001</v>
      </c>
      <c r="O24" s="178">
        <v>-4636239.4800000004</v>
      </c>
      <c r="P24" s="174" t="s">
        <v>386</v>
      </c>
      <c r="Q24" s="174" t="s">
        <v>573</v>
      </c>
      <c r="R24" s="174" t="s">
        <v>22</v>
      </c>
      <c r="S24" s="174" t="s">
        <v>129</v>
      </c>
      <c r="T24" s="175" t="str">
        <f>VLOOKUP($S24,Mapping!$C:$C,1,0)</f>
        <v>Omgeo</v>
      </c>
      <c r="U24" s="174" t="s">
        <v>574</v>
      </c>
      <c r="V24" s="174" t="s">
        <v>132</v>
      </c>
      <c r="W24" s="175"/>
      <c r="X24" s="175"/>
      <c r="Y24" s="174" t="s">
        <v>575</v>
      </c>
      <c r="Z24" s="174" t="s">
        <v>494</v>
      </c>
      <c r="AA24" s="174" t="s">
        <v>22</v>
      </c>
      <c r="AB24" s="174"/>
      <c r="AC24" s="175"/>
      <c r="AD24" s="174" t="s">
        <v>512</v>
      </c>
      <c r="AE24" s="176">
        <v>43164.428738425922</v>
      </c>
      <c r="AF24" s="174" t="s">
        <v>574</v>
      </c>
      <c r="AG24" s="176">
        <v>43164.423958333333</v>
      </c>
      <c r="AH24" s="176">
        <v>43164.424016203702</v>
      </c>
      <c r="AI24" s="175"/>
      <c r="AJ24" s="175"/>
      <c r="AK24" s="178">
        <v>1</v>
      </c>
    </row>
    <row r="25" spans="1:37" ht="15.95" customHeight="1" x14ac:dyDescent="0.25">
      <c r="A25" s="174" t="s">
        <v>461</v>
      </c>
      <c r="B25" s="174" t="s">
        <v>576</v>
      </c>
      <c r="C25" s="175"/>
      <c r="D25" s="174" t="s">
        <v>478</v>
      </c>
      <c r="E25" s="174" t="s">
        <v>498</v>
      </c>
      <c r="F25" s="176">
        <v>43164</v>
      </c>
      <c r="G25" s="176">
        <v>43166</v>
      </c>
      <c r="H25" s="174" t="s">
        <v>536</v>
      </c>
      <c r="I25" s="175" t="e">
        <f>VLOOKUP($H25,Mapping!$A:$A,1,0)</f>
        <v>#N/A</v>
      </c>
      <c r="J25" s="179" t="s">
        <v>486</v>
      </c>
      <c r="K25" s="174" t="s">
        <v>577</v>
      </c>
      <c r="L25" s="178">
        <v>3000000</v>
      </c>
      <c r="M25" s="178">
        <v>99.375</v>
      </c>
      <c r="N25" s="178">
        <v>5.7076967081000003</v>
      </c>
      <c r="O25" s="178">
        <v>-3004687.5</v>
      </c>
      <c r="P25" s="174" t="s">
        <v>337</v>
      </c>
      <c r="Q25" s="174" t="s">
        <v>578</v>
      </c>
      <c r="R25" s="174" t="s">
        <v>22</v>
      </c>
      <c r="S25" s="174" t="s">
        <v>129</v>
      </c>
      <c r="T25" s="175" t="str">
        <f>VLOOKUP($S25,Mapping!$C:$C,1,0)</f>
        <v>Omgeo</v>
      </c>
      <c r="U25" s="174" t="s">
        <v>579</v>
      </c>
      <c r="V25" s="174" t="s">
        <v>132</v>
      </c>
      <c r="W25" s="175"/>
      <c r="X25" s="175"/>
      <c r="Y25" s="174" t="s">
        <v>580</v>
      </c>
      <c r="Z25" s="174" t="s">
        <v>503</v>
      </c>
      <c r="AA25" s="174" t="s">
        <v>22</v>
      </c>
      <c r="AB25" s="174"/>
      <c r="AC25" s="175"/>
      <c r="AD25" s="174" t="s">
        <v>512</v>
      </c>
      <c r="AE25" s="176">
        <v>43164.493368055555</v>
      </c>
      <c r="AF25" s="174" t="s">
        <v>579</v>
      </c>
      <c r="AG25" s="176">
        <v>43164.489548611113</v>
      </c>
      <c r="AH25" s="176">
        <v>43164.489618055559</v>
      </c>
      <c r="AI25" s="175"/>
      <c r="AJ25" s="175"/>
      <c r="AK25" s="178">
        <v>1</v>
      </c>
    </row>
    <row r="26" spans="1:37" ht="15.95" customHeight="1" x14ac:dyDescent="0.25">
      <c r="A26" s="174" t="s">
        <v>484</v>
      </c>
      <c r="B26" s="174" t="s">
        <v>581</v>
      </c>
      <c r="C26" s="175"/>
      <c r="D26" s="174" t="s">
        <v>478</v>
      </c>
      <c r="E26" s="174" t="s">
        <v>582</v>
      </c>
      <c r="F26" s="176">
        <v>43164</v>
      </c>
      <c r="G26" s="176">
        <v>43166</v>
      </c>
      <c r="H26" s="174" t="s">
        <v>536</v>
      </c>
      <c r="I26" s="175" t="e">
        <f>VLOOKUP($H26,Mapping!$A:$A,1,0)</f>
        <v>#N/A</v>
      </c>
      <c r="J26" s="179" t="s">
        <v>486</v>
      </c>
      <c r="K26" s="174" t="s">
        <v>583</v>
      </c>
      <c r="L26" s="178">
        <v>4550000</v>
      </c>
      <c r="M26" s="178">
        <v>99.036000000000001</v>
      </c>
      <c r="N26" s="178">
        <v>3.7919541746999998</v>
      </c>
      <c r="O26" s="178">
        <v>-4522745.5</v>
      </c>
      <c r="P26" s="174" t="s">
        <v>337</v>
      </c>
      <c r="Q26" s="174" t="s">
        <v>584</v>
      </c>
      <c r="R26" s="174" t="s">
        <v>22</v>
      </c>
      <c r="S26" s="174" t="s">
        <v>129</v>
      </c>
      <c r="T26" s="175" t="str">
        <f>VLOOKUP($S26,Mapping!$C:$C,1,0)</f>
        <v>Omgeo</v>
      </c>
      <c r="U26" s="174" t="s">
        <v>585</v>
      </c>
      <c r="V26" s="174" t="s">
        <v>132</v>
      </c>
      <c r="W26" s="175"/>
      <c r="X26" s="175"/>
      <c r="Y26" s="174" t="s">
        <v>489</v>
      </c>
      <c r="Z26" s="174" t="s">
        <v>586</v>
      </c>
      <c r="AA26" s="174" t="s">
        <v>22</v>
      </c>
      <c r="AB26" s="174"/>
      <c r="AC26" s="175"/>
      <c r="AD26" s="174" t="s">
        <v>512</v>
      </c>
      <c r="AE26" s="176">
        <v>43164.506192129629</v>
      </c>
      <c r="AF26" s="174" t="s">
        <v>585</v>
      </c>
      <c r="AG26" s="176">
        <v>43164.502662037034</v>
      </c>
      <c r="AH26" s="176">
        <v>43164.502743055556</v>
      </c>
      <c r="AI26" s="175"/>
      <c r="AJ26" s="175"/>
      <c r="AK26" s="178">
        <v>1</v>
      </c>
    </row>
    <row r="27" spans="1:37" ht="15.95" customHeight="1" x14ac:dyDescent="0.25">
      <c r="A27" s="174" t="s">
        <v>461</v>
      </c>
      <c r="B27" s="174" t="s">
        <v>587</v>
      </c>
      <c r="C27" s="175"/>
      <c r="D27" s="174" t="s">
        <v>478</v>
      </c>
      <c r="E27" s="174" t="s">
        <v>582</v>
      </c>
      <c r="F27" s="176">
        <v>43164</v>
      </c>
      <c r="G27" s="176">
        <v>43165</v>
      </c>
      <c r="H27" s="174" t="s">
        <v>536</v>
      </c>
      <c r="I27" s="175" t="e">
        <f>VLOOKUP($H27,Mapping!$A:$A,1,0)</f>
        <v>#N/A</v>
      </c>
      <c r="J27" s="177" t="s">
        <v>466</v>
      </c>
      <c r="K27" s="174" t="s">
        <v>475</v>
      </c>
      <c r="L27" s="178">
        <v>3595000</v>
      </c>
      <c r="M27" s="178">
        <v>98.953125</v>
      </c>
      <c r="N27" s="178">
        <v>2.8716274743999999</v>
      </c>
      <c r="O27" s="178">
        <v>3562553.7594958604</v>
      </c>
      <c r="P27" s="174" t="s">
        <v>337</v>
      </c>
      <c r="Q27" s="174" t="s">
        <v>476</v>
      </c>
      <c r="R27" s="174" t="s">
        <v>22</v>
      </c>
      <c r="S27" s="174" t="s">
        <v>129</v>
      </c>
      <c r="T27" s="175" t="str">
        <f>VLOOKUP($S27,Mapping!$C:$C,1,0)</f>
        <v>Omgeo</v>
      </c>
      <c r="U27" s="174" t="s">
        <v>588</v>
      </c>
      <c r="V27" s="174" t="s">
        <v>132</v>
      </c>
      <c r="W27" s="175"/>
      <c r="X27" s="175"/>
      <c r="Y27" s="174" t="s">
        <v>469</v>
      </c>
      <c r="Z27" s="174" t="s">
        <v>586</v>
      </c>
      <c r="AA27" s="174" t="s">
        <v>22</v>
      </c>
      <c r="AB27" s="174"/>
      <c r="AC27" s="175"/>
      <c r="AD27" s="174" t="s">
        <v>512</v>
      </c>
      <c r="AE27" s="176">
        <v>43164.506192129629</v>
      </c>
      <c r="AF27" s="174" t="s">
        <v>588</v>
      </c>
      <c r="AG27" s="176">
        <v>43164.502662037034</v>
      </c>
      <c r="AH27" s="176">
        <v>43164.502754629626</v>
      </c>
      <c r="AI27" s="175"/>
      <c r="AJ27" s="175"/>
      <c r="AK27" s="178">
        <v>1</v>
      </c>
    </row>
    <row r="28" spans="1:37" ht="15.95" customHeight="1" x14ac:dyDescent="0.25">
      <c r="A28" s="174" t="s">
        <v>484</v>
      </c>
      <c r="B28" s="174" t="s">
        <v>589</v>
      </c>
      <c r="C28" s="175"/>
      <c r="D28" s="174" t="s">
        <v>478</v>
      </c>
      <c r="E28" s="174" t="s">
        <v>590</v>
      </c>
      <c r="F28" s="176">
        <v>43164</v>
      </c>
      <c r="G28" s="176">
        <v>43166</v>
      </c>
      <c r="H28" s="174" t="s">
        <v>536</v>
      </c>
      <c r="I28" s="175" t="e">
        <f>VLOOKUP($H28,Mapping!$A:$A,1,0)</f>
        <v>#N/A</v>
      </c>
      <c r="J28" s="179" t="s">
        <v>486</v>
      </c>
      <c r="K28" s="174" t="s">
        <v>591</v>
      </c>
      <c r="L28" s="178">
        <v>1500000</v>
      </c>
      <c r="M28" s="178">
        <v>79</v>
      </c>
      <c r="N28" s="178">
        <v>14.196972647999999</v>
      </c>
      <c r="O28" s="178">
        <v>-1212333.33333333</v>
      </c>
      <c r="P28" s="174" t="s">
        <v>337</v>
      </c>
      <c r="Q28" s="174" t="s">
        <v>592</v>
      </c>
      <c r="R28" s="174" t="s">
        <v>22</v>
      </c>
      <c r="S28" s="174" t="s">
        <v>129</v>
      </c>
      <c r="T28" s="175" t="str">
        <f>VLOOKUP($S28,Mapping!$C:$C,1,0)</f>
        <v>Omgeo</v>
      </c>
      <c r="U28" s="174" t="s">
        <v>593</v>
      </c>
      <c r="V28" s="174" t="s">
        <v>132</v>
      </c>
      <c r="W28" s="175"/>
      <c r="X28" s="175"/>
      <c r="Y28" s="174" t="s">
        <v>489</v>
      </c>
      <c r="Z28" s="174" t="s">
        <v>594</v>
      </c>
      <c r="AA28" s="174" t="s">
        <v>22</v>
      </c>
      <c r="AB28" s="174"/>
      <c r="AC28" s="175"/>
      <c r="AD28" s="174" t="s">
        <v>512</v>
      </c>
      <c r="AE28" s="176">
        <v>43164.506192129629</v>
      </c>
      <c r="AF28" s="174" t="s">
        <v>593</v>
      </c>
      <c r="AG28" s="176">
        <v>43164.504108796296</v>
      </c>
      <c r="AH28" s="176">
        <v>43164.504178240742</v>
      </c>
      <c r="AI28" s="175"/>
      <c r="AJ28" s="175"/>
      <c r="AK28" s="178">
        <v>1</v>
      </c>
    </row>
    <row r="29" spans="1:37" ht="15.95" customHeight="1" x14ac:dyDescent="0.25">
      <c r="A29" s="174" t="s">
        <v>461</v>
      </c>
      <c r="B29" s="174" t="s">
        <v>595</v>
      </c>
      <c r="C29" s="175"/>
      <c r="D29" s="174" t="s">
        <v>478</v>
      </c>
      <c r="E29" s="174" t="s">
        <v>596</v>
      </c>
      <c r="F29" s="176">
        <v>43164</v>
      </c>
      <c r="G29" s="176">
        <v>43165</v>
      </c>
      <c r="H29" s="174" t="s">
        <v>536</v>
      </c>
      <c r="I29" s="175" t="e">
        <f>VLOOKUP($H29,Mapping!$A:$A,1,0)</f>
        <v>#N/A</v>
      </c>
      <c r="J29" s="177" t="s">
        <v>466</v>
      </c>
      <c r="K29" s="174" t="s">
        <v>467</v>
      </c>
      <c r="L29" s="178">
        <v>2940000</v>
      </c>
      <c r="M29" s="178">
        <v>99.9453125</v>
      </c>
      <c r="N29" s="178">
        <v>2.6367238238000001</v>
      </c>
      <c r="O29" s="178">
        <v>2939650.4755434799</v>
      </c>
      <c r="P29" s="174" t="s">
        <v>337</v>
      </c>
      <c r="Q29" s="174" t="s">
        <v>468</v>
      </c>
      <c r="R29" s="174" t="s">
        <v>22</v>
      </c>
      <c r="S29" s="174" t="s">
        <v>129</v>
      </c>
      <c r="T29" s="175" t="str">
        <f>VLOOKUP($S29,Mapping!$C:$C,1,0)</f>
        <v>Omgeo</v>
      </c>
      <c r="U29" s="174" t="s">
        <v>597</v>
      </c>
      <c r="V29" s="174" t="s">
        <v>132</v>
      </c>
      <c r="W29" s="175"/>
      <c r="X29" s="175"/>
      <c r="Y29" s="174" t="s">
        <v>469</v>
      </c>
      <c r="Z29" s="174" t="s">
        <v>598</v>
      </c>
      <c r="AA29" s="174" t="s">
        <v>22</v>
      </c>
      <c r="AB29" s="174"/>
      <c r="AC29" s="175"/>
      <c r="AD29" s="174" t="s">
        <v>512</v>
      </c>
      <c r="AE29" s="176">
        <v>43164.519016203703</v>
      </c>
      <c r="AF29" s="174" t="s">
        <v>597</v>
      </c>
      <c r="AG29" s="176">
        <v>43164.51152777778</v>
      </c>
      <c r="AH29" s="176">
        <v>43164.511574074073</v>
      </c>
      <c r="AI29" s="175"/>
      <c r="AJ29" s="175"/>
      <c r="AK29" s="178">
        <v>1</v>
      </c>
    </row>
    <row r="30" spans="1:37" ht="15.95" customHeight="1" x14ac:dyDescent="0.25">
      <c r="A30" s="174" t="s">
        <v>484</v>
      </c>
      <c r="B30" s="174" t="s">
        <v>599</v>
      </c>
      <c r="C30" s="175"/>
      <c r="D30" s="174" t="s">
        <v>478</v>
      </c>
      <c r="E30" s="174" t="s">
        <v>600</v>
      </c>
      <c r="F30" s="176">
        <v>43164</v>
      </c>
      <c r="G30" s="176">
        <v>43166</v>
      </c>
      <c r="H30" s="174" t="s">
        <v>536</v>
      </c>
      <c r="I30" s="175" t="e">
        <f>VLOOKUP($H30,Mapping!$A:$A,1,0)</f>
        <v>#N/A</v>
      </c>
      <c r="J30" s="179" t="s">
        <v>486</v>
      </c>
      <c r="K30" s="174" t="s">
        <v>601</v>
      </c>
      <c r="L30" s="178">
        <v>2257000</v>
      </c>
      <c r="M30" s="178">
        <v>100.569</v>
      </c>
      <c r="N30" s="178">
        <v>4.3399774469999999</v>
      </c>
      <c r="O30" s="178">
        <v>-2282185.2987500001</v>
      </c>
      <c r="P30" s="174" t="s">
        <v>337</v>
      </c>
      <c r="Q30" s="174" t="s">
        <v>602</v>
      </c>
      <c r="R30" s="174" t="s">
        <v>22</v>
      </c>
      <c r="S30" s="174" t="s">
        <v>129</v>
      </c>
      <c r="T30" s="175" t="str">
        <f>VLOOKUP($S30,Mapping!$C:$C,1,0)</f>
        <v>Omgeo</v>
      </c>
      <c r="U30" s="174" t="s">
        <v>603</v>
      </c>
      <c r="V30" s="174" t="s">
        <v>132</v>
      </c>
      <c r="W30" s="175"/>
      <c r="X30" s="175"/>
      <c r="Y30" s="174" t="s">
        <v>489</v>
      </c>
      <c r="Z30" s="174" t="s">
        <v>604</v>
      </c>
      <c r="AA30" s="174" t="s">
        <v>22</v>
      </c>
      <c r="AB30" s="174"/>
      <c r="AC30" s="175"/>
      <c r="AD30" s="174" t="s">
        <v>512</v>
      </c>
      <c r="AE30" s="176">
        <v>43164.519016203703</v>
      </c>
      <c r="AF30" s="174" t="s">
        <v>603</v>
      </c>
      <c r="AG30" s="176">
        <v>43164.511631944442</v>
      </c>
      <c r="AH30" s="176">
        <v>43164.511678240742</v>
      </c>
      <c r="AI30" s="175"/>
      <c r="AJ30" s="175"/>
      <c r="AK30" s="178">
        <v>1</v>
      </c>
    </row>
    <row r="31" spans="1:37" ht="15.95" customHeight="1" x14ac:dyDescent="0.25">
      <c r="A31" s="174" t="s">
        <v>461</v>
      </c>
      <c r="B31" s="174" t="s">
        <v>605</v>
      </c>
      <c r="C31" s="175"/>
      <c r="D31" s="174" t="s">
        <v>478</v>
      </c>
      <c r="E31" s="174" t="s">
        <v>600</v>
      </c>
      <c r="F31" s="176">
        <v>43164</v>
      </c>
      <c r="G31" s="176">
        <v>43165</v>
      </c>
      <c r="H31" s="174" t="s">
        <v>536</v>
      </c>
      <c r="I31" s="175" t="e">
        <f>VLOOKUP($H31,Mapping!$A:$A,1,0)</f>
        <v>#N/A</v>
      </c>
      <c r="J31" s="177" t="s">
        <v>466</v>
      </c>
      <c r="K31" s="174" t="s">
        <v>543</v>
      </c>
      <c r="L31" s="178">
        <v>2000000</v>
      </c>
      <c r="M31" s="178">
        <v>92.140625</v>
      </c>
      <c r="N31" s="178">
        <v>3.1597994839000001</v>
      </c>
      <c r="O31" s="178">
        <v>1859677.1408839801</v>
      </c>
      <c r="P31" s="174" t="s">
        <v>337</v>
      </c>
      <c r="Q31" s="174" t="s">
        <v>544</v>
      </c>
      <c r="R31" s="174" t="s">
        <v>22</v>
      </c>
      <c r="S31" s="174" t="s">
        <v>129</v>
      </c>
      <c r="T31" s="175" t="str">
        <f>VLOOKUP($S31,Mapping!$C:$C,1,0)</f>
        <v>Omgeo</v>
      </c>
      <c r="U31" s="174" t="s">
        <v>606</v>
      </c>
      <c r="V31" s="174" t="s">
        <v>132</v>
      </c>
      <c r="W31" s="175"/>
      <c r="X31" s="175"/>
      <c r="Y31" s="174" t="s">
        <v>469</v>
      </c>
      <c r="Z31" s="174" t="s">
        <v>604</v>
      </c>
      <c r="AA31" s="174" t="s">
        <v>22</v>
      </c>
      <c r="AB31" s="174"/>
      <c r="AC31" s="175"/>
      <c r="AD31" s="174" t="s">
        <v>512</v>
      </c>
      <c r="AE31" s="176">
        <v>43164.519016203703</v>
      </c>
      <c r="AF31" s="174" t="s">
        <v>606</v>
      </c>
      <c r="AG31" s="176">
        <v>43164.511655092596</v>
      </c>
      <c r="AH31" s="176">
        <v>43164.511724537035</v>
      </c>
      <c r="AI31" s="175"/>
      <c r="AJ31" s="175"/>
      <c r="AK31" s="178">
        <v>1</v>
      </c>
    </row>
    <row r="32" spans="1:37" ht="15.95" customHeight="1" x14ac:dyDescent="0.25">
      <c r="A32" s="174" t="s">
        <v>461</v>
      </c>
      <c r="B32" s="174" t="s">
        <v>607</v>
      </c>
      <c r="C32" s="175"/>
      <c r="D32" s="174" t="s">
        <v>478</v>
      </c>
      <c r="E32" s="174" t="s">
        <v>596</v>
      </c>
      <c r="F32" s="176">
        <v>43164</v>
      </c>
      <c r="G32" s="176">
        <v>43171</v>
      </c>
      <c r="H32" s="174" t="s">
        <v>536</v>
      </c>
      <c r="I32" s="175" t="e">
        <f>VLOOKUP($H32,Mapping!$A:$A,1,0)</f>
        <v>#N/A</v>
      </c>
      <c r="J32" s="179" t="s">
        <v>486</v>
      </c>
      <c r="K32" s="174" t="s">
        <v>608</v>
      </c>
      <c r="L32" s="178">
        <v>3000000</v>
      </c>
      <c r="M32" s="178">
        <v>99.49</v>
      </c>
      <c r="N32" s="178">
        <v>3.4870346038000002</v>
      </c>
      <c r="O32" s="178">
        <v>-2984700</v>
      </c>
      <c r="P32" s="174" t="s">
        <v>337</v>
      </c>
      <c r="Q32" s="174" t="s">
        <v>609</v>
      </c>
      <c r="R32" s="174" t="s">
        <v>22</v>
      </c>
      <c r="S32" s="174" t="s">
        <v>129</v>
      </c>
      <c r="T32" s="175" t="str">
        <f>VLOOKUP($S32,Mapping!$C:$C,1,0)</f>
        <v>Omgeo</v>
      </c>
      <c r="U32" s="174" t="s">
        <v>610</v>
      </c>
      <c r="V32" s="174" t="s">
        <v>132</v>
      </c>
      <c r="W32" s="175"/>
      <c r="X32" s="175"/>
      <c r="Y32" s="174" t="s">
        <v>611</v>
      </c>
      <c r="Z32" s="174" t="s">
        <v>598</v>
      </c>
      <c r="AA32" s="174" t="s">
        <v>22</v>
      </c>
      <c r="AB32" s="174"/>
      <c r="AC32" s="175"/>
      <c r="AD32" s="174" t="s">
        <v>512</v>
      </c>
      <c r="AE32" s="176">
        <v>43164.519016203703</v>
      </c>
      <c r="AF32" s="174" t="s">
        <v>610</v>
      </c>
      <c r="AG32" s="176">
        <v>43164.515474537038</v>
      </c>
      <c r="AH32" s="176">
        <v>43164.515543981484</v>
      </c>
      <c r="AI32" s="175"/>
      <c r="AJ32" s="175"/>
      <c r="AK32" s="178">
        <v>1</v>
      </c>
    </row>
    <row r="33" spans="1:37" ht="15.95" customHeight="1" x14ac:dyDescent="0.25">
      <c r="A33" s="174" t="s">
        <v>461</v>
      </c>
      <c r="B33" s="174" t="s">
        <v>612</v>
      </c>
      <c r="C33" s="175"/>
      <c r="D33" s="174" t="s">
        <v>478</v>
      </c>
      <c r="E33" s="174" t="s">
        <v>596</v>
      </c>
      <c r="F33" s="176">
        <v>43164</v>
      </c>
      <c r="G33" s="176">
        <v>43171</v>
      </c>
      <c r="H33" s="174" t="s">
        <v>536</v>
      </c>
      <c r="I33" s="175" t="e">
        <f>VLOOKUP($H33,Mapping!$A:$A,1,0)</f>
        <v>#N/A</v>
      </c>
      <c r="J33" s="179" t="s">
        <v>486</v>
      </c>
      <c r="K33" s="174" t="s">
        <v>613</v>
      </c>
      <c r="L33" s="178">
        <v>1000000</v>
      </c>
      <c r="M33" s="178">
        <v>100</v>
      </c>
      <c r="N33" s="178">
        <v>0.55000000000000004</v>
      </c>
      <c r="O33" s="178">
        <v>-1000000</v>
      </c>
      <c r="P33" s="174" t="s">
        <v>337</v>
      </c>
      <c r="Q33" s="174" t="s">
        <v>614</v>
      </c>
      <c r="R33" s="174" t="s">
        <v>22</v>
      </c>
      <c r="S33" s="174" t="s">
        <v>129</v>
      </c>
      <c r="T33" s="175" t="str">
        <f>VLOOKUP($S33,Mapping!$C:$C,1,0)</f>
        <v>Omgeo</v>
      </c>
      <c r="U33" s="174" t="s">
        <v>615</v>
      </c>
      <c r="V33" s="174" t="s">
        <v>132</v>
      </c>
      <c r="W33" s="175"/>
      <c r="X33" s="175"/>
      <c r="Y33" s="174" t="s">
        <v>611</v>
      </c>
      <c r="Z33" s="174" t="s">
        <v>598</v>
      </c>
      <c r="AA33" s="174" t="s">
        <v>22</v>
      </c>
      <c r="AB33" s="174"/>
      <c r="AC33" s="175"/>
      <c r="AD33" s="174" t="s">
        <v>512</v>
      </c>
      <c r="AE33" s="176">
        <v>43164.519016203703</v>
      </c>
      <c r="AF33" s="174" t="s">
        <v>615</v>
      </c>
      <c r="AG33" s="176">
        <v>43164.515520833331</v>
      </c>
      <c r="AH33" s="176">
        <v>43164.515590277777</v>
      </c>
      <c r="AI33" s="175"/>
      <c r="AJ33" s="175"/>
      <c r="AK33" s="178">
        <v>1</v>
      </c>
    </row>
    <row r="34" spans="1:37" ht="15.95" customHeight="1" x14ac:dyDescent="0.25">
      <c r="A34" s="174" t="s">
        <v>461</v>
      </c>
      <c r="B34" s="174" t="s">
        <v>616</v>
      </c>
      <c r="C34" s="175"/>
      <c r="D34" s="174" t="s">
        <v>478</v>
      </c>
      <c r="E34" s="174" t="s">
        <v>491</v>
      </c>
      <c r="F34" s="176">
        <v>43164</v>
      </c>
      <c r="G34" s="176">
        <v>43165</v>
      </c>
      <c r="H34" s="174" t="s">
        <v>536</v>
      </c>
      <c r="I34" s="175" t="e">
        <f>VLOOKUP($H34,Mapping!$A:$A,1,0)</f>
        <v>#N/A</v>
      </c>
      <c r="J34" s="177" t="s">
        <v>466</v>
      </c>
      <c r="K34" s="174" t="s">
        <v>475</v>
      </c>
      <c r="L34" s="178">
        <v>4268000</v>
      </c>
      <c r="M34" s="178">
        <v>99.046875</v>
      </c>
      <c r="N34" s="178">
        <v>2.8606666053000001</v>
      </c>
      <c r="O34" s="178">
        <v>4233480.9288674006</v>
      </c>
      <c r="P34" s="174" t="s">
        <v>337</v>
      </c>
      <c r="Q34" s="174" t="s">
        <v>476</v>
      </c>
      <c r="R34" s="174" t="s">
        <v>22</v>
      </c>
      <c r="S34" s="174" t="s">
        <v>129</v>
      </c>
      <c r="T34" s="175" t="str">
        <f>VLOOKUP($S34,Mapping!$C:$C,1,0)</f>
        <v>Omgeo</v>
      </c>
      <c r="U34" s="174" t="s">
        <v>617</v>
      </c>
      <c r="V34" s="174" t="s">
        <v>132</v>
      </c>
      <c r="W34" s="175"/>
      <c r="X34" s="175"/>
      <c r="Y34" s="174" t="s">
        <v>469</v>
      </c>
      <c r="Z34" s="174" t="s">
        <v>494</v>
      </c>
      <c r="AA34" s="174" t="s">
        <v>22</v>
      </c>
      <c r="AB34" s="174"/>
      <c r="AC34" s="175"/>
      <c r="AD34" s="174" t="s">
        <v>512</v>
      </c>
      <c r="AE34" s="176">
        <v>43164.57135416667</v>
      </c>
      <c r="AF34" s="174" t="s">
        <v>617</v>
      </c>
      <c r="AG34" s="176">
        <v>43164.565821759257</v>
      </c>
      <c r="AH34" s="176">
        <v>43164.56590277778</v>
      </c>
      <c r="AI34" s="175"/>
      <c r="AJ34" s="175"/>
      <c r="AK34" s="178">
        <v>1</v>
      </c>
    </row>
    <row r="35" spans="1:37" ht="15.95" customHeight="1" x14ac:dyDescent="0.25">
      <c r="A35" s="174" t="s">
        <v>484</v>
      </c>
      <c r="B35" s="174" t="s">
        <v>618</v>
      </c>
      <c r="C35" s="175"/>
      <c r="D35" s="174" t="s">
        <v>478</v>
      </c>
      <c r="E35" s="174" t="s">
        <v>491</v>
      </c>
      <c r="F35" s="176">
        <v>43164</v>
      </c>
      <c r="G35" s="176">
        <v>43167</v>
      </c>
      <c r="H35" s="174" t="s">
        <v>536</v>
      </c>
      <c r="I35" s="175" t="e">
        <f>VLOOKUP($H35,Mapping!$A:$A,1,0)</f>
        <v>#N/A</v>
      </c>
      <c r="J35" s="179" t="s">
        <v>486</v>
      </c>
      <c r="K35" s="174" t="s">
        <v>619</v>
      </c>
      <c r="L35" s="178">
        <v>4550000</v>
      </c>
      <c r="M35" s="178">
        <v>99.766999999999996</v>
      </c>
      <c r="N35" s="178">
        <v>4.3268502446000001</v>
      </c>
      <c r="O35" s="178">
        <v>-4539398.5</v>
      </c>
      <c r="P35" s="174" t="s">
        <v>337</v>
      </c>
      <c r="Q35" s="174" t="s">
        <v>620</v>
      </c>
      <c r="R35" s="174" t="s">
        <v>22</v>
      </c>
      <c r="S35" s="174" t="s">
        <v>129</v>
      </c>
      <c r="T35" s="175" t="str">
        <f>VLOOKUP($S35,Mapping!$C:$C,1,0)</f>
        <v>Omgeo</v>
      </c>
      <c r="U35" s="174" t="s">
        <v>621</v>
      </c>
      <c r="V35" s="174" t="s">
        <v>132</v>
      </c>
      <c r="W35" s="175"/>
      <c r="X35" s="175"/>
      <c r="Y35" s="174" t="s">
        <v>489</v>
      </c>
      <c r="Z35" s="174" t="s">
        <v>494</v>
      </c>
      <c r="AA35" s="174" t="s">
        <v>22</v>
      </c>
      <c r="AB35" s="174"/>
      <c r="AC35" s="175"/>
      <c r="AD35" s="174" t="s">
        <v>512</v>
      </c>
      <c r="AE35" s="176">
        <v>43164.57135416667</v>
      </c>
      <c r="AF35" s="174" t="s">
        <v>621</v>
      </c>
      <c r="AG35" s="176">
        <v>43164.56590277778</v>
      </c>
      <c r="AH35" s="176">
        <v>43164.565983796296</v>
      </c>
      <c r="AI35" s="175"/>
      <c r="AJ35" s="175"/>
      <c r="AK35" s="178">
        <v>1</v>
      </c>
    </row>
    <row r="36" spans="1:37" ht="15.95" customHeight="1" x14ac:dyDescent="0.25">
      <c r="A36" s="174" t="s">
        <v>461</v>
      </c>
      <c r="B36" s="174" t="s">
        <v>622</v>
      </c>
      <c r="C36" s="175"/>
      <c r="D36" s="174" t="s">
        <v>463</v>
      </c>
      <c r="E36" s="174" t="s">
        <v>623</v>
      </c>
      <c r="F36" s="176">
        <v>43164</v>
      </c>
      <c r="G36" s="176">
        <v>43165</v>
      </c>
      <c r="H36" s="174" t="s">
        <v>536</v>
      </c>
      <c r="I36" s="175" t="e">
        <f>VLOOKUP($H36,Mapping!$A:$A,1,0)</f>
        <v>#N/A</v>
      </c>
      <c r="J36" s="179" t="s">
        <v>486</v>
      </c>
      <c r="K36" s="174" t="s">
        <v>624</v>
      </c>
      <c r="L36" s="178">
        <v>100000000</v>
      </c>
      <c r="M36" s="178">
        <v>100.1875</v>
      </c>
      <c r="N36" s="178">
        <v>-4.3922228100000002E-2</v>
      </c>
      <c r="O36" s="178">
        <v>-105549788.07692307</v>
      </c>
      <c r="P36" s="174" t="s">
        <v>337</v>
      </c>
      <c r="Q36" s="174" t="s">
        <v>625</v>
      </c>
      <c r="R36" s="174" t="s">
        <v>22</v>
      </c>
      <c r="S36" s="174" t="s">
        <v>129</v>
      </c>
      <c r="T36" s="175" t="str">
        <f>VLOOKUP($S36,Mapping!$C:$C,1,0)</f>
        <v>Omgeo</v>
      </c>
      <c r="U36" s="174" t="s">
        <v>626</v>
      </c>
      <c r="V36" s="174" t="s">
        <v>132</v>
      </c>
      <c r="W36" s="175"/>
      <c r="X36" s="175"/>
      <c r="Y36" s="174" t="s">
        <v>469</v>
      </c>
      <c r="Z36" s="174" t="s">
        <v>627</v>
      </c>
      <c r="AA36" s="174" t="s">
        <v>22</v>
      </c>
      <c r="AB36" s="174"/>
      <c r="AC36" s="175"/>
      <c r="AD36" s="174" t="s">
        <v>628</v>
      </c>
      <c r="AE36" s="176">
        <v>43164.499814814815</v>
      </c>
      <c r="AF36" s="174" t="s">
        <v>626</v>
      </c>
      <c r="AG36" s="176">
        <v>43164.589930555558</v>
      </c>
      <c r="AH36" s="176">
        <v>43164.589930555558</v>
      </c>
      <c r="AI36" s="174" t="s">
        <v>473</v>
      </c>
      <c r="AJ36" s="175"/>
      <c r="AK36" s="178">
        <v>1.05301</v>
      </c>
    </row>
    <row r="37" spans="1:37" ht="15.95" customHeight="1" x14ac:dyDescent="0.25">
      <c r="A37" s="174" t="s">
        <v>484</v>
      </c>
      <c r="B37" s="174" t="s">
        <v>629</v>
      </c>
      <c r="C37" s="175"/>
      <c r="D37" s="174" t="s">
        <v>478</v>
      </c>
      <c r="E37" s="174" t="s">
        <v>479</v>
      </c>
      <c r="F37" s="176">
        <v>43164</v>
      </c>
      <c r="G37" s="176">
        <v>43166</v>
      </c>
      <c r="H37" s="174" t="s">
        <v>536</v>
      </c>
      <c r="I37" s="175" t="e">
        <f>VLOOKUP($H37,Mapping!$A:$A,1,0)</f>
        <v>#N/A</v>
      </c>
      <c r="J37" s="177" t="s">
        <v>466</v>
      </c>
      <c r="K37" s="174" t="s">
        <v>630</v>
      </c>
      <c r="L37" s="178">
        <v>2255000</v>
      </c>
      <c r="M37" s="178">
        <v>94.343999999999994</v>
      </c>
      <c r="N37" s="178">
        <v>4.7159834919000003</v>
      </c>
      <c r="O37" s="178">
        <v>2152537.8111111098</v>
      </c>
      <c r="P37" s="174" t="s">
        <v>337</v>
      </c>
      <c r="Q37" s="174" t="s">
        <v>631</v>
      </c>
      <c r="R37" s="174" t="s">
        <v>22</v>
      </c>
      <c r="S37" s="174" t="s">
        <v>129</v>
      </c>
      <c r="T37" s="175" t="str">
        <f>VLOOKUP($S37,Mapping!$C:$C,1,0)</f>
        <v>Omgeo</v>
      </c>
      <c r="U37" s="174" t="s">
        <v>632</v>
      </c>
      <c r="V37" s="174" t="s">
        <v>132</v>
      </c>
      <c r="W37" s="175"/>
      <c r="X37" s="175"/>
      <c r="Y37" s="174" t="s">
        <v>633</v>
      </c>
      <c r="Z37" s="174" t="s">
        <v>481</v>
      </c>
      <c r="AA37" s="174" t="s">
        <v>22</v>
      </c>
      <c r="AB37" s="174"/>
      <c r="AC37" s="175"/>
      <c r="AD37" s="174" t="s">
        <v>512</v>
      </c>
      <c r="AE37" s="176">
        <v>43164.610729166663</v>
      </c>
      <c r="AF37" s="174" t="s">
        <v>632</v>
      </c>
      <c r="AG37" s="176">
        <v>43164.606249999997</v>
      </c>
      <c r="AH37" s="176">
        <v>43164.606296296297</v>
      </c>
      <c r="AI37" s="175"/>
      <c r="AJ37" s="175"/>
      <c r="AK37" s="178">
        <v>1</v>
      </c>
    </row>
    <row r="38" spans="1:37" ht="15.95" customHeight="1" x14ac:dyDescent="0.25">
      <c r="A38" s="174" t="s">
        <v>461</v>
      </c>
      <c r="B38" s="174" t="s">
        <v>634</v>
      </c>
      <c r="C38" s="175"/>
      <c r="D38" s="174" t="s">
        <v>478</v>
      </c>
      <c r="E38" s="174" t="s">
        <v>479</v>
      </c>
      <c r="F38" s="176">
        <v>43164</v>
      </c>
      <c r="G38" s="176">
        <v>43165</v>
      </c>
      <c r="H38" s="174" t="s">
        <v>536</v>
      </c>
      <c r="I38" s="175" t="e">
        <f>VLOOKUP($H38,Mapping!$A:$A,1,0)</f>
        <v>#N/A</v>
      </c>
      <c r="J38" s="179" t="s">
        <v>486</v>
      </c>
      <c r="K38" s="174" t="s">
        <v>543</v>
      </c>
      <c r="L38" s="178">
        <v>2124000</v>
      </c>
      <c r="M38" s="178">
        <v>92.03125</v>
      </c>
      <c r="N38" s="178">
        <v>3.1658199957000002</v>
      </c>
      <c r="O38" s="178">
        <v>-1972653.9986187799</v>
      </c>
      <c r="P38" s="174" t="s">
        <v>337</v>
      </c>
      <c r="Q38" s="174" t="s">
        <v>544</v>
      </c>
      <c r="R38" s="174" t="s">
        <v>22</v>
      </c>
      <c r="S38" s="174" t="s">
        <v>129</v>
      </c>
      <c r="T38" s="175" t="str">
        <f>VLOOKUP($S38,Mapping!$C:$C,1,0)</f>
        <v>Omgeo</v>
      </c>
      <c r="U38" s="174" t="s">
        <v>635</v>
      </c>
      <c r="V38" s="174" t="s">
        <v>132</v>
      </c>
      <c r="W38" s="175"/>
      <c r="X38" s="175"/>
      <c r="Y38" s="174" t="s">
        <v>469</v>
      </c>
      <c r="Z38" s="174" t="s">
        <v>481</v>
      </c>
      <c r="AA38" s="174" t="s">
        <v>22</v>
      </c>
      <c r="AB38" s="174"/>
      <c r="AC38" s="175"/>
      <c r="AD38" s="174" t="s">
        <v>512</v>
      </c>
      <c r="AE38" s="176">
        <v>43164.610729166663</v>
      </c>
      <c r="AF38" s="174" t="s">
        <v>635</v>
      </c>
      <c r="AG38" s="176">
        <v>43164.606273148151</v>
      </c>
      <c r="AH38" s="176">
        <v>43164.606365740743</v>
      </c>
      <c r="AI38" s="175"/>
      <c r="AJ38" s="175"/>
      <c r="AK38" s="178">
        <v>1</v>
      </c>
    </row>
    <row r="39" spans="1:37" ht="15.95" customHeight="1" x14ac:dyDescent="0.25">
      <c r="A39" s="174" t="s">
        <v>484</v>
      </c>
      <c r="B39" s="174" t="s">
        <v>636</v>
      </c>
      <c r="C39" s="175"/>
      <c r="D39" s="174" t="s">
        <v>478</v>
      </c>
      <c r="E39" s="174" t="s">
        <v>479</v>
      </c>
      <c r="F39" s="176">
        <v>43164</v>
      </c>
      <c r="G39" s="176">
        <v>43166</v>
      </c>
      <c r="H39" s="174" t="s">
        <v>536</v>
      </c>
      <c r="I39" s="175" t="e">
        <f>VLOOKUP($H39,Mapping!$A:$A,1,0)</f>
        <v>#N/A</v>
      </c>
      <c r="J39" s="179" t="s">
        <v>486</v>
      </c>
      <c r="K39" s="174" t="s">
        <v>637</v>
      </c>
      <c r="L39" s="178">
        <v>2730000</v>
      </c>
      <c r="M39" s="178">
        <v>96.822000000000003</v>
      </c>
      <c r="N39" s="178">
        <v>3.9230095913</v>
      </c>
      <c r="O39" s="178">
        <v>-2644567.6833333299</v>
      </c>
      <c r="P39" s="174" t="s">
        <v>337</v>
      </c>
      <c r="Q39" s="174" t="s">
        <v>638</v>
      </c>
      <c r="R39" s="174" t="s">
        <v>22</v>
      </c>
      <c r="S39" s="174" t="s">
        <v>129</v>
      </c>
      <c r="T39" s="175" t="str">
        <f>VLOOKUP($S39,Mapping!$C:$C,1,0)</f>
        <v>Omgeo</v>
      </c>
      <c r="U39" s="174" t="s">
        <v>639</v>
      </c>
      <c r="V39" s="174" t="s">
        <v>132</v>
      </c>
      <c r="W39" s="175"/>
      <c r="X39" s="175"/>
      <c r="Y39" s="174" t="s">
        <v>640</v>
      </c>
      <c r="Z39" s="174" t="s">
        <v>481</v>
      </c>
      <c r="AA39" s="174" t="s">
        <v>22</v>
      </c>
      <c r="AB39" s="174"/>
      <c r="AC39" s="175"/>
      <c r="AD39" s="174" t="s">
        <v>512</v>
      </c>
      <c r="AE39" s="176">
        <v>43164.695775462962</v>
      </c>
      <c r="AF39" s="174" t="s">
        <v>639</v>
      </c>
      <c r="AG39" s="176">
        <v>43164.689872685187</v>
      </c>
      <c r="AH39" s="176">
        <v>43164.689918981479</v>
      </c>
      <c r="AI39" s="175"/>
      <c r="AJ39" s="175"/>
      <c r="AK39" s="178">
        <v>1</v>
      </c>
    </row>
    <row r="40" spans="1:37" ht="15.95" customHeight="1" x14ac:dyDescent="0.25">
      <c r="A40" s="174" t="s">
        <v>461</v>
      </c>
      <c r="B40" s="174" t="s">
        <v>641</v>
      </c>
      <c r="C40" s="175"/>
      <c r="D40" s="174" t="s">
        <v>478</v>
      </c>
      <c r="E40" s="174" t="s">
        <v>479</v>
      </c>
      <c r="F40" s="176">
        <v>43164</v>
      </c>
      <c r="G40" s="176">
        <v>43165</v>
      </c>
      <c r="H40" s="174" t="s">
        <v>536</v>
      </c>
      <c r="I40" s="175" t="e">
        <f>VLOOKUP($H40,Mapping!$A:$A,1,0)</f>
        <v>#N/A</v>
      </c>
      <c r="J40" s="177" t="s">
        <v>466</v>
      </c>
      <c r="K40" s="174" t="s">
        <v>475</v>
      </c>
      <c r="L40" s="178">
        <v>2348000</v>
      </c>
      <c r="M40" s="178">
        <v>98.859375</v>
      </c>
      <c r="N40" s="178">
        <v>2.8826001954999998</v>
      </c>
      <c r="O40" s="178">
        <v>2324607.1581491702</v>
      </c>
      <c r="P40" s="174" t="s">
        <v>337</v>
      </c>
      <c r="Q40" s="174" t="s">
        <v>476</v>
      </c>
      <c r="R40" s="174" t="s">
        <v>22</v>
      </c>
      <c r="S40" s="174" t="s">
        <v>129</v>
      </c>
      <c r="T40" s="175" t="str">
        <f>VLOOKUP($S40,Mapping!$C:$C,1,0)</f>
        <v>Omgeo</v>
      </c>
      <c r="U40" s="174" t="s">
        <v>642</v>
      </c>
      <c r="V40" s="174" t="s">
        <v>132</v>
      </c>
      <c r="W40" s="175"/>
      <c r="X40" s="175"/>
      <c r="Y40" s="174" t="s">
        <v>469</v>
      </c>
      <c r="Z40" s="174" t="s">
        <v>481</v>
      </c>
      <c r="AA40" s="174" t="s">
        <v>22</v>
      </c>
      <c r="AB40" s="174"/>
      <c r="AC40" s="175"/>
      <c r="AD40" s="174" t="s">
        <v>512</v>
      </c>
      <c r="AE40" s="176">
        <v>43164.695775462962</v>
      </c>
      <c r="AF40" s="174" t="s">
        <v>642</v>
      </c>
      <c r="AG40" s="176">
        <v>43164.689884259256</v>
      </c>
      <c r="AH40" s="176">
        <v>43164.689976851849</v>
      </c>
      <c r="AI40" s="175"/>
      <c r="AJ40" s="175"/>
      <c r="AK40" s="178">
        <v>1</v>
      </c>
    </row>
    <row r="41" spans="1:37" ht="15.95" customHeight="1" x14ac:dyDescent="0.25">
      <c r="A41" s="174" t="s">
        <v>461</v>
      </c>
      <c r="B41" s="174" t="s">
        <v>643</v>
      </c>
      <c r="C41" s="175"/>
      <c r="D41" s="174" t="s">
        <v>478</v>
      </c>
      <c r="E41" s="174" t="s">
        <v>491</v>
      </c>
      <c r="F41" s="176">
        <v>43164</v>
      </c>
      <c r="G41" s="176">
        <v>43165</v>
      </c>
      <c r="H41" s="174" t="s">
        <v>536</v>
      </c>
      <c r="I41" s="175" t="e">
        <f>VLOOKUP($H41,Mapping!$A:$A,1,0)</f>
        <v>#N/A</v>
      </c>
      <c r="J41" s="179" t="s">
        <v>486</v>
      </c>
      <c r="K41" s="174" t="s">
        <v>644</v>
      </c>
      <c r="L41" s="178">
        <v>2730000</v>
      </c>
      <c r="M41" s="178">
        <v>97.05859375</v>
      </c>
      <c r="N41" s="178">
        <v>3.1524310809</v>
      </c>
      <c r="O41" s="178">
        <v>-2653998.2281595301</v>
      </c>
      <c r="P41" s="174" t="s">
        <v>337</v>
      </c>
      <c r="Q41" s="174" t="s">
        <v>645</v>
      </c>
      <c r="R41" s="174" t="s">
        <v>24</v>
      </c>
      <c r="S41" s="174" t="s">
        <v>129</v>
      </c>
      <c r="T41" s="175" t="str">
        <f>VLOOKUP($S41,Mapping!$C:$C,1,0)</f>
        <v>Omgeo</v>
      </c>
      <c r="U41" s="175"/>
      <c r="V41" s="175"/>
      <c r="W41" s="175"/>
      <c r="X41" s="175"/>
      <c r="Y41" s="174" t="s">
        <v>469</v>
      </c>
      <c r="Z41" s="174" t="s">
        <v>494</v>
      </c>
      <c r="AA41" s="174" t="s">
        <v>24</v>
      </c>
      <c r="AB41" s="174"/>
      <c r="AC41" s="175"/>
      <c r="AD41" s="174" t="s">
        <v>512</v>
      </c>
      <c r="AE41" s="176">
        <v>43164.519016203703</v>
      </c>
      <c r="AF41" s="175"/>
      <c r="AG41" s="176">
        <v>43164.517233796294</v>
      </c>
      <c r="AH41" s="176">
        <v>43164.51730324074</v>
      </c>
      <c r="AI41" s="175"/>
      <c r="AJ41" s="175"/>
      <c r="AK41" s="178">
        <v>1</v>
      </c>
    </row>
    <row r="42" spans="1:37" ht="15.95" customHeight="1" x14ac:dyDescent="0.25">
      <c r="A42" s="174" t="s">
        <v>461</v>
      </c>
      <c r="B42" s="174" t="s">
        <v>646</v>
      </c>
      <c r="C42" s="175"/>
      <c r="D42" s="174" t="s">
        <v>463</v>
      </c>
      <c r="E42" s="174" t="s">
        <v>647</v>
      </c>
      <c r="F42" s="176">
        <v>43164</v>
      </c>
      <c r="G42" s="176">
        <v>43165</v>
      </c>
      <c r="H42" s="174" t="s">
        <v>648</v>
      </c>
      <c r="I42" s="175" t="e">
        <f>VLOOKUP($H42,Mapping!$A:$A,1,0)</f>
        <v>#N/A</v>
      </c>
      <c r="J42" s="177" t="s">
        <v>466</v>
      </c>
      <c r="K42" s="174" t="s">
        <v>475</v>
      </c>
      <c r="L42" s="178">
        <v>5000000</v>
      </c>
      <c r="M42" s="178">
        <v>99.069912500000001</v>
      </c>
      <c r="N42" s="178">
        <v>2.8579749657</v>
      </c>
      <c r="O42" s="178">
        <v>4960712.4758287296</v>
      </c>
      <c r="P42" s="174" t="s">
        <v>337</v>
      </c>
      <c r="Q42" s="174" t="s">
        <v>476</v>
      </c>
      <c r="R42" s="174" t="s">
        <v>22</v>
      </c>
      <c r="S42" s="174" t="s">
        <v>129</v>
      </c>
      <c r="T42" s="175" t="str">
        <f>VLOOKUP($S42,Mapping!$C:$C,1,0)</f>
        <v>Omgeo</v>
      </c>
      <c r="U42" s="174" t="s">
        <v>649</v>
      </c>
      <c r="V42" s="174" t="s">
        <v>132</v>
      </c>
      <c r="W42" s="175"/>
      <c r="X42" s="175"/>
      <c r="Y42" s="174" t="s">
        <v>469</v>
      </c>
      <c r="Z42" s="174" t="s">
        <v>650</v>
      </c>
      <c r="AA42" s="174" t="s">
        <v>22</v>
      </c>
      <c r="AB42" s="174"/>
      <c r="AC42" s="175"/>
      <c r="AD42" s="174" t="s">
        <v>512</v>
      </c>
      <c r="AE42" s="176">
        <v>43164.467534722222</v>
      </c>
      <c r="AF42" s="174" t="s">
        <v>649</v>
      </c>
      <c r="AG42" s="176">
        <v>43164.46365740741</v>
      </c>
      <c r="AH42" s="176">
        <v>43164.46371527778</v>
      </c>
      <c r="AI42" s="174" t="s">
        <v>473</v>
      </c>
      <c r="AJ42" s="175"/>
      <c r="AK42" s="178">
        <v>1</v>
      </c>
    </row>
    <row r="43" spans="1:37" ht="15.95" customHeight="1" x14ac:dyDescent="0.25">
      <c r="A43" s="174" t="s">
        <v>651</v>
      </c>
      <c r="B43" s="174" t="s">
        <v>652</v>
      </c>
      <c r="C43" s="175"/>
      <c r="D43" s="174" t="s">
        <v>653</v>
      </c>
      <c r="E43" s="174" t="s">
        <v>647</v>
      </c>
      <c r="F43" s="176">
        <v>43164</v>
      </c>
      <c r="G43" s="176">
        <v>43179</v>
      </c>
      <c r="H43" s="174" t="s">
        <v>648</v>
      </c>
      <c r="I43" s="175" t="e">
        <f>VLOOKUP($H43,Mapping!$A:$A,1,0)</f>
        <v>#N/A</v>
      </c>
      <c r="J43" s="177" t="s">
        <v>466</v>
      </c>
      <c r="K43" s="174" t="s">
        <v>654</v>
      </c>
      <c r="L43" s="178">
        <v>50000000</v>
      </c>
      <c r="M43" s="178">
        <v>100.7109375</v>
      </c>
      <c r="N43" s="178">
        <v>3.4520432453000001</v>
      </c>
      <c r="O43" s="178">
        <v>50355468.75</v>
      </c>
      <c r="P43" s="174" t="s">
        <v>337</v>
      </c>
      <c r="Q43" s="174" t="s">
        <v>655</v>
      </c>
      <c r="R43" s="174" t="s">
        <v>22</v>
      </c>
      <c r="S43" s="174" t="s">
        <v>129</v>
      </c>
      <c r="T43" s="175" t="str">
        <f>VLOOKUP($S43,Mapping!$C:$C,1,0)</f>
        <v>Omgeo</v>
      </c>
      <c r="U43" s="174" t="s">
        <v>656</v>
      </c>
      <c r="V43" s="174" t="s">
        <v>132</v>
      </c>
      <c r="W43" s="175"/>
      <c r="X43" s="175"/>
      <c r="Y43" s="174" t="s">
        <v>651</v>
      </c>
      <c r="Z43" s="174" t="s">
        <v>650</v>
      </c>
      <c r="AA43" s="174" t="s">
        <v>22</v>
      </c>
      <c r="AB43" s="174"/>
      <c r="AC43" s="175"/>
      <c r="AD43" s="174"/>
      <c r="AE43" s="176">
        <v>43164.372928240744</v>
      </c>
      <c r="AF43" s="174" t="s">
        <v>656</v>
      </c>
      <c r="AG43" s="176">
        <v>43164.367280092592</v>
      </c>
      <c r="AH43" s="176">
        <v>43164.378831018519</v>
      </c>
      <c r="AI43" s="175"/>
      <c r="AJ43" s="175"/>
      <c r="AK43" s="178">
        <v>1</v>
      </c>
    </row>
    <row r="44" spans="1:37" ht="15.95" customHeight="1" x14ac:dyDescent="0.25">
      <c r="A44" s="174" t="s">
        <v>651</v>
      </c>
      <c r="B44" s="174" t="s">
        <v>657</v>
      </c>
      <c r="C44" s="175"/>
      <c r="D44" s="174" t="s">
        <v>653</v>
      </c>
      <c r="E44" s="174" t="s">
        <v>647</v>
      </c>
      <c r="F44" s="176">
        <v>43164</v>
      </c>
      <c r="G44" s="176">
        <v>43179</v>
      </c>
      <c r="H44" s="174" t="s">
        <v>648</v>
      </c>
      <c r="I44" s="175" t="e">
        <f>VLOOKUP($H44,Mapping!$A:$A,1,0)</f>
        <v>#N/A</v>
      </c>
      <c r="J44" s="177" t="s">
        <v>466</v>
      </c>
      <c r="K44" s="174" t="s">
        <v>654</v>
      </c>
      <c r="L44" s="178">
        <v>50000000</v>
      </c>
      <c r="M44" s="178">
        <v>100.70703125</v>
      </c>
      <c r="N44" s="178">
        <v>3.4522512453999998</v>
      </c>
      <c r="O44" s="178">
        <v>50353515.625</v>
      </c>
      <c r="P44" s="174" t="s">
        <v>337</v>
      </c>
      <c r="Q44" s="174" t="s">
        <v>655</v>
      </c>
      <c r="R44" s="174" t="s">
        <v>22</v>
      </c>
      <c r="S44" s="174" t="s">
        <v>129</v>
      </c>
      <c r="T44" s="175" t="str">
        <f>VLOOKUP($S44,Mapping!$C:$C,1,0)</f>
        <v>Omgeo</v>
      </c>
      <c r="U44" s="174" t="s">
        <v>658</v>
      </c>
      <c r="V44" s="174" t="s">
        <v>132</v>
      </c>
      <c r="W44" s="175"/>
      <c r="X44" s="175"/>
      <c r="Y44" s="174" t="s">
        <v>651</v>
      </c>
      <c r="Z44" s="174" t="s">
        <v>650</v>
      </c>
      <c r="AA44" s="174" t="s">
        <v>22</v>
      </c>
      <c r="AB44" s="174"/>
      <c r="AC44" s="175"/>
      <c r="AD44" s="174"/>
      <c r="AE44" s="176">
        <v>43164.372928240744</v>
      </c>
      <c r="AF44" s="174" t="s">
        <v>658</v>
      </c>
      <c r="AG44" s="176">
        <v>43164.367106481484</v>
      </c>
      <c r="AH44" s="176">
        <v>43164.382314814815</v>
      </c>
      <c r="AI44" s="175"/>
      <c r="AJ44" s="175"/>
      <c r="AK44" s="178">
        <v>1</v>
      </c>
    </row>
    <row r="45" spans="1:37" ht="15.95" customHeight="1" x14ac:dyDescent="0.25">
      <c r="A45" s="174" t="s">
        <v>651</v>
      </c>
      <c r="B45" s="174" t="s">
        <v>659</v>
      </c>
      <c r="C45" s="175"/>
      <c r="D45" s="174" t="s">
        <v>653</v>
      </c>
      <c r="E45" s="174" t="s">
        <v>647</v>
      </c>
      <c r="F45" s="176">
        <v>43164</v>
      </c>
      <c r="G45" s="176">
        <v>43241</v>
      </c>
      <c r="H45" s="174" t="s">
        <v>648</v>
      </c>
      <c r="I45" s="175" t="e">
        <f>VLOOKUP($H45,Mapping!$A:$A,1,0)</f>
        <v>#N/A</v>
      </c>
      <c r="J45" s="179" t="s">
        <v>486</v>
      </c>
      <c r="K45" s="174" t="s">
        <v>660</v>
      </c>
      <c r="L45" s="178">
        <v>50000000</v>
      </c>
      <c r="M45" s="178">
        <v>100.421875</v>
      </c>
      <c r="N45" s="178">
        <v>3.4674579232</v>
      </c>
      <c r="O45" s="178">
        <v>-50210937.5</v>
      </c>
      <c r="P45" s="174" t="s">
        <v>337</v>
      </c>
      <c r="Q45" s="174" t="s">
        <v>661</v>
      </c>
      <c r="R45" s="174" t="s">
        <v>22</v>
      </c>
      <c r="S45" s="174" t="s">
        <v>129</v>
      </c>
      <c r="T45" s="175" t="str">
        <f>VLOOKUP($S45,Mapping!$C:$C,1,0)</f>
        <v>Omgeo</v>
      </c>
      <c r="U45" s="174" t="s">
        <v>662</v>
      </c>
      <c r="V45" s="174" t="s">
        <v>132</v>
      </c>
      <c r="W45" s="175"/>
      <c r="X45" s="175"/>
      <c r="Y45" s="174" t="s">
        <v>651</v>
      </c>
      <c r="Z45" s="174" t="s">
        <v>650</v>
      </c>
      <c r="AA45" s="174" t="s">
        <v>22</v>
      </c>
      <c r="AB45" s="174"/>
      <c r="AC45" s="175"/>
      <c r="AD45" s="174"/>
      <c r="AE45" s="176">
        <v>43164.405185185184</v>
      </c>
      <c r="AF45" s="174" t="s">
        <v>662</v>
      </c>
      <c r="AG45" s="176">
        <v>43164.398958333331</v>
      </c>
      <c r="AH45" s="176">
        <v>43164.410150462965</v>
      </c>
      <c r="AI45" s="175"/>
      <c r="AJ45" s="175"/>
      <c r="AK45" s="178">
        <v>1</v>
      </c>
    </row>
    <row r="46" spans="1:37" ht="15.95" customHeight="1" x14ac:dyDescent="0.25">
      <c r="A46" s="174" t="s">
        <v>651</v>
      </c>
      <c r="B46" s="174" t="s">
        <v>663</v>
      </c>
      <c r="C46" s="175"/>
      <c r="D46" s="174" t="s">
        <v>653</v>
      </c>
      <c r="E46" s="174" t="s">
        <v>647</v>
      </c>
      <c r="F46" s="176">
        <v>43164</v>
      </c>
      <c r="G46" s="176">
        <v>43241</v>
      </c>
      <c r="H46" s="174" t="s">
        <v>648</v>
      </c>
      <c r="I46" s="175" t="e">
        <f>VLOOKUP($H46,Mapping!$A:$A,1,0)</f>
        <v>#N/A</v>
      </c>
      <c r="J46" s="179" t="s">
        <v>486</v>
      </c>
      <c r="K46" s="174" t="s">
        <v>660</v>
      </c>
      <c r="L46" s="178">
        <v>50000000</v>
      </c>
      <c r="M46" s="178">
        <v>100.421875</v>
      </c>
      <c r="N46" s="178">
        <v>3.4674579232</v>
      </c>
      <c r="O46" s="178">
        <v>-50210937.5</v>
      </c>
      <c r="P46" s="174" t="s">
        <v>337</v>
      </c>
      <c r="Q46" s="174" t="s">
        <v>661</v>
      </c>
      <c r="R46" s="174" t="s">
        <v>22</v>
      </c>
      <c r="S46" s="174" t="s">
        <v>129</v>
      </c>
      <c r="T46" s="175" t="str">
        <f>VLOOKUP($S46,Mapping!$C:$C,1,0)</f>
        <v>Omgeo</v>
      </c>
      <c r="U46" s="174" t="s">
        <v>664</v>
      </c>
      <c r="V46" s="174" t="s">
        <v>132</v>
      </c>
      <c r="W46" s="175"/>
      <c r="X46" s="175"/>
      <c r="Y46" s="174" t="s">
        <v>651</v>
      </c>
      <c r="Z46" s="174" t="s">
        <v>650</v>
      </c>
      <c r="AA46" s="174" t="s">
        <v>22</v>
      </c>
      <c r="AB46" s="174"/>
      <c r="AC46" s="175"/>
      <c r="AD46" s="174"/>
      <c r="AE46" s="176">
        <v>43164.405185185184</v>
      </c>
      <c r="AF46" s="174" t="s">
        <v>664</v>
      </c>
      <c r="AG46" s="176">
        <v>43164.398715277777</v>
      </c>
      <c r="AH46" s="176">
        <v>43164.410150462965</v>
      </c>
      <c r="AI46" s="175"/>
      <c r="AJ46" s="175"/>
      <c r="AK46" s="178">
        <v>1</v>
      </c>
    </row>
    <row r="47" spans="1:37" ht="15.95" customHeight="1" x14ac:dyDescent="0.25">
      <c r="A47" s="174" t="s">
        <v>651</v>
      </c>
      <c r="B47" s="174" t="s">
        <v>665</v>
      </c>
      <c r="C47" s="175"/>
      <c r="D47" s="174" t="s">
        <v>653</v>
      </c>
      <c r="E47" s="174" t="s">
        <v>666</v>
      </c>
      <c r="F47" s="176">
        <v>43164</v>
      </c>
      <c r="G47" s="176">
        <v>43174</v>
      </c>
      <c r="H47" s="174" t="s">
        <v>648</v>
      </c>
      <c r="I47" s="175" t="e">
        <f>VLOOKUP($H47,Mapping!$A:$A,1,0)</f>
        <v>#N/A</v>
      </c>
      <c r="J47" s="177" t="s">
        <v>466</v>
      </c>
      <c r="K47" s="174" t="s">
        <v>667</v>
      </c>
      <c r="L47" s="178">
        <v>21000000</v>
      </c>
      <c r="M47" s="178">
        <v>99.5703125</v>
      </c>
      <c r="N47" s="178">
        <v>3.0111419694000001</v>
      </c>
      <c r="O47" s="178">
        <v>20909765.625</v>
      </c>
      <c r="P47" s="174" t="s">
        <v>337</v>
      </c>
      <c r="Q47" s="174" t="s">
        <v>668</v>
      </c>
      <c r="R47" s="174" t="s">
        <v>22</v>
      </c>
      <c r="S47" s="174" t="s">
        <v>129</v>
      </c>
      <c r="T47" s="175" t="str">
        <f>VLOOKUP($S47,Mapping!$C:$C,1,0)</f>
        <v>Omgeo</v>
      </c>
      <c r="U47" s="174" t="s">
        <v>669</v>
      </c>
      <c r="V47" s="174" t="s">
        <v>132</v>
      </c>
      <c r="W47" s="175"/>
      <c r="X47" s="175"/>
      <c r="Y47" s="174" t="s">
        <v>651</v>
      </c>
      <c r="Z47" s="174" t="s">
        <v>670</v>
      </c>
      <c r="AA47" s="174" t="s">
        <v>22</v>
      </c>
      <c r="AB47" s="174"/>
      <c r="AC47" s="175"/>
      <c r="AD47" s="174"/>
      <c r="AE47" s="176">
        <v>43164.469942129632</v>
      </c>
      <c r="AF47" s="174" t="s">
        <v>669</v>
      </c>
      <c r="AG47" s="176">
        <v>43164.466886574075</v>
      </c>
      <c r="AH47" s="176">
        <v>43164.476469907408</v>
      </c>
      <c r="AI47" s="175"/>
      <c r="AJ47" s="175"/>
      <c r="AK47" s="178">
        <v>1</v>
      </c>
    </row>
    <row r="48" spans="1:37" ht="15.95" customHeight="1" x14ac:dyDescent="0.25">
      <c r="A48" s="174" t="s">
        <v>651</v>
      </c>
      <c r="B48" s="174" t="s">
        <v>671</v>
      </c>
      <c r="C48" s="175"/>
      <c r="D48" s="174" t="s">
        <v>653</v>
      </c>
      <c r="E48" s="174" t="s">
        <v>666</v>
      </c>
      <c r="F48" s="176">
        <v>43164</v>
      </c>
      <c r="G48" s="176">
        <v>43207</v>
      </c>
      <c r="H48" s="174" t="s">
        <v>648</v>
      </c>
      <c r="I48" s="175" t="e">
        <f>VLOOKUP($H48,Mapping!$A:$A,1,0)</f>
        <v>#N/A</v>
      </c>
      <c r="J48" s="179" t="s">
        <v>486</v>
      </c>
      <c r="K48" s="174" t="s">
        <v>672</v>
      </c>
      <c r="L48" s="178">
        <v>21000000</v>
      </c>
      <c r="M48" s="178">
        <v>99.453125</v>
      </c>
      <c r="N48" s="178">
        <v>3.0177686079999999</v>
      </c>
      <c r="O48" s="178">
        <v>-20885156.25</v>
      </c>
      <c r="P48" s="174" t="s">
        <v>337</v>
      </c>
      <c r="Q48" s="174" t="s">
        <v>673</v>
      </c>
      <c r="R48" s="174" t="s">
        <v>22</v>
      </c>
      <c r="S48" s="174" t="s">
        <v>129</v>
      </c>
      <c r="T48" s="175" t="str">
        <f>VLOOKUP($S48,Mapping!$C:$C,1,0)</f>
        <v>Omgeo</v>
      </c>
      <c r="U48" s="174" t="s">
        <v>674</v>
      </c>
      <c r="V48" s="174" t="s">
        <v>132</v>
      </c>
      <c r="W48" s="175"/>
      <c r="X48" s="175"/>
      <c r="Y48" s="174" t="s">
        <v>651</v>
      </c>
      <c r="Z48" s="174" t="s">
        <v>670</v>
      </c>
      <c r="AA48" s="174" t="s">
        <v>22</v>
      </c>
      <c r="AB48" s="174"/>
      <c r="AC48" s="175"/>
      <c r="AD48" s="174"/>
      <c r="AE48" s="176">
        <v>43164.495787037034</v>
      </c>
      <c r="AF48" s="174" t="s">
        <v>674</v>
      </c>
      <c r="AG48" s="176">
        <v>43164.492824074077</v>
      </c>
      <c r="AH48" s="176">
        <v>43164.500821759262</v>
      </c>
      <c r="AI48" s="175"/>
      <c r="AJ48" s="175"/>
      <c r="AK48" s="178">
        <v>1</v>
      </c>
    </row>
    <row r="49" spans="1:37" ht="15.95" customHeight="1" x14ac:dyDescent="0.25">
      <c r="A49" s="174" t="s">
        <v>461</v>
      </c>
      <c r="B49" s="174" t="s">
        <v>675</v>
      </c>
      <c r="C49" s="175"/>
      <c r="D49" s="174" t="s">
        <v>478</v>
      </c>
      <c r="E49" s="174" t="s">
        <v>676</v>
      </c>
      <c r="F49" s="176">
        <v>43164</v>
      </c>
      <c r="G49" s="176">
        <v>43166</v>
      </c>
      <c r="H49" s="174" t="s">
        <v>677</v>
      </c>
      <c r="I49" s="175" t="e">
        <f>VLOOKUP($H49,Mapping!$A:$A,1,0)</f>
        <v>#N/A</v>
      </c>
      <c r="J49" s="179" t="s">
        <v>486</v>
      </c>
      <c r="K49" s="174" t="s">
        <v>678</v>
      </c>
      <c r="L49" s="178">
        <v>7200000</v>
      </c>
      <c r="M49" s="178">
        <v>94.951599999999999</v>
      </c>
      <c r="N49" s="178">
        <v>2.1726032050000001</v>
      </c>
      <c r="O49" s="178">
        <v>-6864920.6794520505</v>
      </c>
      <c r="P49" s="174" t="s">
        <v>679</v>
      </c>
      <c r="Q49" s="174" t="s">
        <v>680</v>
      </c>
      <c r="R49" s="174" t="s">
        <v>22</v>
      </c>
      <c r="S49" s="174" t="s">
        <v>129</v>
      </c>
      <c r="T49" s="175" t="str">
        <f>VLOOKUP($S49,Mapping!$C:$C,1,0)</f>
        <v>Omgeo</v>
      </c>
      <c r="U49" s="174" t="s">
        <v>681</v>
      </c>
      <c r="V49" s="174" t="s">
        <v>132</v>
      </c>
      <c r="W49" s="175"/>
      <c r="X49" s="175"/>
      <c r="Y49" s="174" t="s">
        <v>682</v>
      </c>
      <c r="Z49" s="174" t="s">
        <v>683</v>
      </c>
      <c r="AA49" s="174" t="s">
        <v>22</v>
      </c>
      <c r="AB49" s="174"/>
      <c r="AC49" s="175"/>
      <c r="AD49" s="174" t="s">
        <v>512</v>
      </c>
      <c r="AE49" s="176">
        <v>43164.709270833337</v>
      </c>
      <c r="AF49" s="174" t="s">
        <v>681</v>
      </c>
      <c r="AG49" s="176">
        <v>43164.704282407409</v>
      </c>
      <c r="AH49" s="176">
        <v>43164.704826388886</v>
      </c>
      <c r="AI49" s="175"/>
      <c r="AJ49" s="175"/>
      <c r="AK49" s="178">
        <v>1</v>
      </c>
    </row>
    <row r="50" spans="1:37" ht="15.95" customHeight="1" x14ac:dyDescent="0.25">
      <c r="A50" s="174" t="s">
        <v>461</v>
      </c>
      <c r="B50" s="174" t="s">
        <v>684</v>
      </c>
      <c r="C50" s="175"/>
      <c r="D50" s="174" t="s">
        <v>497</v>
      </c>
      <c r="E50" s="174" t="s">
        <v>685</v>
      </c>
      <c r="F50" s="176">
        <v>43164</v>
      </c>
      <c r="G50" s="176">
        <v>43166</v>
      </c>
      <c r="H50" s="174" t="s">
        <v>686</v>
      </c>
      <c r="I50" s="175" t="e">
        <f>VLOOKUP($H50,Mapping!$A:$A,1,0)</f>
        <v>#N/A</v>
      </c>
      <c r="J50" s="177" t="s">
        <v>466</v>
      </c>
      <c r="K50" s="174" t="s">
        <v>687</v>
      </c>
      <c r="L50" s="178">
        <v>25000000</v>
      </c>
      <c r="M50" s="178">
        <v>98.585965000000002</v>
      </c>
      <c r="N50" s="178">
        <v>1.5517888704</v>
      </c>
      <c r="O50" s="178">
        <v>24681011.797945209</v>
      </c>
      <c r="P50" s="174" t="s">
        <v>386</v>
      </c>
      <c r="Q50" s="174" t="s">
        <v>688</v>
      </c>
      <c r="R50" s="174" t="s">
        <v>22</v>
      </c>
      <c r="S50" s="174" t="s">
        <v>129</v>
      </c>
      <c r="T50" s="175" t="str">
        <f>VLOOKUP($S50,Mapping!$C:$C,1,0)</f>
        <v>Omgeo</v>
      </c>
      <c r="U50" s="174" t="s">
        <v>689</v>
      </c>
      <c r="V50" s="174" t="s">
        <v>132</v>
      </c>
      <c r="W50" s="175"/>
      <c r="X50" s="175"/>
      <c r="Y50" s="174" t="s">
        <v>690</v>
      </c>
      <c r="Z50" s="174" t="s">
        <v>691</v>
      </c>
      <c r="AA50" s="174" t="s">
        <v>22</v>
      </c>
      <c r="AB50" s="174"/>
      <c r="AC50" s="175"/>
      <c r="AD50" s="174" t="s">
        <v>692</v>
      </c>
      <c r="AE50" s="176">
        <v>43164.130127314813</v>
      </c>
      <c r="AF50" s="174" t="s">
        <v>689</v>
      </c>
      <c r="AG50" s="176">
        <v>43164.128576388888</v>
      </c>
      <c r="AH50" s="176">
        <v>43164.128576388888</v>
      </c>
      <c r="AI50" s="175"/>
      <c r="AJ50" s="175"/>
      <c r="AK50" s="178">
        <v>1</v>
      </c>
    </row>
    <row r="51" spans="1:37" ht="15.95" customHeight="1" x14ac:dyDescent="0.25">
      <c r="A51" s="174" t="s">
        <v>461</v>
      </c>
      <c r="B51" s="174" t="s">
        <v>693</v>
      </c>
      <c r="C51" s="175"/>
      <c r="D51" s="174" t="s">
        <v>566</v>
      </c>
      <c r="E51" s="174" t="s">
        <v>676</v>
      </c>
      <c r="F51" s="176">
        <v>43164</v>
      </c>
      <c r="G51" s="176">
        <v>43166</v>
      </c>
      <c r="H51" s="174" t="s">
        <v>686</v>
      </c>
      <c r="I51" s="175" t="e">
        <f>VLOOKUP($H51,Mapping!$A:$A,1,0)</f>
        <v>#N/A</v>
      </c>
      <c r="J51" s="179" t="s">
        <v>486</v>
      </c>
      <c r="K51" s="174" t="s">
        <v>694</v>
      </c>
      <c r="L51" s="178">
        <v>38620000</v>
      </c>
      <c r="M51" s="178">
        <v>100.8386</v>
      </c>
      <c r="N51" s="178">
        <v>0.39258388329999999</v>
      </c>
      <c r="O51" s="178">
        <v>-38954448.14191781</v>
      </c>
      <c r="P51" s="174" t="s">
        <v>386</v>
      </c>
      <c r="Q51" s="174" t="s">
        <v>695</v>
      </c>
      <c r="R51" s="174" t="s">
        <v>22</v>
      </c>
      <c r="S51" s="174" t="s">
        <v>129</v>
      </c>
      <c r="T51" s="175" t="str">
        <f>VLOOKUP($S51,Mapping!$C:$C,1,0)</f>
        <v>Omgeo</v>
      </c>
      <c r="U51" s="174" t="s">
        <v>696</v>
      </c>
      <c r="V51" s="174" t="s">
        <v>132</v>
      </c>
      <c r="W51" s="175"/>
      <c r="X51" s="175"/>
      <c r="Y51" s="174" t="s">
        <v>575</v>
      </c>
      <c r="Z51" s="174" t="s">
        <v>683</v>
      </c>
      <c r="AA51" s="174" t="s">
        <v>22</v>
      </c>
      <c r="AB51" s="174"/>
      <c r="AC51" s="175"/>
      <c r="AD51" s="174" t="s">
        <v>512</v>
      </c>
      <c r="AE51" s="176">
        <v>43164.249282407407</v>
      </c>
      <c r="AF51" s="174" t="s">
        <v>696</v>
      </c>
      <c r="AG51" s="176">
        <v>43164.244710648149</v>
      </c>
      <c r="AH51" s="176">
        <v>43164.244768518518</v>
      </c>
      <c r="AI51" s="175"/>
      <c r="AJ51" s="175"/>
      <c r="AK51" s="178">
        <v>1</v>
      </c>
    </row>
    <row r="52" spans="1:37" ht="15.95" customHeight="1" x14ac:dyDescent="0.25">
      <c r="A52" s="174" t="s">
        <v>484</v>
      </c>
      <c r="B52" s="174" t="s">
        <v>697</v>
      </c>
      <c r="C52" s="175"/>
      <c r="D52" s="174" t="s">
        <v>566</v>
      </c>
      <c r="E52" s="174" t="s">
        <v>698</v>
      </c>
      <c r="F52" s="176">
        <v>43164</v>
      </c>
      <c r="G52" s="176">
        <v>43166</v>
      </c>
      <c r="H52" s="174" t="s">
        <v>686</v>
      </c>
      <c r="I52" s="175" t="e">
        <f>VLOOKUP($H52,Mapping!$A:$A,1,0)</f>
        <v>#N/A</v>
      </c>
      <c r="J52" s="179" t="s">
        <v>486</v>
      </c>
      <c r="K52" s="174" t="s">
        <v>699</v>
      </c>
      <c r="L52" s="178">
        <v>3000000</v>
      </c>
      <c r="M52" s="178">
        <v>106.25</v>
      </c>
      <c r="N52" s="178">
        <v>4.4699738262000004</v>
      </c>
      <c r="O52" s="178">
        <v>-3211906.0773480698</v>
      </c>
      <c r="P52" s="174" t="s">
        <v>386</v>
      </c>
      <c r="Q52" s="174" t="s">
        <v>700</v>
      </c>
      <c r="R52" s="174" t="s">
        <v>22</v>
      </c>
      <c r="S52" s="174" t="s">
        <v>129</v>
      </c>
      <c r="T52" s="175" t="str">
        <f>VLOOKUP($S52,Mapping!$C:$C,1,0)</f>
        <v>Omgeo</v>
      </c>
      <c r="U52" s="174" t="s">
        <v>701</v>
      </c>
      <c r="V52" s="174" t="s">
        <v>132</v>
      </c>
      <c r="W52" s="175"/>
      <c r="X52" s="175"/>
      <c r="Y52" s="174" t="s">
        <v>702</v>
      </c>
      <c r="Z52" s="174" t="s">
        <v>703</v>
      </c>
      <c r="AA52" s="174" t="s">
        <v>22</v>
      </c>
      <c r="AB52" s="174"/>
      <c r="AC52" s="175"/>
      <c r="AD52" s="174" t="s">
        <v>512</v>
      </c>
      <c r="AE52" s="176">
        <v>43164.268252314818</v>
      </c>
      <c r="AF52" s="174" t="s">
        <v>701</v>
      </c>
      <c r="AG52" s="176">
        <v>43164.264409722222</v>
      </c>
      <c r="AH52" s="176">
        <v>43164.264467592591</v>
      </c>
      <c r="AI52" s="175"/>
      <c r="AJ52" s="175"/>
      <c r="AK52" s="178">
        <v>1</v>
      </c>
    </row>
    <row r="53" spans="1:37" ht="15.95" customHeight="1" x14ac:dyDescent="0.25">
      <c r="A53" s="174" t="s">
        <v>461</v>
      </c>
      <c r="B53" s="174" t="s">
        <v>704</v>
      </c>
      <c r="C53" s="175"/>
      <c r="D53" s="174" t="s">
        <v>478</v>
      </c>
      <c r="E53" s="174" t="s">
        <v>590</v>
      </c>
      <c r="F53" s="176">
        <v>43164</v>
      </c>
      <c r="G53" s="176">
        <v>43165</v>
      </c>
      <c r="H53" s="174" t="s">
        <v>686</v>
      </c>
      <c r="I53" s="175" t="e">
        <f>VLOOKUP($H53,Mapping!$A:$A,1,0)</f>
        <v>#N/A</v>
      </c>
      <c r="J53" s="179" t="s">
        <v>486</v>
      </c>
      <c r="K53" s="174" t="s">
        <v>467</v>
      </c>
      <c r="L53" s="178">
        <v>5000000</v>
      </c>
      <c r="M53" s="178">
        <v>100.09375</v>
      </c>
      <c r="N53" s="178">
        <v>2.6047616576000001</v>
      </c>
      <c r="O53" s="178">
        <v>-5006827.4456521701</v>
      </c>
      <c r="P53" s="174" t="s">
        <v>337</v>
      </c>
      <c r="Q53" s="174" t="s">
        <v>468</v>
      </c>
      <c r="R53" s="174" t="s">
        <v>22</v>
      </c>
      <c r="S53" s="174" t="s">
        <v>129</v>
      </c>
      <c r="T53" s="175" t="str">
        <f>VLOOKUP($S53,Mapping!$C:$C,1,0)</f>
        <v>Omgeo</v>
      </c>
      <c r="U53" s="174" t="s">
        <v>705</v>
      </c>
      <c r="V53" s="174" t="s">
        <v>132</v>
      </c>
      <c r="W53" s="175"/>
      <c r="X53" s="175"/>
      <c r="Y53" s="174" t="s">
        <v>469</v>
      </c>
      <c r="Z53" s="174" t="s">
        <v>594</v>
      </c>
      <c r="AA53" s="174" t="s">
        <v>22</v>
      </c>
      <c r="AB53" s="174"/>
      <c r="AC53" s="175"/>
      <c r="AD53" s="174" t="s">
        <v>706</v>
      </c>
      <c r="AE53" s="176">
        <v>43164.415682870371</v>
      </c>
      <c r="AF53" s="174" t="s">
        <v>705</v>
      </c>
      <c r="AG53" s="176">
        <v>43164.412708333337</v>
      </c>
      <c r="AH53" s="176">
        <v>43164.412789351853</v>
      </c>
      <c r="AI53" s="175"/>
      <c r="AJ53" s="175"/>
      <c r="AK53" s="178">
        <v>1</v>
      </c>
    </row>
    <row r="54" spans="1:37" ht="15.95" customHeight="1" x14ac:dyDescent="0.25">
      <c r="A54" s="174" t="s">
        <v>461</v>
      </c>
      <c r="B54" s="174" t="s">
        <v>707</v>
      </c>
      <c r="C54" s="175"/>
      <c r="D54" s="174" t="s">
        <v>566</v>
      </c>
      <c r="E54" s="174" t="s">
        <v>708</v>
      </c>
      <c r="F54" s="176">
        <v>43164</v>
      </c>
      <c r="G54" s="176">
        <v>43166</v>
      </c>
      <c r="H54" s="174" t="s">
        <v>686</v>
      </c>
      <c r="I54" s="175" t="e">
        <f>VLOOKUP($H54,Mapping!$A:$A,1,0)</f>
        <v>#N/A</v>
      </c>
      <c r="J54" s="177" t="s">
        <v>466</v>
      </c>
      <c r="K54" s="174" t="s">
        <v>709</v>
      </c>
      <c r="L54" s="178">
        <v>150000000</v>
      </c>
      <c r="M54" s="178">
        <v>108.425</v>
      </c>
      <c r="N54" s="178">
        <v>-0.18770637609999999</v>
      </c>
      <c r="O54" s="178">
        <v>164406678.0821918</v>
      </c>
      <c r="P54" s="174" t="s">
        <v>386</v>
      </c>
      <c r="Q54" s="174" t="s">
        <v>710</v>
      </c>
      <c r="R54" s="174" t="s">
        <v>22</v>
      </c>
      <c r="S54" s="174" t="s">
        <v>129</v>
      </c>
      <c r="T54" s="175" t="str">
        <f>VLOOKUP($S54,Mapping!$C:$C,1,0)</f>
        <v>Omgeo</v>
      </c>
      <c r="U54" s="174" t="s">
        <v>711</v>
      </c>
      <c r="V54" s="174" t="s">
        <v>132</v>
      </c>
      <c r="W54" s="175"/>
      <c r="X54" s="175"/>
      <c r="Y54" s="174" t="s">
        <v>575</v>
      </c>
      <c r="Z54" s="174" t="s">
        <v>712</v>
      </c>
      <c r="AA54" s="174" t="s">
        <v>22</v>
      </c>
      <c r="AB54" s="174"/>
      <c r="AC54" s="175"/>
      <c r="AD54" s="174" t="s">
        <v>512</v>
      </c>
      <c r="AE54" s="176">
        <v>43164.448148148149</v>
      </c>
      <c r="AF54" s="174" t="s">
        <v>711</v>
      </c>
      <c r="AG54" s="176">
        <v>43164.443032407406</v>
      </c>
      <c r="AH54" s="176">
        <v>43164.443090277775</v>
      </c>
      <c r="AI54" s="175"/>
      <c r="AJ54" s="175"/>
      <c r="AK54" s="178">
        <v>1</v>
      </c>
    </row>
    <row r="55" spans="1:37" ht="15.95" customHeight="1" x14ac:dyDescent="0.25">
      <c r="A55" s="174" t="s">
        <v>484</v>
      </c>
      <c r="B55" s="174" t="s">
        <v>713</v>
      </c>
      <c r="C55" s="175"/>
      <c r="D55" s="174" t="s">
        <v>478</v>
      </c>
      <c r="E55" s="174" t="s">
        <v>590</v>
      </c>
      <c r="F55" s="176">
        <v>43164</v>
      </c>
      <c r="G55" s="176">
        <v>43166</v>
      </c>
      <c r="H55" s="174" t="s">
        <v>686</v>
      </c>
      <c r="I55" s="175" t="e">
        <f>VLOOKUP($H55,Mapping!$A:$A,1,0)</f>
        <v>#N/A</v>
      </c>
      <c r="J55" s="177" t="s">
        <v>466</v>
      </c>
      <c r="K55" s="174" t="s">
        <v>714</v>
      </c>
      <c r="L55" s="178">
        <v>1000000</v>
      </c>
      <c r="M55" s="178">
        <v>101.5</v>
      </c>
      <c r="N55" s="178">
        <v>10.811079120300001</v>
      </c>
      <c r="O55" s="178">
        <v>1021875</v>
      </c>
      <c r="P55" s="174" t="s">
        <v>337</v>
      </c>
      <c r="Q55" s="174" t="s">
        <v>715</v>
      </c>
      <c r="R55" s="174" t="s">
        <v>22</v>
      </c>
      <c r="S55" s="174" t="s">
        <v>129</v>
      </c>
      <c r="T55" s="175" t="str">
        <f>VLOOKUP($S55,Mapping!$C:$C,1,0)</f>
        <v>Omgeo</v>
      </c>
      <c r="U55" s="174" t="s">
        <v>716</v>
      </c>
      <c r="V55" s="174" t="s">
        <v>132</v>
      </c>
      <c r="W55" s="175"/>
      <c r="X55" s="175"/>
      <c r="Y55" s="174" t="s">
        <v>717</v>
      </c>
      <c r="Z55" s="174" t="s">
        <v>594</v>
      </c>
      <c r="AA55" s="174" t="s">
        <v>22</v>
      </c>
      <c r="AB55" s="174"/>
      <c r="AC55" s="175"/>
      <c r="AD55" s="174" t="s">
        <v>512</v>
      </c>
      <c r="AE55" s="176">
        <v>43164.461145833331</v>
      </c>
      <c r="AF55" s="174" t="s">
        <v>716</v>
      </c>
      <c r="AG55" s="176">
        <v>43164.456446759257</v>
      </c>
      <c r="AH55" s="176">
        <v>43164.456504629627</v>
      </c>
      <c r="AI55" s="175"/>
      <c r="AJ55" s="175"/>
      <c r="AK55" s="178">
        <v>1</v>
      </c>
    </row>
    <row r="56" spans="1:37" ht="15.95" customHeight="1" x14ac:dyDescent="0.25">
      <c r="A56" s="174" t="s">
        <v>484</v>
      </c>
      <c r="B56" s="174" t="s">
        <v>718</v>
      </c>
      <c r="C56" s="175"/>
      <c r="D56" s="174" t="s">
        <v>478</v>
      </c>
      <c r="E56" s="174" t="s">
        <v>582</v>
      </c>
      <c r="F56" s="176">
        <v>43164</v>
      </c>
      <c r="G56" s="176">
        <v>43166</v>
      </c>
      <c r="H56" s="174" t="s">
        <v>686</v>
      </c>
      <c r="I56" s="175" t="e">
        <f>VLOOKUP($H56,Mapping!$A:$A,1,0)</f>
        <v>#N/A</v>
      </c>
      <c r="J56" s="177" t="s">
        <v>466</v>
      </c>
      <c r="K56" s="174" t="s">
        <v>719</v>
      </c>
      <c r="L56" s="178">
        <v>5545000</v>
      </c>
      <c r="M56" s="178">
        <v>99.600999999999999</v>
      </c>
      <c r="N56" s="178">
        <v>3.9579389366000002</v>
      </c>
      <c r="O56" s="178">
        <v>5616585.9500000002</v>
      </c>
      <c r="P56" s="174" t="s">
        <v>337</v>
      </c>
      <c r="Q56" s="174" t="s">
        <v>720</v>
      </c>
      <c r="R56" s="174" t="s">
        <v>22</v>
      </c>
      <c r="S56" s="174" t="s">
        <v>129</v>
      </c>
      <c r="T56" s="175" t="str">
        <f>VLOOKUP($S56,Mapping!$C:$C,1,0)</f>
        <v>Omgeo</v>
      </c>
      <c r="U56" s="174" t="s">
        <v>721</v>
      </c>
      <c r="V56" s="174" t="s">
        <v>132</v>
      </c>
      <c r="W56" s="175"/>
      <c r="X56" s="175"/>
      <c r="Y56" s="174" t="s">
        <v>489</v>
      </c>
      <c r="Z56" s="174" t="s">
        <v>586</v>
      </c>
      <c r="AA56" s="174" t="s">
        <v>22</v>
      </c>
      <c r="AB56" s="174"/>
      <c r="AC56" s="175"/>
      <c r="AD56" s="174" t="s">
        <v>512</v>
      </c>
      <c r="AE56" s="176">
        <v>43164.461145833331</v>
      </c>
      <c r="AF56" s="174" t="s">
        <v>721</v>
      </c>
      <c r="AG56" s="176">
        <v>43164.458090277774</v>
      </c>
      <c r="AH56" s="176">
        <v>43164.458148148151</v>
      </c>
      <c r="AI56" s="175"/>
      <c r="AJ56" s="175"/>
      <c r="AK56" s="178">
        <v>1</v>
      </c>
    </row>
    <row r="57" spans="1:37" ht="15.95" customHeight="1" x14ac:dyDescent="0.25">
      <c r="A57" s="174" t="s">
        <v>461</v>
      </c>
      <c r="B57" s="174" t="s">
        <v>722</v>
      </c>
      <c r="C57" s="175"/>
      <c r="D57" s="174" t="s">
        <v>478</v>
      </c>
      <c r="E57" s="174" t="s">
        <v>582</v>
      </c>
      <c r="F57" s="176">
        <v>43164</v>
      </c>
      <c r="G57" s="176">
        <v>43165</v>
      </c>
      <c r="H57" s="174" t="s">
        <v>686</v>
      </c>
      <c r="I57" s="175" t="e">
        <f>VLOOKUP($H57,Mapping!$A:$A,1,0)</f>
        <v>#N/A</v>
      </c>
      <c r="J57" s="179" t="s">
        <v>486</v>
      </c>
      <c r="K57" s="174" t="s">
        <v>475</v>
      </c>
      <c r="L57" s="178">
        <v>4436000</v>
      </c>
      <c r="M57" s="178">
        <v>99.328125</v>
      </c>
      <c r="N57" s="178">
        <v>2.8278548634999998</v>
      </c>
      <c r="O57" s="178">
        <v>-4412598.4150552498</v>
      </c>
      <c r="P57" s="174" t="s">
        <v>337</v>
      </c>
      <c r="Q57" s="174" t="s">
        <v>476</v>
      </c>
      <c r="R57" s="174" t="s">
        <v>22</v>
      </c>
      <c r="S57" s="174" t="s">
        <v>129</v>
      </c>
      <c r="T57" s="175" t="str">
        <f>VLOOKUP($S57,Mapping!$C:$C,1,0)</f>
        <v>Omgeo</v>
      </c>
      <c r="U57" s="174" t="s">
        <v>723</v>
      </c>
      <c r="V57" s="174" t="s">
        <v>132</v>
      </c>
      <c r="W57" s="175"/>
      <c r="X57" s="175"/>
      <c r="Y57" s="174" t="s">
        <v>469</v>
      </c>
      <c r="Z57" s="174" t="s">
        <v>586</v>
      </c>
      <c r="AA57" s="174" t="s">
        <v>22</v>
      </c>
      <c r="AB57" s="174"/>
      <c r="AC57" s="175"/>
      <c r="AD57" s="174" t="s">
        <v>512</v>
      </c>
      <c r="AE57" s="176">
        <v>43164.461145833331</v>
      </c>
      <c r="AF57" s="174" t="s">
        <v>723</v>
      </c>
      <c r="AG57" s="176">
        <v>43164.458090277774</v>
      </c>
      <c r="AH57" s="176">
        <v>43164.45815972222</v>
      </c>
      <c r="AI57" s="175"/>
      <c r="AJ57" s="175"/>
      <c r="AK57" s="178">
        <v>1</v>
      </c>
    </row>
    <row r="58" spans="1:37" ht="15.95" customHeight="1" x14ac:dyDescent="0.25">
      <c r="A58" s="174" t="s">
        <v>461</v>
      </c>
      <c r="B58" s="174" t="s">
        <v>724</v>
      </c>
      <c r="C58" s="175"/>
      <c r="D58" s="174" t="s">
        <v>478</v>
      </c>
      <c r="E58" s="174" t="s">
        <v>582</v>
      </c>
      <c r="F58" s="176">
        <v>43164</v>
      </c>
      <c r="G58" s="176">
        <v>43165</v>
      </c>
      <c r="H58" s="174" t="s">
        <v>686</v>
      </c>
      <c r="I58" s="175" t="e">
        <f>VLOOKUP($H58,Mapping!$A:$A,1,0)</f>
        <v>#N/A</v>
      </c>
      <c r="J58" s="177" t="s">
        <v>466</v>
      </c>
      <c r="K58" s="174" t="s">
        <v>644</v>
      </c>
      <c r="L58" s="178">
        <v>4550000</v>
      </c>
      <c r="M58" s="178">
        <v>97.4453125</v>
      </c>
      <c r="N58" s="178">
        <v>3.1320400884000001</v>
      </c>
      <c r="O58" s="178">
        <v>4440926.0833908794</v>
      </c>
      <c r="P58" s="174" t="s">
        <v>337</v>
      </c>
      <c r="Q58" s="174" t="s">
        <v>645</v>
      </c>
      <c r="R58" s="174" t="s">
        <v>22</v>
      </c>
      <c r="S58" s="174" t="s">
        <v>129</v>
      </c>
      <c r="T58" s="175" t="str">
        <f>VLOOKUP($S58,Mapping!$C:$C,1,0)</f>
        <v>Omgeo</v>
      </c>
      <c r="U58" s="174" t="s">
        <v>725</v>
      </c>
      <c r="V58" s="174" t="s">
        <v>132</v>
      </c>
      <c r="W58" s="175"/>
      <c r="X58" s="175"/>
      <c r="Y58" s="174" t="s">
        <v>469</v>
      </c>
      <c r="Z58" s="174" t="s">
        <v>586</v>
      </c>
      <c r="AA58" s="174" t="s">
        <v>22</v>
      </c>
      <c r="AB58" s="174"/>
      <c r="AC58" s="175"/>
      <c r="AD58" s="174" t="s">
        <v>512</v>
      </c>
      <c r="AE58" s="176">
        <v>43164.467534722222</v>
      </c>
      <c r="AF58" s="174" t="s">
        <v>725</v>
      </c>
      <c r="AG58" s="176">
        <v>43164.464560185188</v>
      </c>
      <c r="AH58" s="176">
        <v>43164.46465277778</v>
      </c>
      <c r="AI58" s="175"/>
      <c r="AJ58" s="175"/>
      <c r="AK58" s="178">
        <v>1</v>
      </c>
    </row>
    <row r="59" spans="1:37" ht="15.95" customHeight="1" x14ac:dyDescent="0.25">
      <c r="A59" s="174" t="s">
        <v>461</v>
      </c>
      <c r="B59" s="174" t="s">
        <v>726</v>
      </c>
      <c r="C59" s="175"/>
      <c r="D59" s="174" t="s">
        <v>478</v>
      </c>
      <c r="E59" s="174" t="s">
        <v>582</v>
      </c>
      <c r="F59" s="176">
        <v>43164</v>
      </c>
      <c r="G59" s="176">
        <v>43165</v>
      </c>
      <c r="H59" s="174" t="s">
        <v>686</v>
      </c>
      <c r="I59" s="175" t="e">
        <f>VLOOKUP($H59,Mapping!$A:$A,1,0)</f>
        <v>#N/A</v>
      </c>
      <c r="J59" s="177" t="s">
        <v>466</v>
      </c>
      <c r="K59" s="174" t="s">
        <v>644</v>
      </c>
      <c r="L59" s="178">
        <v>4550000</v>
      </c>
      <c r="M59" s="178">
        <v>97.23828125</v>
      </c>
      <c r="N59" s="178">
        <v>3.1429432487</v>
      </c>
      <c r="O59" s="178">
        <v>4431506.1615158804</v>
      </c>
      <c r="P59" s="174" t="s">
        <v>337</v>
      </c>
      <c r="Q59" s="174" t="s">
        <v>645</v>
      </c>
      <c r="R59" s="174" t="s">
        <v>22</v>
      </c>
      <c r="S59" s="174" t="s">
        <v>129</v>
      </c>
      <c r="T59" s="175" t="str">
        <f>VLOOKUP($S59,Mapping!$C:$C,1,0)</f>
        <v>Omgeo</v>
      </c>
      <c r="U59" s="174" t="s">
        <v>727</v>
      </c>
      <c r="V59" s="174" t="s">
        <v>132</v>
      </c>
      <c r="W59" s="175"/>
      <c r="X59" s="175"/>
      <c r="Y59" s="174" t="s">
        <v>469</v>
      </c>
      <c r="Z59" s="174" t="s">
        <v>586</v>
      </c>
      <c r="AA59" s="174" t="s">
        <v>22</v>
      </c>
      <c r="AB59" s="174"/>
      <c r="AC59" s="175"/>
      <c r="AD59" s="174" t="s">
        <v>512</v>
      </c>
      <c r="AE59" s="176">
        <v>43164.474050925928</v>
      </c>
      <c r="AF59" s="174" t="s">
        <v>727</v>
      </c>
      <c r="AG59" s="176">
        <v>43164.467499999999</v>
      </c>
      <c r="AH59" s="176">
        <v>43164.467569444445</v>
      </c>
      <c r="AI59" s="175"/>
      <c r="AJ59" s="175"/>
      <c r="AK59" s="178">
        <v>1</v>
      </c>
    </row>
    <row r="60" spans="1:37" ht="15.95" customHeight="1" x14ac:dyDescent="0.25">
      <c r="A60" s="174" t="s">
        <v>461</v>
      </c>
      <c r="B60" s="174" t="s">
        <v>728</v>
      </c>
      <c r="C60" s="175"/>
      <c r="D60" s="174" t="s">
        <v>478</v>
      </c>
      <c r="E60" s="174" t="s">
        <v>582</v>
      </c>
      <c r="F60" s="176">
        <v>43164</v>
      </c>
      <c r="G60" s="176">
        <v>43165</v>
      </c>
      <c r="H60" s="174" t="s">
        <v>686</v>
      </c>
      <c r="I60" s="175" t="e">
        <f>VLOOKUP($H60,Mapping!$A:$A,1,0)</f>
        <v>#N/A</v>
      </c>
      <c r="J60" s="177" t="s">
        <v>466</v>
      </c>
      <c r="K60" s="174" t="s">
        <v>644</v>
      </c>
      <c r="L60" s="178">
        <v>4550000</v>
      </c>
      <c r="M60" s="178">
        <v>97.1796875</v>
      </c>
      <c r="N60" s="178">
        <v>3.1460345779000001</v>
      </c>
      <c r="O60" s="178">
        <v>4428840.1458908804</v>
      </c>
      <c r="P60" s="174" t="s">
        <v>337</v>
      </c>
      <c r="Q60" s="174" t="s">
        <v>645</v>
      </c>
      <c r="R60" s="174" t="s">
        <v>22</v>
      </c>
      <c r="S60" s="174" t="s">
        <v>129</v>
      </c>
      <c r="T60" s="175" t="str">
        <f>VLOOKUP($S60,Mapping!$C:$C,1,0)</f>
        <v>Omgeo</v>
      </c>
      <c r="U60" s="174" t="s">
        <v>729</v>
      </c>
      <c r="V60" s="174" t="s">
        <v>132</v>
      </c>
      <c r="W60" s="175"/>
      <c r="X60" s="175"/>
      <c r="Y60" s="174" t="s">
        <v>469</v>
      </c>
      <c r="Z60" s="174" t="s">
        <v>586</v>
      </c>
      <c r="AA60" s="174" t="s">
        <v>22</v>
      </c>
      <c r="AB60" s="174"/>
      <c r="AC60" s="175"/>
      <c r="AD60" s="174" t="s">
        <v>512</v>
      </c>
      <c r="AE60" s="176">
        <v>43164.493368055555</v>
      </c>
      <c r="AF60" s="174" t="s">
        <v>729</v>
      </c>
      <c r="AG60" s="176">
        <v>43164.486909722225</v>
      </c>
      <c r="AH60" s="176">
        <v>43164.487384259257</v>
      </c>
      <c r="AI60" s="175"/>
      <c r="AJ60" s="175"/>
      <c r="AK60" s="178">
        <v>1</v>
      </c>
    </row>
    <row r="61" spans="1:37" ht="15.95" customHeight="1" x14ac:dyDescent="0.25">
      <c r="A61" s="174" t="s">
        <v>461</v>
      </c>
      <c r="B61" s="174" t="s">
        <v>730</v>
      </c>
      <c r="C61" s="175"/>
      <c r="D61" s="174" t="s">
        <v>478</v>
      </c>
      <c r="E61" s="174" t="s">
        <v>582</v>
      </c>
      <c r="F61" s="176">
        <v>43164</v>
      </c>
      <c r="G61" s="176">
        <v>43165</v>
      </c>
      <c r="H61" s="174" t="s">
        <v>686</v>
      </c>
      <c r="I61" s="175" t="e">
        <f>VLOOKUP($H61,Mapping!$A:$A,1,0)</f>
        <v>#N/A</v>
      </c>
      <c r="J61" s="177" t="s">
        <v>466</v>
      </c>
      <c r="K61" s="174" t="s">
        <v>644</v>
      </c>
      <c r="L61" s="178">
        <v>4550000</v>
      </c>
      <c r="M61" s="178">
        <v>97.1171875</v>
      </c>
      <c r="N61" s="178">
        <v>3.1493346921000001</v>
      </c>
      <c r="O61" s="178">
        <v>4425996.3958908804</v>
      </c>
      <c r="P61" s="174" t="s">
        <v>337</v>
      </c>
      <c r="Q61" s="174" t="s">
        <v>645</v>
      </c>
      <c r="R61" s="174" t="s">
        <v>22</v>
      </c>
      <c r="S61" s="174" t="s">
        <v>129</v>
      </c>
      <c r="T61" s="175" t="str">
        <f>VLOOKUP($S61,Mapping!$C:$C,1,0)</f>
        <v>Omgeo</v>
      </c>
      <c r="U61" s="174" t="s">
        <v>731</v>
      </c>
      <c r="V61" s="174" t="s">
        <v>132</v>
      </c>
      <c r="W61" s="175"/>
      <c r="X61" s="175"/>
      <c r="Y61" s="174" t="s">
        <v>469</v>
      </c>
      <c r="Z61" s="174" t="s">
        <v>586</v>
      </c>
      <c r="AA61" s="174" t="s">
        <v>22</v>
      </c>
      <c r="AB61" s="174"/>
      <c r="AC61" s="175"/>
      <c r="AD61" s="174" t="s">
        <v>512</v>
      </c>
      <c r="AE61" s="176">
        <v>43164.493368055555</v>
      </c>
      <c r="AF61" s="174" t="s">
        <v>731</v>
      </c>
      <c r="AG61" s="176">
        <v>43164.486898148149</v>
      </c>
      <c r="AH61" s="176">
        <v>43164.487395833334</v>
      </c>
      <c r="AI61" s="175"/>
      <c r="AJ61" s="175"/>
      <c r="AK61" s="178">
        <v>1</v>
      </c>
    </row>
    <row r="62" spans="1:37" ht="15.95" customHeight="1" x14ac:dyDescent="0.25">
      <c r="A62" s="174" t="s">
        <v>461</v>
      </c>
      <c r="B62" s="174" t="s">
        <v>732</v>
      </c>
      <c r="C62" s="175"/>
      <c r="D62" s="174" t="s">
        <v>478</v>
      </c>
      <c r="E62" s="174" t="s">
        <v>582</v>
      </c>
      <c r="F62" s="176">
        <v>43164</v>
      </c>
      <c r="G62" s="176">
        <v>43165</v>
      </c>
      <c r="H62" s="174" t="s">
        <v>686</v>
      </c>
      <c r="I62" s="175" t="e">
        <f>VLOOKUP($H62,Mapping!$A:$A,1,0)</f>
        <v>#N/A</v>
      </c>
      <c r="J62" s="179" t="s">
        <v>486</v>
      </c>
      <c r="K62" s="174" t="s">
        <v>644</v>
      </c>
      <c r="L62" s="178">
        <v>4550000</v>
      </c>
      <c r="M62" s="178">
        <v>97.0703125</v>
      </c>
      <c r="N62" s="178">
        <v>3.1518116069</v>
      </c>
      <c r="O62" s="178">
        <v>-4423863.5833908794</v>
      </c>
      <c r="P62" s="174" t="s">
        <v>337</v>
      </c>
      <c r="Q62" s="174" t="s">
        <v>645</v>
      </c>
      <c r="R62" s="174" t="s">
        <v>22</v>
      </c>
      <c r="S62" s="174" t="s">
        <v>129</v>
      </c>
      <c r="T62" s="175" t="str">
        <f>VLOOKUP($S62,Mapping!$C:$C,1,0)</f>
        <v>Omgeo</v>
      </c>
      <c r="U62" s="174" t="s">
        <v>733</v>
      </c>
      <c r="V62" s="174" t="s">
        <v>132</v>
      </c>
      <c r="W62" s="175"/>
      <c r="X62" s="175"/>
      <c r="Y62" s="174" t="s">
        <v>469</v>
      </c>
      <c r="Z62" s="174" t="s">
        <v>586</v>
      </c>
      <c r="AA62" s="174" t="s">
        <v>22</v>
      </c>
      <c r="AB62" s="174"/>
      <c r="AC62" s="175"/>
      <c r="AD62" s="174" t="s">
        <v>512</v>
      </c>
      <c r="AE62" s="176">
        <v>43164.519016203703</v>
      </c>
      <c r="AF62" s="174" t="s">
        <v>733</v>
      </c>
      <c r="AG62" s="176">
        <v>43164.516516203701</v>
      </c>
      <c r="AH62" s="176">
        <v>43164.516550925924</v>
      </c>
      <c r="AI62" s="175"/>
      <c r="AJ62" s="175"/>
      <c r="AK62" s="178">
        <v>1</v>
      </c>
    </row>
    <row r="63" spans="1:37" ht="15.95" customHeight="1" x14ac:dyDescent="0.25">
      <c r="A63" s="174" t="s">
        <v>461</v>
      </c>
      <c r="B63" s="174" t="s">
        <v>734</v>
      </c>
      <c r="C63" s="175"/>
      <c r="D63" s="174" t="s">
        <v>478</v>
      </c>
      <c r="E63" s="174" t="s">
        <v>582</v>
      </c>
      <c r="F63" s="176">
        <v>43164</v>
      </c>
      <c r="G63" s="176">
        <v>43165</v>
      </c>
      <c r="H63" s="174" t="s">
        <v>686</v>
      </c>
      <c r="I63" s="175" t="e">
        <f>VLOOKUP($H63,Mapping!$A:$A,1,0)</f>
        <v>#N/A</v>
      </c>
      <c r="J63" s="179" t="s">
        <v>486</v>
      </c>
      <c r="K63" s="174" t="s">
        <v>644</v>
      </c>
      <c r="L63" s="178">
        <v>4550000</v>
      </c>
      <c r="M63" s="178">
        <v>97.08984375</v>
      </c>
      <c r="N63" s="178">
        <v>3.1507793683999998</v>
      </c>
      <c r="O63" s="178">
        <v>-4424752.2552658804</v>
      </c>
      <c r="P63" s="174" t="s">
        <v>337</v>
      </c>
      <c r="Q63" s="174" t="s">
        <v>645</v>
      </c>
      <c r="R63" s="174" t="s">
        <v>22</v>
      </c>
      <c r="S63" s="174" t="s">
        <v>129</v>
      </c>
      <c r="T63" s="175" t="str">
        <f>VLOOKUP($S63,Mapping!$C:$C,1,0)</f>
        <v>Omgeo</v>
      </c>
      <c r="U63" s="174" t="s">
        <v>735</v>
      </c>
      <c r="V63" s="174" t="s">
        <v>132</v>
      </c>
      <c r="W63" s="175"/>
      <c r="X63" s="175"/>
      <c r="Y63" s="174" t="s">
        <v>469</v>
      </c>
      <c r="Z63" s="174" t="s">
        <v>586</v>
      </c>
      <c r="AA63" s="174" t="s">
        <v>22</v>
      </c>
      <c r="AB63" s="174"/>
      <c r="AC63" s="175"/>
      <c r="AD63" s="174" t="s">
        <v>512</v>
      </c>
      <c r="AE63" s="176">
        <v>43164.525648148148</v>
      </c>
      <c r="AF63" s="174" t="s">
        <v>735</v>
      </c>
      <c r="AG63" s="176">
        <v>43164.517928240741</v>
      </c>
      <c r="AH63" s="176">
        <v>43164.51798611111</v>
      </c>
      <c r="AI63" s="175"/>
      <c r="AJ63" s="175"/>
      <c r="AK63" s="178">
        <v>1</v>
      </c>
    </row>
    <row r="64" spans="1:37" ht="15.95" customHeight="1" x14ac:dyDescent="0.25">
      <c r="A64" s="174" t="s">
        <v>484</v>
      </c>
      <c r="B64" s="174" t="s">
        <v>736</v>
      </c>
      <c r="C64" s="175"/>
      <c r="D64" s="174" t="s">
        <v>478</v>
      </c>
      <c r="E64" s="174" t="s">
        <v>737</v>
      </c>
      <c r="F64" s="176">
        <v>43164</v>
      </c>
      <c r="G64" s="176">
        <v>43166</v>
      </c>
      <c r="H64" s="174" t="s">
        <v>686</v>
      </c>
      <c r="I64" s="175" t="e">
        <f>VLOOKUP($H64,Mapping!$A:$A,1,0)</f>
        <v>#N/A</v>
      </c>
      <c r="J64" s="179" t="s">
        <v>486</v>
      </c>
      <c r="K64" s="174" t="s">
        <v>738</v>
      </c>
      <c r="L64" s="178">
        <v>5000000</v>
      </c>
      <c r="M64" s="178">
        <v>101.05</v>
      </c>
      <c r="N64" s="178">
        <v>5.8757467016999998</v>
      </c>
      <c r="O64" s="178">
        <v>-5083975.6944444394</v>
      </c>
      <c r="P64" s="174" t="s">
        <v>337</v>
      </c>
      <c r="Q64" s="174" t="s">
        <v>739</v>
      </c>
      <c r="R64" s="174" t="s">
        <v>22</v>
      </c>
      <c r="S64" s="174" t="s">
        <v>129</v>
      </c>
      <c r="T64" s="175" t="str">
        <f>VLOOKUP($S64,Mapping!$C:$C,1,0)</f>
        <v>Omgeo</v>
      </c>
      <c r="U64" s="174" t="s">
        <v>740</v>
      </c>
      <c r="V64" s="174" t="s">
        <v>132</v>
      </c>
      <c r="W64" s="175"/>
      <c r="X64" s="175"/>
      <c r="Y64" s="174" t="s">
        <v>489</v>
      </c>
      <c r="Z64" s="174" t="s">
        <v>741</v>
      </c>
      <c r="AA64" s="174" t="s">
        <v>22</v>
      </c>
      <c r="AB64" s="174"/>
      <c r="AC64" s="175"/>
      <c r="AD64" s="174" t="s">
        <v>742</v>
      </c>
      <c r="AE64" s="176">
        <v>43164.486863425926</v>
      </c>
      <c r="AF64" s="174" t="s">
        <v>740</v>
      </c>
      <c r="AG64" s="176">
        <v>43164.554629629631</v>
      </c>
      <c r="AH64" s="176">
        <v>43164.554629629631</v>
      </c>
      <c r="AI64" s="175"/>
      <c r="AJ64" s="175"/>
      <c r="AK64" s="178">
        <v>1</v>
      </c>
    </row>
    <row r="65" spans="1:37" ht="15.95" customHeight="1" x14ac:dyDescent="0.25">
      <c r="A65" s="174" t="s">
        <v>484</v>
      </c>
      <c r="B65" s="174" t="s">
        <v>743</v>
      </c>
      <c r="C65" s="175"/>
      <c r="D65" s="174" t="s">
        <v>478</v>
      </c>
      <c r="E65" s="174" t="s">
        <v>558</v>
      </c>
      <c r="F65" s="176">
        <v>43164</v>
      </c>
      <c r="G65" s="176">
        <v>43166</v>
      </c>
      <c r="H65" s="174" t="s">
        <v>686</v>
      </c>
      <c r="I65" s="175" t="e">
        <f>VLOOKUP($H65,Mapping!$A:$A,1,0)</f>
        <v>#N/A</v>
      </c>
      <c r="J65" s="177" t="s">
        <v>466</v>
      </c>
      <c r="K65" s="174" t="s">
        <v>744</v>
      </c>
      <c r="L65" s="178">
        <v>2730000</v>
      </c>
      <c r="M65" s="178">
        <v>95.686000000000007</v>
      </c>
      <c r="N65" s="178">
        <v>4.6760361575999996</v>
      </c>
      <c r="O65" s="178">
        <v>2629432.4875000003</v>
      </c>
      <c r="P65" s="174" t="s">
        <v>337</v>
      </c>
      <c r="Q65" s="174" t="s">
        <v>745</v>
      </c>
      <c r="R65" s="174" t="s">
        <v>22</v>
      </c>
      <c r="S65" s="174" t="s">
        <v>129</v>
      </c>
      <c r="T65" s="175" t="str">
        <f>VLOOKUP($S65,Mapping!$C:$C,1,0)</f>
        <v>Omgeo</v>
      </c>
      <c r="U65" s="174" t="s">
        <v>746</v>
      </c>
      <c r="V65" s="174" t="s">
        <v>132</v>
      </c>
      <c r="W65" s="175"/>
      <c r="X65" s="175"/>
      <c r="Y65" s="174" t="s">
        <v>747</v>
      </c>
      <c r="Z65" s="174" t="s">
        <v>560</v>
      </c>
      <c r="AA65" s="174" t="s">
        <v>22</v>
      </c>
      <c r="AB65" s="174"/>
      <c r="AC65" s="175"/>
      <c r="AD65" s="174" t="s">
        <v>512</v>
      </c>
      <c r="AE65" s="176">
        <v>43164.57135416667</v>
      </c>
      <c r="AF65" s="174" t="s">
        <v>746</v>
      </c>
      <c r="AG65" s="176">
        <v>43164.565671296295</v>
      </c>
      <c r="AH65" s="176">
        <v>43164.565740740742</v>
      </c>
      <c r="AI65" s="175"/>
      <c r="AJ65" s="175"/>
      <c r="AK65" s="178">
        <v>1</v>
      </c>
    </row>
    <row r="66" spans="1:37" ht="15.95" customHeight="1" x14ac:dyDescent="0.25">
      <c r="A66" s="174" t="s">
        <v>461</v>
      </c>
      <c r="B66" s="174" t="s">
        <v>748</v>
      </c>
      <c r="C66" s="175"/>
      <c r="D66" s="174" t="s">
        <v>478</v>
      </c>
      <c r="E66" s="174" t="s">
        <v>558</v>
      </c>
      <c r="F66" s="176">
        <v>43164</v>
      </c>
      <c r="G66" s="176">
        <v>43165</v>
      </c>
      <c r="H66" s="174" t="s">
        <v>686</v>
      </c>
      <c r="I66" s="175" t="e">
        <f>VLOOKUP($H66,Mapping!$A:$A,1,0)</f>
        <v>#N/A</v>
      </c>
      <c r="J66" s="179" t="s">
        <v>486</v>
      </c>
      <c r="K66" s="174" t="s">
        <v>475</v>
      </c>
      <c r="L66" s="178">
        <v>2421000</v>
      </c>
      <c r="M66" s="178">
        <v>99</v>
      </c>
      <c r="N66" s="178">
        <v>2.8661455599000001</v>
      </c>
      <c r="O66" s="178">
        <v>-2400284.39917127</v>
      </c>
      <c r="P66" s="174" t="s">
        <v>337</v>
      </c>
      <c r="Q66" s="174" t="s">
        <v>476</v>
      </c>
      <c r="R66" s="174" t="s">
        <v>22</v>
      </c>
      <c r="S66" s="174" t="s">
        <v>129</v>
      </c>
      <c r="T66" s="175" t="str">
        <f>VLOOKUP($S66,Mapping!$C:$C,1,0)</f>
        <v>Omgeo</v>
      </c>
      <c r="U66" s="174" t="s">
        <v>749</v>
      </c>
      <c r="V66" s="174" t="s">
        <v>132</v>
      </c>
      <c r="W66" s="175"/>
      <c r="X66" s="175"/>
      <c r="Y66" s="174" t="s">
        <v>469</v>
      </c>
      <c r="Z66" s="174" t="s">
        <v>560</v>
      </c>
      <c r="AA66" s="174" t="s">
        <v>22</v>
      </c>
      <c r="AB66" s="174"/>
      <c r="AC66" s="175"/>
      <c r="AD66" s="174" t="s">
        <v>512</v>
      </c>
      <c r="AE66" s="176">
        <v>43164.57135416667</v>
      </c>
      <c r="AF66" s="174" t="s">
        <v>749</v>
      </c>
      <c r="AG66" s="176">
        <v>43164.565706018519</v>
      </c>
      <c r="AH66" s="176">
        <v>43164.565787037034</v>
      </c>
      <c r="AI66" s="175"/>
      <c r="AJ66" s="175"/>
      <c r="AK66" s="178">
        <v>1</v>
      </c>
    </row>
    <row r="67" spans="1:37" ht="15.95" customHeight="1" x14ac:dyDescent="0.25">
      <c r="A67" s="174" t="s">
        <v>461</v>
      </c>
      <c r="B67" s="174" t="s">
        <v>750</v>
      </c>
      <c r="C67" s="175"/>
      <c r="D67" s="174" t="s">
        <v>463</v>
      </c>
      <c r="E67" s="174" t="s">
        <v>623</v>
      </c>
      <c r="F67" s="176">
        <v>43164</v>
      </c>
      <c r="G67" s="176">
        <v>43165</v>
      </c>
      <c r="H67" s="174" t="s">
        <v>686</v>
      </c>
      <c r="I67" s="175" t="e">
        <f>VLOOKUP($H67,Mapping!$A:$A,1,0)</f>
        <v>#N/A</v>
      </c>
      <c r="J67" s="179" t="s">
        <v>486</v>
      </c>
      <c r="K67" s="174" t="s">
        <v>624</v>
      </c>
      <c r="L67" s="178">
        <v>100000000</v>
      </c>
      <c r="M67" s="178">
        <v>100.1875</v>
      </c>
      <c r="N67" s="178">
        <v>-4.3922228100000002E-2</v>
      </c>
      <c r="O67" s="178">
        <v>-105549788.07692307</v>
      </c>
      <c r="P67" s="174" t="s">
        <v>337</v>
      </c>
      <c r="Q67" s="174" t="s">
        <v>625</v>
      </c>
      <c r="R67" s="174" t="s">
        <v>22</v>
      </c>
      <c r="S67" s="174" t="s">
        <v>129</v>
      </c>
      <c r="T67" s="175" t="str">
        <f>VLOOKUP($S67,Mapping!$C:$C,1,0)</f>
        <v>Omgeo</v>
      </c>
      <c r="U67" s="174" t="s">
        <v>751</v>
      </c>
      <c r="V67" s="174" t="s">
        <v>132</v>
      </c>
      <c r="W67" s="175"/>
      <c r="X67" s="175"/>
      <c r="Y67" s="174" t="s">
        <v>469</v>
      </c>
      <c r="Z67" s="174" t="s">
        <v>627</v>
      </c>
      <c r="AA67" s="174" t="s">
        <v>22</v>
      </c>
      <c r="AB67" s="174"/>
      <c r="AC67" s="175"/>
      <c r="AD67" s="174" t="s">
        <v>628</v>
      </c>
      <c r="AE67" s="176">
        <v>43164.506192129629</v>
      </c>
      <c r="AF67" s="174" t="s">
        <v>751</v>
      </c>
      <c r="AG67" s="176">
        <v>43164.589930555558</v>
      </c>
      <c r="AH67" s="176">
        <v>43164.589930555558</v>
      </c>
      <c r="AI67" s="174" t="s">
        <v>473</v>
      </c>
      <c r="AJ67" s="175"/>
      <c r="AK67" s="178">
        <v>1.05301</v>
      </c>
    </row>
    <row r="68" spans="1:37" ht="15.95" customHeight="1" x14ac:dyDescent="0.25">
      <c r="A68" s="174" t="s">
        <v>461</v>
      </c>
      <c r="B68" s="174" t="s">
        <v>752</v>
      </c>
      <c r="C68" s="175"/>
      <c r="D68" s="174" t="s">
        <v>463</v>
      </c>
      <c r="E68" s="174" t="s">
        <v>753</v>
      </c>
      <c r="F68" s="176">
        <v>43164</v>
      </c>
      <c r="G68" s="176">
        <v>43165</v>
      </c>
      <c r="H68" s="174" t="s">
        <v>686</v>
      </c>
      <c r="I68" s="175" t="e">
        <f>VLOOKUP($H68,Mapping!$A:$A,1,0)</f>
        <v>#N/A</v>
      </c>
      <c r="J68" s="179" t="s">
        <v>486</v>
      </c>
      <c r="K68" s="174" t="s">
        <v>754</v>
      </c>
      <c r="L68" s="178">
        <v>11000000</v>
      </c>
      <c r="M68" s="178">
        <v>94.909841999999998</v>
      </c>
      <c r="N68" s="178">
        <v>2.8546060190000002</v>
      </c>
      <c r="O68" s="178">
        <v>-10515973.5039779</v>
      </c>
      <c r="P68" s="174" t="s">
        <v>337</v>
      </c>
      <c r="Q68" s="174" t="s">
        <v>755</v>
      </c>
      <c r="R68" s="174" t="s">
        <v>22</v>
      </c>
      <c r="S68" s="174" t="s">
        <v>129</v>
      </c>
      <c r="T68" s="175" t="str">
        <f>VLOOKUP($S68,Mapping!$C:$C,1,0)</f>
        <v>Omgeo</v>
      </c>
      <c r="U68" s="174" t="s">
        <v>756</v>
      </c>
      <c r="V68" s="174" t="s">
        <v>132</v>
      </c>
      <c r="W68" s="175"/>
      <c r="X68" s="175"/>
      <c r="Y68" s="174" t="s">
        <v>469</v>
      </c>
      <c r="Z68" s="174" t="s">
        <v>757</v>
      </c>
      <c r="AA68" s="174" t="s">
        <v>22</v>
      </c>
      <c r="AB68" s="174"/>
      <c r="AC68" s="175"/>
      <c r="AD68" s="174" t="s">
        <v>512</v>
      </c>
      <c r="AE68" s="176">
        <v>43164.610729166663</v>
      </c>
      <c r="AF68" s="174" t="s">
        <v>756</v>
      </c>
      <c r="AG68" s="176">
        <v>43164.607303240744</v>
      </c>
      <c r="AH68" s="176">
        <v>43164.607372685183</v>
      </c>
      <c r="AI68" s="174" t="s">
        <v>473</v>
      </c>
      <c r="AJ68" s="175"/>
      <c r="AK68" s="178">
        <v>1</v>
      </c>
    </row>
    <row r="69" spans="1:37" ht="15.95" customHeight="1" x14ac:dyDescent="0.25">
      <c r="A69" s="174" t="s">
        <v>461</v>
      </c>
      <c r="B69" s="174" t="s">
        <v>758</v>
      </c>
      <c r="C69" s="175"/>
      <c r="D69" s="174" t="s">
        <v>463</v>
      </c>
      <c r="E69" s="174" t="s">
        <v>753</v>
      </c>
      <c r="F69" s="176">
        <v>43164</v>
      </c>
      <c r="G69" s="176">
        <v>43165</v>
      </c>
      <c r="H69" s="174" t="s">
        <v>686</v>
      </c>
      <c r="I69" s="175" t="e">
        <f>VLOOKUP($H69,Mapping!$A:$A,1,0)</f>
        <v>#N/A</v>
      </c>
      <c r="J69" s="177" t="s">
        <v>466</v>
      </c>
      <c r="K69" s="174" t="s">
        <v>475</v>
      </c>
      <c r="L69" s="178">
        <v>10500000</v>
      </c>
      <c r="M69" s="178">
        <v>99.2890625</v>
      </c>
      <c r="N69" s="178">
        <v>2.8324057090000001</v>
      </c>
      <c r="O69" s="178">
        <v>10440506.949240331</v>
      </c>
      <c r="P69" s="174" t="s">
        <v>337</v>
      </c>
      <c r="Q69" s="174" t="s">
        <v>476</v>
      </c>
      <c r="R69" s="174" t="s">
        <v>22</v>
      </c>
      <c r="S69" s="174" t="s">
        <v>129</v>
      </c>
      <c r="T69" s="175" t="str">
        <f>VLOOKUP($S69,Mapping!$C:$C,1,0)</f>
        <v>Omgeo</v>
      </c>
      <c r="U69" s="174" t="s">
        <v>759</v>
      </c>
      <c r="V69" s="174" t="s">
        <v>132</v>
      </c>
      <c r="W69" s="175"/>
      <c r="X69" s="175"/>
      <c r="Y69" s="174" t="s">
        <v>469</v>
      </c>
      <c r="Z69" s="174" t="s">
        <v>757</v>
      </c>
      <c r="AA69" s="174" t="s">
        <v>22</v>
      </c>
      <c r="AB69" s="174"/>
      <c r="AC69" s="175"/>
      <c r="AD69" s="174" t="s">
        <v>512</v>
      </c>
      <c r="AE69" s="176">
        <v>43164.610729166663</v>
      </c>
      <c r="AF69" s="174" t="s">
        <v>759</v>
      </c>
      <c r="AG69" s="176">
        <v>43164.607303240744</v>
      </c>
      <c r="AH69" s="176">
        <v>43164.60738425926</v>
      </c>
      <c r="AI69" s="174" t="s">
        <v>473</v>
      </c>
      <c r="AJ69" s="175"/>
      <c r="AK69" s="178">
        <v>1</v>
      </c>
    </row>
    <row r="70" spans="1:37" ht="15.95" customHeight="1" x14ac:dyDescent="0.25">
      <c r="A70" s="174" t="s">
        <v>461</v>
      </c>
      <c r="B70" s="174" t="s">
        <v>760</v>
      </c>
      <c r="C70" s="175"/>
      <c r="D70" s="174" t="s">
        <v>463</v>
      </c>
      <c r="E70" s="174" t="s">
        <v>553</v>
      </c>
      <c r="F70" s="176">
        <v>43164</v>
      </c>
      <c r="G70" s="176">
        <v>43165</v>
      </c>
      <c r="H70" s="174" t="s">
        <v>686</v>
      </c>
      <c r="I70" s="175" t="e">
        <f>VLOOKUP($H70,Mapping!$A:$A,1,0)</f>
        <v>#N/A</v>
      </c>
      <c r="J70" s="177" t="s">
        <v>466</v>
      </c>
      <c r="K70" s="174" t="s">
        <v>754</v>
      </c>
      <c r="L70" s="178">
        <v>200000000</v>
      </c>
      <c r="M70" s="178">
        <v>94.432490000000001</v>
      </c>
      <c r="N70" s="178">
        <v>2.9131858454000001</v>
      </c>
      <c r="O70" s="178">
        <v>190244814.25414363</v>
      </c>
      <c r="P70" s="174" t="s">
        <v>337</v>
      </c>
      <c r="Q70" s="174" t="s">
        <v>755</v>
      </c>
      <c r="R70" s="174" t="s">
        <v>22</v>
      </c>
      <c r="S70" s="174" t="s">
        <v>129</v>
      </c>
      <c r="T70" s="175" t="str">
        <f>VLOOKUP($S70,Mapping!$C:$C,1,0)</f>
        <v>Omgeo</v>
      </c>
      <c r="U70" s="174" t="s">
        <v>761</v>
      </c>
      <c r="V70" s="174" t="s">
        <v>132</v>
      </c>
      <c r="W70" s="175"/>
      <c r="X70" s="175"/>
      <c r="Y70" s="174" t="s">
        <v>469</v>
      </c>
      <c r="Z70" s="174" t="s">
        <v>555</v>
      </c>
      <c r="AA70" s="174" t="s">
        <v>22</v>
      </c>
      <c r="AB70" s="174"/>
      <c r="AC70" s="175"/>
      <c r="AD70" s="174" t="s">
        <v>512</v>
      </c>
      <c r="AE70" s="176">
        <v>43164.623680555553</v>
      </c>
      <c r="AF70" s="174" t="s">
        <v>761</v>
      </c>
      <c r="AG70" s="176">
        <v>43164.619467592594</v>
      </c>
      <c r="AH70" s="176">
        <v>43164.619513888887</v>
      </c>
      <c r="AI70" s="174" t="s">
        <v>473</v>
      </c>
      <c r="AJ70" s="175"/>
      <c r="AK70" s="178">
        <v>1</v>
      </c>
    </row>
    <row r="71" spans="1:37" ht="15.95" customHeight="1" x14ac:dyDescent="0.25">
      <c r="A71" s="174" t="s">
        <v>484</v>
      </c>
      <c r="B71" s="174" t="s">
        <v>762</v>
      </c>
      <c r="C71" s="175"/>
      <c r="D71" s="174" t="s">
        <v>478</v>
      </c>
      <c r="E71" s="174" t="s">
        <v>491</v>
      </c>
      <c r="F71" s="176">
        <v>43164</v>
      </c>
      <c r="G71" s="176">
        <v>43166</v>
      </c>
      <c r="H71" s="174" t="s">
        <v>686</v>
      </c>
      <c r="I71" s="175" t="e">
        <f>VLOOKUP($H71,Mapping!$A:$A,1,0)</f>
        <v>#N/A</v>
      </c>
      <c r="J71" s="179" t="s">
        <v>486</v>
      </c>
      <c r="K71" s="174" t="s">
        <v>763</v>
      </c>
      <c r="L71" s="178">
        <v>4550000</v>
      </c>
      <c r="M71" s="178">
        <v>100.25</v>
      </c>
      <c r="N71" s="178">
        <v>6.2104153841</v>
      </c>
      <c r="O71" s="178">
        <v>-4566114.5833333302</v>
      </c>
      <c r="P71" s="174" t="s">
        <v>337</v>
      </c>
      <c r="Q71" s="174" t="s">
        <v>764</v>
      </c>
      <c r="R71" s="174" t="s">
        <v>22</v>
      </c>
      <c r="S71" s="174" t="s">
        <v>129</v>
      </c>
      <c r="T71" s="175" t="str">
        <f>VLOOKUP($S71,Mapping!$C:$C,1,0)</f>
        <v>Omgeo</v>
      </c>
      <c r="U71" s="174" t="s">
        <v>765</v>
      </c>
      <c r="V71" s="174" t="s">
        <v>132</v>
      </c>
      <c r="W71" s="175"/>
      <c r="X71" s="175"/>
      <c r="Y71" s="174" t="s">
        <v>766</v>
      </c>
      <c r="Z71" s="174" t="s">
        <v>494</v>
      </c>
      <c r="AA71" s="174" t="s">
        <v>22</v>
      </c>
      <c r="AB71" s="174"/>
      <c r="AC71" s="175"/>
      <c r="AD71" s="174" t="s">
        <v>512</v>
      </c>
      <c r="AE71" s="176">
        <v>43164.643252314818</v>
      </c>
      <c r="AF71" s="174" t="s">
        <v>765</v>
      </c>
      <c r="AG71" s="176">
        <v>43164.637187499997</v>
      </c>
      <c r="AH71" s="176">
        <v>43164.637280092589</v>
      </c>
      <c r="AI71" s="175"/>
      <c r="AJ71" s="175"/>
      <c r="AK71" s="178">
        <v>1</v>
      </c>
    </row>
    <row r="72" spans="1:37" ht="15.95" customHeight="1" x14ac:dyDescent="0.25">
      <c r="A72" s="174" t="s">
        <v>461</v>
      </c>
      <c r="B72" s="174" t="s">
        <v>767</v>
      </c>
      <c r="C72" s="175"/>
      <c r="D72" s="174" t="s">
        <v>478</v>
      </c>
      <c r="E72" s="174" t="s">
        <v>768</v>
      </c>
      <c r="F72" s="176">
        <v>43164</v>
      </c>
      <c r="G72" s="176">
        <v>43165</v>
      </c>
      <c r="H72" s="174" t="s">
        <v>686</v>
      </c>
      <c r="I72" s="175" t="e">
        <f>VLOOKUP($H72,Mapping!$A:$A,1,0)</f>
        <v>#N/A</v>
      </c>
      <c r="J72" s="179" t="s">
        <v>486</v>
      </c>
      <c r="K72" s="174" t="s">
        <v>475</v>
      </c>
      <c r="L72" s="178">
        <v>1800000</v>
      </c>
      <c r="M72" s="178">
        <v>98.875</v>
      </c>
      <c r="N72" s="178">
        <v>2.8807705845</v>
      </c>
      <c r="O72" s="178">
        <v>-1782348.06629834</v>
      </c>
      <c r="P72" s="174" t="s">
        <v>337</v>
      </c>
      <c r="Q72" s="174" t="s">
        <v>476</v>
      </c>
      <c r="R72" s="174" t="s">
        <v>22</v>
      </c>
      <c r="S72" s="174" t="s">
        <v>129</v>
      </c>
      <c r="T72" s="175" t="str">
        <f>VLOOKUP($S72,Mapping!$C:$C,1,0)</f>
        <v>Omgeo</v>
      </c>
      <c r="U72" s="174" t="s">
        <v>769</v>
      </c>
      <c r="V72" s="174" t="s">
        <v>132</v>
      </c>
      <c r="W72" s="175"/>
      <c r="X72" s="175"/>
      <c r="Y72" s="174" t="s">
        <v>469</v>
      </c>
      <c r="Z72" s="174" t="s">
        <v>770</v>
      </c>
      <c r="AA72" s="174" t="s">
        <v>22</v>
      </c>
      <c r="AB72" s="174"/>
      <c r="AC72" s="175"/>
      <c r="AD72" s="174" t="s">
        <v>512</v>
      </c>
      <c r="AE72" s="176">
        <v>43164.675798611112</v>
      </c>
      <c r="AF72" s="174" t="s">
        <v>769</v>
      </c>
      <c r="AG72" s="176">
        <v>43164.670902777776</v>
      </c>
      <c r="AH72" s="176">
        <v>43164.670983796299</v>
      </c>
      <c r="AI72" s="175"/>
      <c r="AJ72" s="175"/>
      <c r="AK72" s="178">
        <v>1</v>
      </c>
    </row>
    <row r="73" spans="1:37" ht="15.95" customHeight="1" x14ac:dyDescent="0.25">
      <c r="A73" s="174" t="s">
        <v>484</v>
      </c>
      <c r="B73" s="174" t="s">
        <v>771</v>
      </c>
      <c r="C73" s="175"/>
      <c r="D73" s="174" t="s">
        <v>478</v>
      </c>
      <c r="E73" s="174" t="s">
        <v>768</v>
      </c>
      <c r="F73" s="176">
        <v>43164</v>
      </c>
      <c r="G73" s="176">
        <v>43166</v>
      </c>
      <c r="H73" s="174" t="s">
        <v>686</v>
      </c>
      <c r="I73" s="175" t="e">
        <f>VLOOKUP($H73,Mapping!$A:$A,1,0)</f>
        <v>#N/A</v>
      </c>
      <c r="J73" s="177" t="s">
        <v>466</v>
      </c>
      <c r="K73" s="174" t="s">
        <v>772</v>
      </c>
      <c r="L73" s="178">
        <v>2000000</v>
      </c>
      <c r="M73" s="178">
        <v>95.704999999999998</v>
      </c>
      <c r="N73" s="178">
        <v>4.4805137462999998</v>
      </c>
      <c r="O73" s="178">
        <v>1950527.7777777801</v>
      </c>
      <c r="P73" s="174" t="s">
        <v>337</v>
      </c>
      <c r="Q73" s="174" t="s">
        <v>773</v>
      </c>
      <c r="R73" s="174" t="s">
        <v>22</v>
      </c>
      <c r="S73" s="174" t="s">
        <v>129</v>
      </c>
      <c r="T73" s="175" t="str">
        <f>VLOOKUP($S73,Mapping!$C:$C,1,0)</f>
        <v>Omgeo</v>
      </c>
      <c r="U73" s="174" t="s">
        <v>774</v>
      </c>
      <c r="V73" s="174" t="s">
        <v>132</v>
      </c>
      <c r="W73" s="175"/>
      <c r="X73" s="175"/>
      <c r="Y73" s="174" t="s">
        <v>489</v>
      </c>
      <c r="Z73" s="174" t="s">
        <v>770</v>
      </c>
      <c r="AA73" s="174" t="s">
        <v>22</v>
      </c>
      <c r="AB73" s="174"/>
      <c r="AC73" s="175"/>
      <c r="AD73" s="174" t="s">
        <v>512</v>
      </c>
      <c r="AE73" s="176">
        <v>43164.675798611112</v>
      </c>
      <c r="AF73" s="174" t="s">
        <v>774</v>
      </c>
      <c r="AG73" s="176">
        <v>43164.670949074076</v>
      </c>
      <c r="AH73" s="176">
        <v>43164.671030092592</v>
      </c>
      <c r="AI73" s="175"/>
      <c r="AJ73" s="175"/>
      <c r="AK73" s="178">
        <v>1</v>
      </c>
    </row>
    <row r="74" spans="1:37" ht="15.95" customHeight="1" x14ac:dyDescent="0.25">
      <c r="A74" s="174" t="s">
        <v>461</v>
      </c>
      <c r="B74" s="174" t="s">
        <v>775</v>
      </c>
      <c r="C74" s="175"/>
      <c r="D74" s="174" t="s">
        <v>463</v>
      </c>
      <c r="E74" s="174" t="s">
        <v>708</v>
      </c>
      <c r="F74" s="176">
        <v>43164</v>
      </c>
      <c r="G74" s="176">
        <v>43165</v>
      </c>
      <c r="H74" s="174" t="s">
        <v>686</v>
      </c>
      <c r="I74" s="175" t="e">
        <f>VLOOKUP($H74,Mapping!$A:$A,1,0)</f>
        <v>#N/A</v>
      </c>
      <c r="J74" s="179" t="s">
        <v>486</v>
      </c>
      <c r="K74" s="174" t="s">
        <v>776</v>
      </c>
      <c r="L74" s="178">
        <v>67600000</v>
      </c>
      <c r="M74" s="178">
        <v>98.25</v>
      </c>
      <c r="N74" s="178">
        <v>0.61902712309999997</v>
      </c>
      <c r="O74" s="178">
        <v>-69141326.811132595</v>
      </c>
      <c r="P74" s="174" t="s">
        <v>337</v>
      </c>
      <c r="Q74" s="174" t="s">
        <v>777</v>
      </c>
      <c r="R74" s="174" t="s">
        <v>23</v>
      </c>
      <c r="S74" s="174" t="s">
        <v>129</v>
      </c>
      <c r="T74" s="175" t="str">
        <f>VLOOKUP($S74,Mapping!$C:$C,1,0)</f>
        <v>Omgeo</v>
      </c>
      <c r="U74" s="175"/>
      <c r="V74" s="175"/>
      <c r="W74" s="175"/>
      <c r="X74" s="175"/>
      <c r="Y74" s="174" t="s">
        <v>469</v>
      </c>
      <c r="Z74" s="174" t="s">
        <v>712</v>
      </c>
      <c r="AA74" s="174" t="s">
        <v>24</v>
      </c>
      <c r="AB74" s="174"/>
      <c r="AC74" s="174" t="s">
        <v>778</v>
      </c>
      <c r="AD74" s="174" t="s">
        <v>472</v>
      </c>
      <c r="AE74" s="176">
        <v>43164.551620370374</v>
      </c>
      <c r="AF74" s="175"/>
      <c r="AG74" s="176">
        <v>43165.396064814813</v>
      </c>
      <c r="AH74" s="176">
        <v>43165.396064814813</v>
      </c>
      <c r="AI74" s="174" t="s">
        <v>473</v>
      </c>
      <c r="AJ74" s="175"/>
      <c r="AK74" s="178">
        <v>1.04047</v>
      </c>
    </row>
    <row r="75" spans="1:37" ht="15.95" customHeight="1" x14ac:dyDescent="0.25">
      <c r="A75" s="174" t="s">
        <v>461</v>
      </c>
      <c r="B75" s="174" t="s">
        <v>779</v>
      </c>
      <c r="C75" s="175"/>
      <c r="D75" s="174" t="s">
        <v>463</v>
      </c>
      <c r="E75" s="174" t="s">
        <v>708</v>
      </c>
      <c r="F75" s="176">
        <v>43164</v>
      </c>
      <c r="G75" s="176">
        <v>43165</v>
      </c>
      <c r="H75" s="174" t="s">
        <v>686</v>
      </c>
      <c r="I75" s="175" t="e">
        <f>VLOOKUP($H75,Mapping!$A:$A,1,0)</f>
        <v>#N/A</v>
      </c>
      <c r="J75" s="177" t="s">
        <v>466</v>
      </c>
      <c r="K75" s="174" t="s">
        <v>780</v>
      </c>
      <c r="L75" s="178">
        <v>77300000</v>
      </c>
      <c r="M75" s="178">
        <v>94.405918999999997</v>
      </c>
      <c r="N75" s="178">
        <v>2.8385229814000001</v>
      </c>
      <c r="O75" s="178">
        <v>73056919.033408836</v>
      </c>
      <c r="P75" s="174" t="s">
        <v>337</v>
      </c>
      <c r="Q75" s="174" t="s">
        <v>781</v>
      </c>
      <c r="R75" s="174" t="s">
        <v>23</v>
      </c>
      <c r="S75" s="174" t="s">
        <v>129</v>
      </c>
      <c r="T75" s="175" t="str">
        <f>VLOOKUP($S75,Mapping!$C:$C,1,0)</f>
        <v>Omgeo</v>
      </c>
      <c r="U75" s="175"/>
      <c r="V75" s="175"/>
      <c r="W75" s="175"/>
      <c r="X75" s="175"/>
      <c r="Y75" s="174" t="s">
        <v>469</v>
      </c>
      <c r="Z75" s="174" t="s">
        <v>712</v>
      </c>
      <c r="AA75" s="174" t="s">
        <v>24</v>
      </c>
      <c r="AB75" s="174"/>
      <c r="AC75" s="174" t="s">
        <v>778</v>
      </c>
      <c r="AD75" s="174" t="s">
        <v>472</v>
      </c>
      <c r="AE75" s="176">
        <v>43164.551620370374</v>
      </c>
      <c r="AF75" s="175"/>
      <c r="AG75" s="176">
        <v>43165.39607638889</v>
      </c>
      <c r="AH75" s="176">
        <v>43165.39607638889</v>
      </c>
      <c r="AI75" s="174" t="s">
        <v>473</v>
      </c>
      <c r="AJ75" s="175"/>
      <c r="AK75" s="178">
        <v>1</v>
      </c>
    </row>
    <row r="76" spans="1:37" ht="15.95" customHeight="1" x14ac:dyDescent="0.25">
      <c r="A76" s="174" t="s">
        <v>461</v>
      </c>
      <c r="B76" s="174" t="s">
        <v>782</v>
      </c>
      <c r="C76" s="175"/>
      <c r="D76" s="174" t="s">
        <v>463</v>
      </c>
      <c r="E76" s="174" t="s">
        <v>783</v>
      </c>
      <c r="F76" s="176">
        <v>43164</v>
      </c>
      <c r="G76" s="176">
        <v>43165</v>
      </c>
      <c r="H76" s="174" t="s">
        <v>686</v>
      </c>
      <c r="I76" s="175" t="e">
        <f>VLOOKUP($H76,Mapping!$A:$A,1,0)</f>
        <v>#N/A</v>
      </c>
      <c r="J76" s="179" t="s">
        <v>486</v>
      </c>
      <c r="K76" s="174" t="s">
        <v>776</v>
      </c>
      <c r="L76" s="178">
        <v>33800000</v>
      </c>
      <c r="M76" s="178">
        <v>98.25</v>
      </c>
      <c r="N76" s="178">
        <v>0.61902712309999997</v>
      </c>
      <c r="O76" s="178">
        <v>-34570663.405566297</v>
      </c>
      <c r="P76" s="174" t="s">
        <v>337</v>
      </c>
      <c r="Q76" s="174" t="s">
        <v>777</v>
      </c>
      <c r="R76" s="174" t="s">
        <v>23</v>
      </c>
      <c r="S76" s="174" t="s">
        <v>129</v>
      </c>
      <c r="T76" s="175" t="str">
        <f>VLOOKUP($S76,Mapping!$C:$C,1,0)</f>
        <v>Omgeo</v>
      </c>
      <c r="U76" s="175"/>
      <c r="V76" s="175"/>
      <c r="W76" s="175"/>
      <c r="X76" s="175"/>
      <c r="Y76" s="174" t="s">
        <v>469</v>
      </c>
      <c r="Z76" s="174" t="s">
        <v>784</v>
      </c>
      <c r="AA76" s="174" t="s">
        <v>24</v>
      </c>
      <c r="AB76" s="174"/>
      <c r="AC76" s="174" t="s">
        <v>778</v>
      </c>
      <c r="AD76" s="174" t="s">
        <v>472</v>
      </c>
      <c r="AE76" s="176">
        <v>43164.551620370374</v>
      </c>
      <c r="AF76" s="175"/>
      <c r="AG76" s="176">
        <v>43165.396087962959</v>
      </c>
      <c r="AH76" s="176">
        <v>43165.396087962959</v>
      </c>
      <c r="AI76" s="174" t="s">
        <v>473</v>
      </c>
      <c r="AJ76" s="175"/>
      <c r="AK76" s="178">
        <v>1.04047</v>
      </c>
    </row>
    <row r="77" spans="1:37" ht="15.95" customHeight="1" x14ac:dyDescent="0.25">
      <c r="A77" s="174" t="s">
        <v>461</v>
      </c>
      <c r="B77" s="174" t="s">
        <v>785</v>
      </c>
      <c r="C77" s="175"/>
      <c r="D77" s="174" t="s">
        <v>463</v>
      </c>
      <c r="E77" s="174" t="s">
        <v>783</v>
      </c>
      <c r="F77" s="176">
        <v>43164</v>
      </c>
      <c r="G77" s="176">
        <v>43165</v>
      </c>
      <c r="H77" s="174" t="s">
        <v>686</v>
      </c>
      <c r="I77" s="175" t="e">
        <f>VLOOKUP($H77,Mapping!$A:$A,1,0)</f>
        <v>#N/A</v>
      </c>
      <c r="J77" s="177" t="s">
        <v>466</v>
      </c>
      <c r="K77" s="174" t="s">
        <v>780</v>
      </c>
      <c r="L77" s="178">
        <v>38700000</v>
      </c>
      <c r="M77" s="178">
        <v>94.405918999999997</v>
      </c>
      <c r="N77" s="178">
        <v>2.8385229814000001</v>
      </c>
      <c r="O77" s="178">
        <v>36575714.962392271</v>
      </c>
      <c r="P77" s="174" t="s">
        <v>337</v>
      </c>
      <c r="Q77" s="174" t="s">
        <v>781</v>
      </c>
      <c r="R77" s="174" t="s">
        <v>23</v>
      </c>
      <c r="S77" s="174" t="s">
        <v>129</v>
      </c>
      <c r="T77" s="175" t="str">
        <f>VLOOKUP($S77,Mapping!$C:$C,1,0)</f>
        <v>Omgeo</v>
      </c>
      <c r="U77" s="175"/>
      <c r="V77" s="175"/>
      <c r="W77" s="175"/>
      <c r="X77" s="175"/>
      <c r="Y77" s="174" t="s">
        <v>469</v>
      </c>
      <c r="Z77" s="174" t="s">
        <v>784</v>
      </c>
      <c r="AA77" s="174" t="s">
        <v>24</v>
      </c>
      <c r="AB77" s="174"/>
      <c r="AC77" s="174" t="s">
        <v>778</v>
      </c>
      <c r="AD77" s="174" t="s">
        <v>472</v>
      </c>
      <c r="AE77" s="176">
        <v>43165.150069444448</v>
      </c>
      <c r="AF77" s="175"/>
      <c r="AG77" s="176">
        <v>43165.396111111113</v>
      </c>
      <c r="AH77" s="176">
        <v>43165.396111111113</v>
      </c>
      <c r="AI77" s="174" t="s">
        <v>473</v>
      </c>
      <c r="AJ77" s="175"/>
      <c r="AK77" s="178">
        <v>1</v>
      </c>
    </row>
    <row r="78" spans="1:37" ht="15.95" customHeight="1" x14ac:dyDescent="0.25">
      <c r="A78" s="174" t="s">
        <v>651</v>
      </c>
      <c r="B78" s="174" t="s">
        <v>786</v>
      </c>
      <c r="C78" s="175"/>
      <c r="D78" s="174" t="s">
        <v>653</v>
      </c>
      <c r="E78" s="174" t="s">
        <v>647</v>
      </c>
      <c r="F78" s="176">
        <v>43164</v>
      </c>
      <c r="G78" s="176">
        <v>43172</v>
      </c>
      <c r="H78" s="174" t="s">
        <v>686</v>
      </c>
      <c r="I78" s="175" t="e">
        <f>VLOOKUP($H78,Mapping!$A:$A,1,0)</f>
        <v>#N/A</v>
      </c>
      <c r="J78" s="177" t="s">
        <v>466</v>
      </c>
      <c r="K78" s="174" t="s">
        <v>787</v>
      </c>
      <c r="L78" s="178">
        <v>7000000</v>
      </c>
      <c r="M78" s="178">
        <v>96.6171875</v>
      </c>
      <c r="N78" s="178">
        <v>3.1642862073</v>
      </c>
      <c r="O78" s="178">
        <v>6763203.1249999991</v>
      </c>
      <c r="P78" s="174" t="s">
        <v>337</v>
      </c>
      <c r="Q78" s="174" t="s">
        <v>788</v>
      </c>
      <c r="R78" s="174" t="s">
        <v>22</v>
      </c>
      <c r="S78" s="174" t="s">
        <v>129</v>
      </c>
      <c r="T78" s="175" t="str">
        <f>VLOOKUP($S78,Mapping!$C:$C,1,0)</f>
        <v>Omgeo</v>
      </c>
      <c r="U78" s="174" t="s">
        <v>789</v>
      </c>
      <c r="V78" s="174" t="s">
        <v>132</v>
      </c>
      <c r="W78" s="175"/>
      <c r="X78" s="175"/>
      <c r="Y78" s="174" t="s">
        <v>651</v>
      </c>
      <c r="Z78" s="174" t="s">
        <v>650</v>
      </c>
      <c r="AA78" s="174" t="s">
        <v>22</v>
      </c>
      <c r="AB78" s="174"/>
      <c r="AC78" s="175"/>
      <c r="AD78" s="174"/>
      <c r="AE78" s="176">
        <v>43164.587083333332</v>
      </c>
      <c r="AF78" s="174" t="s">
        <v>789</v>
      </c>
      <c r="AG78" s="176">
        <v>43164.583124999997</v>
      </c>
      <c r="AH78" s="176">
        <v>43164.619340277779</v>
      </c>
      <c r="AI78" s="175"/>
      <c r="AJ78" s="175"/>
      <c r="AK78" s="178">
        <v>1</v>
      </c>
    </row>
    <row r="79" spans="1:37" ht="15.95" customHeight="1" x14ac:dyDescent="0.25">
      <c r="A79" s="174" t="s">
        <v>461</v>
      </c>
      <c r="B79" s="174" t="s">
        <v>790</v>
      </c>
      <c r="C79" s="175"/>
      <c r="D79" s="174" t="s">
        <v>566</v>
      </c>
      <c r="E79" s="174" t="s">
        <v>676</v>
      </c>
      <c r="F79" s="176">
        <v>43164</v>
      </c>
      <c r="G79" s="176">
        <v>43166</v>
      </c>
      <c r="H79" s="174" t="s">
        <v>791</v>
      </c>
      <c r="I79" s="175" t="e">
        <f>VLOOKUP($H79,Mapping!$A:$A,1,0)</f>
        <v>#N/A</v>
      </c>
      <c r="J79" s="177" t="s">
        <v>466</v>
      </c>
      <c r="K79" s="174" t="s">
        <v>792</v>
      </c>
      <c r="L79" s="178">
        <v>54000000</v>
      </c>
      <c r="M79" s="178">
        <v>100.98739999999999</v>
      </c>
      <c r="N79" s="178">
        <v>-0.64410288120000003</v>
      </c>
      <c r="O79" s="178">
        <v>54533196</v>
      </c>
      <c r="P79" s="174" t="s">
        <v>386</v>
      </c>
      <c r="Q79" s="174" t="s">
        <v>793</v>
      </c>
      <c r="R79" s="174" t="s">
        <v>23</v>
      </c>
      <c r="S79" s="174" t="s">
        <v>130</v>
      </c>
      <c r="T79" s="175" t="str">
        <f>VLOOKUP($S79,Mapping!$C:$C,1,0)</f>
        <v>Manual</v>
      </c>
      <c r="U79" s="175"/>
      <c r="V79" s="175"/>
      <c r="W79" s="175"/>
      <c r="X79" s="175"/>
      <c r="Y79" s="174" t="s">
        <v>575</v>
      </c>
      <c r="Z79" s="174" t="s">
        <v>683</v>
      </c>
      <c r="AA79" s="174" t="s">
        <v>24</v>
      </c>
      <c r="AB79" s="174"/>
      <c r="AC79" s="174" t="s">
        <v>794</v>
      </c>
      <c r="AD79" s="174" t="s">
        <v>795</v>
      </c>
      <c r="AE79" s="175"/>
      <c r="AF79" s="175"/>
      <c r="AG79" s="176">
        <v>43164.384965277779</v>
      </c>
      <c r="AH79" s="176">
        <v>43164.384965277779</v>
      </c>
      <c r="AI79" s="175"/>
      <c r="AJ79" s="175"/>
      <c r="AK79" s="178">
        <v>1</v>
      </c>
    </row>
    <row r="80" spans="1:37" ht="15.95" customHeight="1" x14ac:dyDescent="0.25">
      <c r="A80" s="174" t="s">
        <v>461</v>
      </c>
      <c r="B80" s="174" t="s">
        <v>796</v>
      </c>
      <c r="C80" s="175"/>
      <c r="D80" s="174" t="s">
        <v>566</v>
      </c>
      <c r="E80" s="174" t="s">
        <v>676</v>
      </c>
      <c r="F80" s="176">
        <v>43164</v>
      </c>
      <c r="G80" s="176">
        <v>43166</v>
      </c>
      <c r="H80" s="174" t="s">
        <v>791</v>
      </c>
      <c r="I80" s="175" t="e">
        <f>VLOOKUP($H80,Mapping!$A:$A,1,0)</f>
        <v>#N/A</v>
      </c>
      <c r="J80" s="177" t="s">
        <v>466</v>
      </c>
      <c r="K80" s="174" t="s">
        <v>572</v>
      </c>
      <c r="L80" s="178">
        <v>36000000</v>
      </c>
      <c r="M80" s="178">
        <v>100.5467</v>
      </c>
      <c r="N80" s="178">
        <v>-0.11880751740000001</v>
      </c>
      <c r="O80" s="178">
        <v>36196812</v>
      </c>
      <c r="P80" s="174" t="s">
        <v>386</v>
      </c>
      <c r="Q80" s="174" t="s">
        <v>573</v>
      </c>
      <c r="R80" s="174" t="s">
        <v>23</v>
      </c>
      <c r="S80" s="174" t="s">
        <v>130</v>
      </c>
      <c r="T80" s="175" t="str">
        <f>VLOOKUP($S80,Mapping!$C:$C,1,0)</f>
        <v>Manual</v>
      </c>
      <c r="U80" s="175"/>
      <c r="V80" s="175"/>
      <c r="W80" s="175"/>
      <c r="X80" s="175"/>
      <c r="Y80" s="174" t="s">
        <v>575</v>
      </c>
      <c r="Z80" s="174" t="s">
        <v>683</v>
      </c>
      <c r="AA80" s="174" t="s">
        <v>24</v>
      </c>
      <c r="AB80" s="174"/>
      <c r="AC80" s="174" t="s">
        <v>794</v>
      </c>
      <c r="AD80" s="174" t="s">
        <v>795</v>
      </c>
      <c r="AE80" s="175"/>
      <c r="AF80" s="175"/>
      <c r="AG80" s="176">
        <v>43164.451354166667</v>
      </c>
      <c r="AH80" s="176">
        <v>43164.451354166667</v>
      </c>
      <c r="AI80" s="175"/>
      <c r="AJ80" s="175"/>
      <c r="AK80" s="178">
        <v>1</v>
      </c>
    </row>
    <row r="81" spans="1:37" ht="15.95" customHeight="1" x14ac:dyDescent="0.25">
      <c r="A81" s="174" t="s">
        <v>461</v>
      </c>
      <c r="B81" s="174" t="s">
        <v>797</v>
      </c>
      <c r="C81" s="175"/>
      <c r="D81" s="174" t="s">
        <v>463</v>
      </c>
      <c r="E81" s="174" t="s">
        <v>553</v>
      </c>
      <c r="F81" s="176">
        <v>43164</v>
      </c>
      <c r="G81" s="176">
        <v>43165</v>
      </c>
      <c r="H81" s="174" t="s">
        <v>791</v>
      </c>
      <c r="I81" s="175" t="e">
        <f>VLOOKUP($H81,Mapping!$A:$A,1,0)</f>
        <v>#N/A</v>
      </c>
      <c r="J81" s="179" t="s">
        <v>486</v>
      </c>
      <c r="K81" s="174" t="s">
        <v>798</v>
      </c>
      <c r="L81" s="178">
        <v>29000000</v>
      </c>
      <c r="M81" s="178">
        <v>98.83984375</v>
      </c>
      <c r="N81" s="178">
        <v>2.4216032284</v>
      </c>
      <c r="O81" s="178">
        <v>-28743665.184737571</v>
      </c>
      <c r="P81" s="174" t="s">
        <v>337</v>
      </c>
      <c r="Q81" s="174" t="s">
        <v>799</v>
      </c>
      <c r="R81" s="174" t="s">
        <v>23</v>
      </c>
      <c r="S81" s="174" t="s">
        <v>130</v>
      </c>
      <c r="T81" s="175" t="str">
        <f>VLOOKUP($S81,Mapping!$C:$C,1,0)</f>
        <v>Manual</v>
      </c>
      <c r="U81" s="175"/>
      <c r="V81" s="175"/>
      <c r="W81" s="175"/>
      <c r="X81" s="175"/>
      <c r="Y81" s="174" t="s">
        <v>469</v>
      </c>
      <c r="Z81" s="174" t="s">
        <v>555</v>
      </c>
      <c r="AA81" s="174" t="s">
        <v>24</v>
      </c>
      <c r="AB81" s="174"/>
      <c r="AC81" s="174" t="s">
        <v>800</v>
      </c>
      <c r="AD81" s="174" t="s">
        <v>483</v>
      </c>
      <c r="AE81" s="175"/>
      <c r="AF81" s="175"/>
      <c r="AG81" s="176">
        <v>43164.464548611111</v>
      </c>
      <c r="AH81" s="176">
        <v>43164.464548611111</v>
      </c>
      <c r="AI81" s="174" t="s">
        <v>473</v>
      </c>
      <c r="AJ81" s="175"/>
      <c r="AK81" s="178">
        <v>1</v>
      </c>
    </row>
    <row r="82" spans="1:37" ht="15.95" customHeight="1" x14ac:dyDescent="0.25">
      <c r="A82" s="174" t="s">
        <v>461</v>
      </c>
      <c r="B82" s="174" t="s">
        <v>801</v>
      </c>
      <c r="C82" s="175"/>
      <c r="D82" s="174" t="s">
        <v>463</v>
      </c>
      <c r="E82" s="174" t="s">
        <v>553</v>
      </c>
      <c r="F82" s="176">
        <v>43164</v>
      </c>
      <c r="G82" s="176">
        <v>43165</v>
      </c>
      <c r="H82" s="174" t="s">
        <v>791</v>
      </c>
      <c r="I82" s="175" t="e">
        <f>VLOOKUP($H82,Mapping!$A:$A,1,0)</f>
        <v>#N/A</v>
      </c>
      <c r="J82" s="177" t="s">
        <v>466</v>
      </c>
      <c r="K82" s="174" t="s">
        <v>524</v>
      </c>
      <c r="L82" s="178">
        <v>28050000</v>
      </c>
      <c r="M82" s="178">
        <v>99.5</v>
      </c>
      <c r="N82" s="178">
        <v>2.4265748014000001</v>
      </c>
      <c r="O82" s="178">
        <v>27942875.345303871</v>
      </c>
      <c r="P82" s="174" t="s">
        <v>337</v>
      </c>
      <c r="Q82" s="174" t="s">
        <v>525</v>
      </c>
      <c r="R82" s="174" t="s">
        <v>23</v>
      </c>
      <c r="S82" s="174" t="s">
        <v>130</v>
      </c>
      <c r="T82" s="175" t="str">
        <f>VLOOKUP($S82,Mapping!$C:$C,1,0)</f>
        <v>Manual</v>
      </c>
      <c r="U82" s="175"/>
      <c r="V82" s="175"/>
      <c r="W82" s="175"/>
      <c r="X82" s="175"/>
      <c r="Y82" s="174" t="s">
        <v>469</v>
      </c>
      <c r="Z82" s="174" t="s">
        <v>555</v>
      </c>
      <c r="AA82" s="174" t="s">
        <v>24</v>
      </c>
      <c r="AB82" s="174"/>
      <c r="AC82" s="174" t="s">
        <v>800</v>
      </c>
      <c r="AD82" s="174" t="s">
        <v>483</v>
      </c>
      <c r="AE82" s="175"/>
      <c r="AF82" s="175"/>
      <c r="AG82" s="176">
        <v>43164.464548611111</v>
      </c>
      <c r="AH82" s="176">
        <v>43164.464548611111</v>
      </c>
      <c r="AI82" s="174" t="s">
        <v>473</v>
      </c>
      <c r="AJ82" s="175"/>
      <c r="AK82" s="178">
        <v>1</v>
      </c>
    </row>
    <row r="83" spans="1:37" ht="15.95" customHeight="1" x14ac:dyDescent="0.25">
      <c r="A83" s="174" t="s">
        <v>461</v>
      </c>
      <c r="B83" s="174" t="s">
        <v>802</v>
      </c>
      <c r="C83" s="175"/>
      <c r="D83" s="174" t="s">
        <v>566</v>
      </c>
      <c r="E83" s="174" t="s">
        <v>676</v>
      </c>
      <c r="F83" s="176">
        <v>43164</v>
      </c>
      <c r="G83" s="176">
        <v>43166</v>
      </c>
      <c r="H83" s="174" t="s">
        <v>791</v>
      </c>
      <c r="I83" s="175" t="e">
        <f>VLOOKUP($H83,Mapping!$A:$A,1,0)</f>
        <v>#N/A</v>
      </c>
      <c r="J83" s="177" t="s">
        <v>466</v>
      </c>
      <c r="K83" s="174" t="s">
        <v>803</v>
      </c>
      <c r="L83" s="178">
        <v>18000000</v>
      </c>
      <c r="M83" s="178">
        <v>143.62950000000001</v>
      </c>
      <c r="N83" s="178">
        <v>1.1768487406000001</v>
      </c>
      <c r="O83" s="178">
        <v>26247583.97260274</v>
      </c>
      <c r="P83" s="174" t="s">
        <v>386</v>
      </c>
      <c r="Q83" s="174" t="s">
        <v>804</v>
      </c>
      <c r="R83" s="174" t="s">
        <v>23</v>
      </c>
      <c r="S83" s="174" t="s">
        <v>130</v>
      </c>
      <c r="T83" s="175" t="str">
        <f>VLOOKUP($S83,Mapping!$C:$C,1,0)</f>
        <v>Manual</v>
      </c>
      <c r="U83" s="175"/>
      <c r="V83" s="175"/>
      <c r="W83" s="175"/>
      <c r="X83" s="175"/>
      <c r="Y83" s="174" t="s">
        <v>575</v>
      </c>
      <c r="Z83" s="174" t="s">
        <v>683</v>
      </c>
      <c r="AA83" s="174" t="s">
        <v>24</v>
      </c>
      <c r="AB83" s="174"/>
      <c r="AC83" s="174" t="s">
        <v>794</v>
      </c>
      <c r="AD83" s="174" t="s">
        <v>483</v>
      </c>
      <c r="AE83" s="175"/>
      <c r="AF83" s="175"/>
      <c r="AG83" s="176">
        <v>43164.58116898148</v>
      </c>
      <c r="AH83" s="176">
        <v>43164.58116898148</v>
      </c>
      <c r="AI83" s="175"/>
      <c r="AJ83" s="175"/>
      <c r="AK83" s="178">
        <v>1</v>
      </c>
    </row>
    <row r="84" spans="1:37" ht="15.95" customHeight="1" x14ac:dyDescent="0.25">
      <c r="A84" s="174" t="s">
        <v>461</v>
      </c>
      <c r="B84" s="174" t="s">
        <v>805</v>
      </c>
      <c r="C84" s="175"/>
      <c r="D84" s="174" t="s">
        <v>463</v>
      </c>
      <c r="E84" s="174" t="s">
        <v>806</v>
      </c>
      <c r="F84" s="176">
        <v>43164</v>
      </c>
      <c r="G84" s="176">
        <v>43165</v>
      </c>
      <c r="H84" s="174" t="s">
        <v>791</v>
      </c>
      <c r="I84" s="175" t="e">
        <f>VLOOKUP($H84,Mapping!$A:$A,1,0)</f>
        <v>#N/A</v>
      </c>
      <c r="J84" s="179" t="s">
        <v>486</v>
      </c>
      <c r="K84" s="174" t="s">
        <v>807</v>
      </c>
      <c r="L84" s="178">
        <v>25000000</v>
      </c>
      <c r="M84" s="178">
        <v>94.637468749999996</v>
      </c>
      <c r="N84" s="178">
        <v>2.9029949463000002</v>
      </c>
      <c r="O84" s="178">
        <v>-23688890.668162983</v>
      </c>
      <c r="P84" s="174" t="s">
        <v>337</v>
      </c>
      <c r="Q84" s="174" t="s">
        <v>808</v>
      </c>
      <c r="R84" s="174" t="s">
        <v>23</v>
      </c>
      <c r="S84" s="174" t="s">
        <v>130</v>
      </c>
      <c r="T84" s="175" t="str">
        <f>VLOOKUP($S84,Mapping!$C:$C,1,0)</f>
        <v>Manual</v>
      </c>
      <c r="U84" s="175"/>
      <c r="V84" s="175"/>
      <c r="W84" s="175"/>
      <c r="X84" s="175"/>
      <c r="Y84" s="174" t="s">
        <v>469</v>
      </c>
      <c r="Z84" s="174" t="s">
        <v>809</v>
      </c>
      <c r="AA84" s="174" t="s">
        <v>24</v>
      </c>
      <c r="AB84" s="174"/>
      <c r="AC84" s="174" t="s">
        <v>810</v>
      </c>
      <c r="AD84" s="174" t="s">
        <v>483</v>
      </c>
      <c r="AE84" s="175"/>
      <c r="AF84" s="175"/>
      <c r="AG84" s="176">
        <v>43164.685694444444</v>
      </c>
      <c r="AH84" s="176">
        <v>43164.685694444444</v>
      </c>
      <c r="AI84" s="174" t="s">
        <v>473</v>
      </c>
      <c r="AJ84" s="175"/>
      <c r="AK84" s="178">
        <v>1</v>
      </c>
    </row>
    <row r="85" spans="1:37" ht="15.95" customHeight="1" x14ac:dyDescent="0.25">
      <c r="A85" s="174" t="s">
        <v>461</v>
      </c>
      <c r="B85" s="174" t="s">
        <v>811</v>
      </c>
      <c r="C85" s="175"/>
      <c r="D85" s="174" t="s">
        <v>463</v>
      </c>
      <c r="E85" s="174" t="s">
        <v>806</v>
      </c>
      <c r="F85" s="176">
        <v>43164</v>
      </c>
      <c r="G85" s="176">
        <v>43165</v>
      </c>
      <c r="H85" s="174" t="s">
        <v>791</v>
      </c>
      <c r="I85" s="175" t="e">
        <f>VLOOKUP($H85,Mapping!$A:$A,1,0)</f>
        <v>#N/A</v>
      </c>
      <c r="J85" s="177" t="s">
        <v>466</v>
      </c>
      <c r="K85" s="174" t="s">
        <v>475</v>
      </c>
      <c r="L85" s="178">
        <v>23250000</v>
      </c>
      <c r="M85" s="178">
        <v>98.875</v>
      </c>
      <c r="N85" s="178">
        <v>2.8807705845</v>
      </c>
      <c r="O85" s="178">
        <v>23021995.856353592</v>
      </c>
      <c r="P85" s="174" t="s">
        <v>337</v>
      </c>
      <c r="Q85" s="174" t="s">
        <v>476</v>
      </c>
      <c r="R85" s="174" t="s">
        <v>23</v>
      </c>
      <c r="S85" s="174" t="s">
        <v>130</v>
      </c>
      <c r="T85" s="175" t="str">
        <f>VLOOKUP($S85,Mapping!$C:$C,1,0)</f>
        <v>Manual</v>
      </c>
      <c r="U85" s="175"/>
      <c r="V85" s="175"/>
      <c r="W85" s="175"/>
      <c r="X85" s="175"/>
      <c r="Y85" s="174" t="s">
        <v>469</v>
      </c>
      <c r="Z85" s="174" t="s">
        <v>809</v>
      </c>
      <c r="AA85" s="174" t="s">
        <v>24</v>
      </c>
      <c r="AB85" s="174"/>
      <c r="AC85" s="174" t="s">
        <v>810</v>
      </c>
      <c r="AD85" s="174" t="s">
        <v>483</v>
      </c>
      <c r="AE85" s="175"/>
      <c r="AF85" s="175"/>
      <c r="AG85" s="176">
        <v>43164.685706018521</v>
      </c>
      <c r="AH85" s="176">
        <v>43164.685706018521</v>
      </c>
      <c r="AI85" s="174" t="s">
        <v>473</v>
      </c>
      <c r="AJ85" s="175"/>
      <c r="AK85" s="178">
        <v>1</v>
      </c>
    </row>
    <row r="86" spans="1:37" ht="15.95" customHeight="1" x14ac:dyDescent="0.25">
      <c r="A86" s="174" t="s">
        <v>461</v>
      </c>
      <c r="B86" s="174" t="s">
        <v>812</v>
      </c>
      <c r="C86" s="175"/>
      <c r="D86" s="174" t="s">
        <v>463</v>
      </c>
      <c r="E86" s="174" t="s">
        <v>806</v>
      </c>
      <c r="F86" s="176">
        <v>43164</v>
      </c>
      <c r="G86" s="176">
        <v>43165</v>
      </c>
      <c r="H86" s="174" t="s">
        <v>791</v>
      </c>
      <c r="I86" s="175" t="e">
        <f>VLOOKUP($H86,Mapping!$A:$A,1,0)</f>
        <v>#N/A</v>
      </c>
      <c r="J86" s="179" t="s">
        <v>486</v>
      </c>
      <c r="K86" s="174" t="s">
        <v>813</v>
      </c>
      <c r="L86" s="178">
        <v>15000000</v>
      </c>
      <c r="M86" s="178">
        <v>97.664812499999996</v>
      </c>
      <c r="N86" s="178">
        <v>3.1223469677</v>
      </c>
      <c r="O86" s="178">
        <v>-14787705.300414359</v>
      </c>
      <c r="P86" s="174" t="s">
        <v>337</v>
      </c>
      <c r="Q86" s="174" t="s">
        <v>814</v>
      </c>
      <c r="R86" s="174" t="s">
        <v>23</v>
      </c>
      <c r="S86" s="174" t="s">
        <v>130</v>
      </c>
      <c r="T86" s="175" t="str">
        <f>VLOOKUP($S86,Mapping!$C:$C,1,0)</f>
        <v>Manual</v>
      </c>
      <c r="U86" s="175"/>
      <c r="V86" s="175"/>
      <c r="W86" s="175"/>
      <c r="X86" s="175"/>
      <c r="Y86" s="174" t="s">
        <v>469</v>
      </c>
      <c r="Z86" s="174" t="s">
        <v>809</v>
      </c>
      <c r="AA86" s="174" t="s">
        <v>24</v>
      </c>
      <c r="AB86" s="174"/>
      <c r="AC86" s="174" t="s">
        <v>815</v>
      </c>
      <c r="AD86" s="174" t="s">
        <v>816</v>
      </c>
      <c r="AE86" s="175"/>
      <c r="AF86" s="175"/>
      <c r="AG86" s="176">
        <v>43165.301400462966</v>
      </c>
      <c r="AH86" s="176">
        <v>43165.301400462966</v>
      </c>
      <c r="AI86" s="174" t="s">
        <v>473</v>
      </c>
      <c r="AJ86" s="175"/>
      <c r="AK86" s="178">
        <v>1</v>
      </c>
    </row>
    <row r="87" spans="1:37" ht="15.95" customHeight="1" x14ac:dyDescent="0.25">
      <c r="A87" s="174" t="s">
        <v>461</v>
      </c>
      <c r="B87" s="174" t="s">
        <v>817</v>
      </c>
      <c r="C87" s="175"/>
      <c r="D87" s="174" t="s">
        <v>463</v>
      </c>
      <c r="E87" s="174" t="s">
        <v>806</v>
      </c>
      <c r="F87" s="176">
        <v>43164</v>
      </c>
      <c r="G87" s="176">
        <v>43165</v>
      </c>
      <c r="H87" s="174" t="s">
        <v>791</v>
      </c>
      <c r="I87" s="175" t="e">
        <f>VLOOKUP($H87,Mapping!$A:$A,1,0)</f>
        <v>#N/A</v>
      </c>
      <c r="J87" s="177" t="s">
        <v>466</v>
      </c>
      <c r="K87" s="174" t="s">
        <v>644</v>
      </c>
      <c r="L87" s="178">
        <v>14750000</v>
      </c>
      <c r="M87" s="178">
        <v>97.75</v>
      </c>
      <c r="N87" s="178">
        <v>3.1160490499</v>
      </c>
      <c r="O87" s="178">
        <v>14441350.138121549</v>
      </c>
      <c r="P87" s="174" t="s">
        <v>337</v>
      </c>
      <c r="Q87" s="174" t="s">
        <v>645</v>
      </c>
      <c r="R87" s="174" t="s">
        <v>23</v>
      </c>
      <c r="S87" s="174" t="s">
        <v>130</v>
      </c>
      <c r="T87" s="175" t="str">
        <f>VLOOKUP($S87,Mapping!$C:$C,1,0)</f>
        <v>Manual</v>
      </c>
      <c r="U87" s="175"/>
      <c r="V87" s="175"/>
      <c r="W87" s="175"/>
      <c r="X87" s="175"/>
      <c r="Y87" s="174" t="s">
        <v>469</v>
      </c>
      <c r="Z87" s="174" t="s">
        <v>809</v>
      </c>
      <c r="AA87" s="174" t="s">
        <v>24</v>
      </c>
      <c r="AB87" s="174"/>
      <c r="AC87" s="174" t="s">
        <v>815</v>
      </c>
      <c r="AD87" s="174" t="s">
        <v>816</v>
      </c>
      <c r="AE87" s="175"/>
      <c r="AF87" s="175"/>
      <c r="AG87" s="176">
        <v>43165.301412037035</v>
      </c>
      <c r="AH87" s="176">
        <v>43165.301412037035</v>
      </c>
      <c r="AI87" s="174" t="s">
        <v>473</v>
      </c>
      <c r="AJ87" s="175"/>
      <c r="AK87" s="178">
        <v>1</v>
      </c>
    </row>
    <row r="88" spans="1:37" ht="15.95" customHeight="1" x14ac:dyDescent="0.25">
      <c r="A88" s="174" t="s">
        <v>651</v>
      </c>
      <c r="B88" s="174" t="s">
        <v>823</v>
      </c>
      <c r="C88" s="175"/>
      <c r="D88" s="174" t="s">
        <v>824</v>
      </c>
      <c r="E88" s="174" t="s">
        <v>464</v>
      </c>
      <c r="F88" s="176">
        <v>43164</v>
      </c>
      <c r="G88" s="176">
        <v>43172</v>
      </c>
      <c r="H88" s="174" t="s">
        <v>819</v>
      </c>
      <c r="I88" s="175" t="e">
        <f>VLOOKUP($H88,Mapping!$A:$A,1,0)</f>
        <v>#N/A</v>
      </c>
      <c r="J88" s="179" t="s">
        <v>486</v>
      </c>
      <c r="K88" s="174" t="s">
        <v>825</v>
      </c>
      <c r="L88" s="178">
        <v>50000000</v>
      </c>
      <c r="M88" s="178">
        <v>99.9765625</v>
      </c>
      <c r="N88" s="178">
        <v>3.4885400943999998</v>
      </c>
      <c r="O88" s="178">
        <v>-49988281.249999993</v>
      </c>
      <c r="P88" s="174" t="s">
        <v>337</v>
      </c>
      <c r="Q88" s="174" t="s">
        <v>826</v>
      </c>
      <c r="R88" s="174" t="s">
        <v>22</v>
      </c>
      <c r="S88" s="174" t="s">
        <v>129</v>
      </c>
      <c r="T88" s="175" t="str">
        <f>VLOOKUP($S88,Mapping!$C:$C,1,0)</f>
        <v>Omgeo</v>
      </c>
      <c r="U88" s="174" t="s">
        <v>827</v>
      </c>
      <c r="V88" s="174" t="s">
        <v>132</v>
      </c>
      <c r="W88" s="175"/>
      <c r="X88" s="175"/>
      <c r="Y88" s="174" t="s">
        <v>651</v>
      </c>
      <c r="Z88" s="174" t="s">
        <v>470</v>
      </c>
      <c r="AA88" s="174" t="s">
        <v>22</v>
      </c>
      <c r="AB88" s="174"/>
      <c r="AC88" s="175"/>
      <c r="AD88" s="174"/>
      <c r="AE88" s="176">
        <v>43164.398611111108</v>
      </c>
      <c r="AF88" s="174" t="s">
        <v>827</v>
      </c>
      <c r="AG88" s="176">
        <v>43164.394965277781</v>
      </c>
      <c r="AH88" s="176">
        <v>43164.615868055553</v>
      </c>
      <c r="AI88" s="175"/>
      <c r="AJ88" s="175"/>
      <c r="AK88" s="178">
        <v>1</v>
      </c>
    </row>
    <row r="89" spans="1:37" ht="15.95" customHeight="1" x14ac:dyDescent="0.25">
      <c r="A89" s="174" t="s">
        <v>461</v>
      </c>
      <c r="B89" s="174" t="s">
        <v>828</v>
      </c>
      <c r="C89" s="175"/>
      <c r="D89" s="174" t="s">
        <v>463</v>
      </c>
      <c r="E89" s="174" t="s">
        <v>464</v>
      </c>
      <c r="F89" s="176">
        <v>43164</v>
      </c>
      <c r="G89" s="176">
        <v>43165</v>
      </c>
      <c r="H89" s="174" t="s">
        <v>829</v>
      </c>
      <c r="I89" s="175" t="e">
        <f>VLOOKUP($H89,Mapping!$A:$A,1,0)</f>
        <v>#N/A</v>
      </c>
      <c r="J89" s="177" t="s">
        <v>466</v>
      </c>
      <c r="K89" s="174" t="s">
        <v>475</v>
      </c>
      <c r="L89" s="178">
        <v>35000000</v>
      </c>
      <c r="M89" s="178">
        <v>99.3046875</v>
      </c>
      <c r="N89" s="178">
        <v>2.8305851257999999</v>
      </c>
      <c r="O89" s="178">
        <v>34807158.580801107</v>
      </c>
      <c r="P89" s="174" t="s">
        <v>337</v>
      </c>
      <c r="Q89" s="174" t="s">
        <v>476</v>
      </c>
      <c r="R89" s="174" t="s">
        <v>23</v>
      </c>
      <c r="S89" s="174" t="s">
        <v>129</v>
      </c>
      <c r="T89" s="175" t="str">
        <f>VLOOKUP($S89,Mapping!$C:$C,1,0)</f>
        <v>Omgeo</v>
      </c>
      <c r="U89" s="175"/>
      <c r="V89" s="175"/>
      <c r="W89" s="175"/>
      <c r="X89" s="175"/>
      <c r="Y89" s="174" t="s">
        <v>469</v>
      </c>
      <c r="Z89" s="174" t="s">
        <v>470</v>
      </c>
      <c r="AA89" s="174" t="s">
        <v>24</v>
      </c>
      <c r="AB89" s="174"/>
      <c r="AC89" s="174" t="s">
        <v>830</v>
      </c>
      <c r="AD89" s="174" t="s">
        <v>483</v>
      </c>
      <c r="AE89" s="176">
        <v>43164.415682870371</v>
      </c>
      <c r="AF89" s="175"/>
      <c r="AG89" s="176">
        <v>43164.55128472222</v>
      </c>
      <c r="AH89" s="176">
        <v>43164.55128472222</v>
      </c>
      <c r="AI89" s="174" t="s">
        <v>473</v>
      </c>
      <c r="AJ89" s="175"/>
      <c r="AK89" s="178">
        <v>1</v>
      </c>
    </row>
    <row r="90" spans="1:37" ht="15.95" customHeight="1" x14ac:dyDescent="0.25">
      <c r="A90" s="174" t="s">
        <v>461</v>
      </c>
      <c r="B90" s="174" t="s">
        <v>831</v>
      </c>
      <c r="C90" s="175"/>
      <c r="D90" s="174" t="s">
        <v>478</v>
      </c>
      <c r="E90" s="174" t="s">
        <v>582</v>
      </c>
      <c r="F90" s="176">
        <v>43164</v>
      </c>
      <c r="G90" s="176">
        <v>43165</v>
      </c>
      <c r="H90" s="174" t="s">
        <v>829</v>
      </c>
      <c r="I90" s="175" t="e">
        <f>VLOOKUP($H90,Mapping!$A:$A,1,0)</f>
        <v>#N/A</v>
      </c>
      <c r="J90" s="177" t="s">
        <v>466</v>
      </c>
      <c r="K90" s="174" t="s">
        <v>644</v>
      </c>
      <c r="L90" s="178">
        <v>4550000</v>
      </c>
      <c r="M90" s="178">
        <v>96.8125</v>
      </c>
      <c r="N90" s="178">
        <v>3.1654627520999998</v>
      </c>
      <c r="O90" s="178">
        <v>4412133.1146408804</v>
      </c>
      <c r="P90" s="174" t="s">
        <v>337</v>
      </c>
      <c r="Q90" s="174" t="s">
        <v>645</v>
      </c>
      <c r="R90" s="174" t="s">
        <v>23</v>
      </c>
      <c r="S90" s="174" t="s">
        <v>129</v>
      </c>
      <c r="T90" s="175" t="str">
        <f>VLOOKUP($S90,Mapping!$C:$C,1,0)</f>
        <v>Omgeo</v>
      </c>
      <c r="U90" s="175"/>
      <c r="V90" s="175"/>
      <c r="W90" s="175"/>
      <c r="X90" s="175"/>
      <c r="Y90" s="174" t="s">
        <v>469</v>
      </c>
      <c r="Z90" s="174" t="s">
        <v>586</v>
      </c>
      <c r="AA90" s="174" t="s">
        <v>24</v>
      </c>
      <c r="AB90" s="174"/>
      <c r="AC90" s="174" t="s">
        <v>832</v>
      </c>
      <c r="AD90" s="174" t="s">
        <v>483</v>
      </c>
      <c r="AE90" s="176">
        <v>43164.584733796299</v>
      </c>
      <c r="AF90" s="175"/>
      <c r="AG90" s="176">
        <v>43164.621701388889</v>
      </c>
      <c r="AH90" s="176">
        <v>43164.621701388889</v>
      </c>
      <c r="AI90" s="175"/>
      <c r="AJ90" s="175"/>
      <c r="AK90" s="178">
        <v>1</v>
      </c>
    </row>
    <row r="91" spans="1:37" ht="15.95" customHeight="1" x14ac:dyDescent="0.25">
      <c r="A91" s="174" t="s">
        <v>461</v>
      </c>
      <c r="B91" s="174" t="s">
        <v>833</v>
      </c>
      <c r="C91" s="175"/>
      <c r="D91" s="174" t="s">
        <v>478</v>
      </c>
      <c r="E91" s="174" t="s">
        <v>590</v>
      </c>
      <c r="F91" s="176">
        <v>43164</v>
      </c>
      <c r="G91" s="176">
        <v>43165</v>
      </c>
      <c r="H91" s="174" t="s">
        <v>834</v>
      </c>
      <c r="I91" s="175" t="e">
        <f>VLOOKUP($H91,Mapping!$A:$A,1,0)</f>
        <v>#N/A</v>
      </c>
      <c r="J91" s="177" t="s">
        <v>466</v>
      </c>
      <c r="K91" s="174" t="s">
        <v>467</v>
      </c>
      <c r="L91" s="178">
        <v>5000000</v>
      </c>
      <c r="M91" s="178">
        <v>100.1328125</v>
      </c>
      <c r="N91" s="178">
        <v>2.5963595651000002</v>
      </c>
      <c r="O91" s="178">
        <v>5008780.5706521701</v>
      </c>
      <c r="P91" s="174" t="s">
        <v>337</v>
      </c>
      <c r="Q91" s="174" t="s">
        <v>468</v>
      </c>
      <c r="R91" s="174" t="s">
        <v>22</v>
      </c>
      <c r="S91" s="174" t="s">
        <v>129</v>
      </c>
      <c r="T91" s="175" t="str">
        <f>VLOOKUP($S91,Mapping!$C:$C,1,0)</f>
        <v>Omgeo</v>
      </c>
      <c r="U91" s="174" t="s">
        <v>835</v>
      </c>
      <c r="V91" s="174" t="s">
        <v>132</v>
      </c>
      <c r="W91" s="175"/>
      <c r="X91" s="175"/>
      <c r="Y91" s="174" t="s">
        <v>469</v>
      </c>
      <c r="Z91" s="174" t="s">
        <v>594</v>
      </c>
      <c r="AA91" s="174" t="s">
        <v>22</v>
      </c>
      <c r="AB91" s="174"/>
      <c r="AC91" s="175"/>
      <c r="AD91" s="174" t="s">
        <v>706</v>
      </c>
      <c r="AE91" s="176">
        <v>43164.409270833334</v>
      </c>
      <c r="AF91" s="174" t="s">
        <v>835</v>
      </c>
      <c r="AG91" s="176">
        <v>43164.402465277781</v>
      </c>
      <c r="AH91" s="176">
        <v>43164.402557870373</v>
      </c>
      <c r="AI91" s="175"/>
      <c r="AJ91" s="175"/>
      <c r="AK91" s="178">
        <v>1</v>
      </c>
    </row>
    <row r="92" spans="1:37" ht="15.95" customHeight="1" x14ac:dyDescent="0.25">
      <c r="A92" s="174" t="s">
        <v>461</v>
      </c>
      <c r="B92" s="174" t="s">
        <v>836</v>
      </c>
      <c r="C92" s="175"/>
      <c r="D92" s="174" t="s">
        <v>566</v>
      </c>
      <c r="E92" s="174" t="s">
        <v>837</v>
      </c>
      <c r="F92" s="176">
        <v>43164</v>
      </c>
      <c r="G92" s="176">
        <v>43167</v>
      </c>
      <c r="H92" s="174" t="s">
        <v>834</v>
      </c>
      <c r="I92" s="175" t="e">
        <f>VLOOKUP($H92,Mapping!$A:$A,1,0)</f>
        <v>#N/A</v>
      </c>
      <c r="J92" s="179" t="s">
        <v>486</v>
      </c>
      <c r="K92" s="174" t="s">
        <v>838</v>
      </c>
      <c r="L92" s="178">
        <v>100000000</v>
      </c>
      <c r="M92" s="178">
        <v>74.589330000000004</v>
      </c>
      <c r="N92" s="178">
        <v>9.1699998909999998</v>
      </c>
      <c r="O92" s="178">
        <v>-74731800</v>
      </c>
      <c r="P92" s="174" t="s">
        <v>839</v>
      </c>
      <c r="Q92" s="174" t="s">
        <v>840</v>
      </c>
      <c r="R92" s="174" t="s">
        <v>22</v>
      </c>
      <c r="S92" s="174" t="s">
        <v>129</v>
      </c>
      <c r="T92" s="175" t="str">
        <f>VLOOKUP($S92,Mapping!$C:$C,1,0)</f>
        <v>Omgeo</v>
      </c>
      <c r="U92" s="174" t="s">
        <v>841</v>
      </c>
      <c r="V92" s="174" t="s">
        <v>132</v>
      </c>
      <c r="W92" s="175"/>
      <c r="X92" s="175"/>
      <c r="Y92" s="174" t="s">
        <v>842</v>
      </c>
      <c r="Z92" s="174" t="s">
        <v>843</v>
      </c>
      <c r="AA92" s="174" t="s">
        <v>22</v>
      </c>
      <c r="AB92" s="174"/>
      <c r="AC92" s="175"/>
      <c r="AD92" s="174" t="s">
        <v>844</v>
      </c>
      <c r="AE92" s="176">
        <v>43164.422326388885</v>
      </c>
      <c r="AF92" s="174" t="s">
        <v>841</v>
      </c>
      <c r="AG92" s="176">
        <v>43164.417199074072</v>
      </c>
      <c r="AH92" s="176">
        <v>43164.417199074072</v>
      </c>
      <c r="AI92" s="175"/>
      <c r="AJ92" s="175"/>
      <c r="AK92" s="178">
        <v>1</v>
      </c>
    </row>
    <row r="93" spans="1:37" ht="15.95" customHeight="1" x14ac:dyDescent="0.25">
      <c r="A93" s="174" t="s">
        <v>484</v>
      </c>
      <c r="B93" s="174" t="s">
        <v>845</v>
      </c>
      <c r="C93" s="175"/>
      <c r="D93" s="174" t="s">
        <v>478</v>
      </c>
      <c r="E93" s="174" t="s">
        <v>846</v>
      </c>
      <c r="F93" s="176">
        <v>43164</v>
      </c>
      <c r="G93" s="176">
        <v>43166</v>
      </c>
      <c r="H93" s="174" t="s">
        <v>834</v>
      </c>
      <c r="I93" s="175" t="e">
        <f>VLOOKUP($H93,Mapping!$A:$A,1,0)</f>
        <v>#N/A</v>
      </c>
      <c r="J93" s="179" t="s">
        <v>486</v>
      </c>
      <c r="K93" s="174" t="s">
        <v>847</v>
      </c>
      <c r="L93" s="178">
        <v>5000000</v>
      </c>
      <c r="M93" s="178">
        <v>98.671000000000006</v>
      </c>
      <c r="N93" s="178">
        <v>4.4978034189000002</v>
      </c>
      <c r="O93" s="178">
        <v>-4937195.8333333302</v>
      </c>
      <c r="P93" s="174" t="s">
        <v>337</v>
      </c>
      <c r="Q93" s="174" t="s">
        <v>848</v>
      </c>
      <c r="R93" s="174" t="s">
        <v>22</v>
      </c>
      <c r="S93" s="174" t="s">
        <v>129</v>
      </c>
      <c r="T93" s="175" t="str">
        <f>VLOOKUP($S93,Mapping!$C:$C,1,0)</f>
        <v>Omgeo</v>
      </c>
      <c r="U93" s="174" t="s">
        <v>849</v>
      </c>
      <c r="V93" s="174" t="s">
        <v>132</v>
      </c>
      <c r="W93" s="175"/>
      <c r="X93" s="175"/>
      <c r="Y93" s="174" t="s">
        <v>850</v>
      </c>
      <c r="Z93" s="174" t="s">
        <v>851</v>
      </c>
      <c r="AA93" s="174" t="s">
        <v>22</v>
      </c>
      <c r="AB93" s="174"/>
      <c r="AC93" s="175"/>
      <c r="AD93" s="174" t="s">
        <v>742</v>
      </c>
      <c r="AE93" s="176">
        <v>43164.474050925928</v>
      </c>
      <c r="AF93" s="174" t="s">
        <v>849</v>
      </c>
      <c r="AG93" s="176">
        <v>43164.48578703704</v>
      </c>
      <c r="AH93" s="176">
        <v>43164.48578703704</v>
      </c>
      <c r="AI93" s="175"/>
      <c r="AJ93" s="175"/>
      <c r="AK93" s="178">
        <v>1</v>
      </c>
    </row>
    <row r="94" spans="1:37" ht="15.95" customHeight="1" x14ac:dyDescent="0.25">
      <c r="A94" s="174" t="s">
        <v>484</v>
      </c>
      <c r="B94" s="174" t="s">
        <v>852</v>
      </c>
      <c r="C94" s="175"/>
      <c r="D94" s="174" t="s">
        <v>853</v>
      </c>
      <c r="E94" s="174" t="s">
        <v>846</v>
      </c>
      <c r="F94" s="176">
        <v>43164</v>
      </c>
      <c r="G94" s="176">
        <v>43166</v>
      </c>
      <c r="H94" s="174" t="s">
        <v>834</v>
      </c>
      <c r="I94" s="175" t="e">
        <f>VLOOKUP($H94,Mapping!$A:$A,1,0)</f>
        <v>#N/A</v>
      </c>
      <c r="J94" s="179" t="s">
        <v>486</v>
      </c>
      <c r="K94" s="174" t="s">
        <v>854</v>
      </c>
      <c r="L94" s="178">
        <v>5000000</v>
      </c>
      <c r="M94" s="178">
        <v>94.61</v>
      </c>
      <c r="N94" s="178">
        <v>4.5599447448000001</v>
      </c>
      <c r="O94" s="178">
        <v>-4760100.6944444394</v>
      </c>
      <c r="P94" s="174" t="s">
        <v>337</v>
      </c>
      <c r="Q94" s="174" t="s">
        <v>855</v>
      </c>
      <c r="R94" s="174" t="s">
        <v>22</v>
      </c>
      <c r="S94" s="174" t="s">
        <v>129</v>
      </c>
      <c r="T94" s="175" t="str">
        <f>VLOOKUP($S94,Mapping!$C:$C,1,0)</f>
        <v>Omgeo</v>
      </c>
      <c r="U94" s="174" t="s">
        <v>856</v>
      </c>
      <c r="V94" s="174" t="s">
        <v>132</v>
      </c>
      <c r="W94" s="175"/>
      <c r="X94" s="175"/>
      <c r="Y94" s="174" t="s">
        <v>570</v>
      </c>
      <c r="Z94" s="174" t="s">
        <v>857</v>
      </c>
      <c r="AA94" s="174" t="s">
        <v>22</v>
      </c>
      <c r="AB94" s="174"/>
      <c r="AC94" s="175"/>
      <c r="AD94" s="174" t="s">
        <v>742</v>
      </c>
      <c r="AE94" s="176">
        <v>43164.597800925927</v>
      </c>
      <c r="AF94" s="174" t="s">
        <v>856</v>
      </c>
      <c r="AG94" s="176">
        <v>43164.593668981484</v>
      </c>
      <c r="AH94" s="176">
        <v>43164.593668981484</v>
      </c>
      <c r="AI94" s="175"/>
      <c r="AJ94" s="175"/>
      <c r="AK94" s="178">
        <v>1</v>
      </c>
    </row>
    <row r="95" spans="1:37" ht="15.95" customHeight="1" x14ac:dyDescent="0.25">
      <c r="A95" s="174" t="s">
        <v>484</v>
      </c>
      <c r="B95" s="174" t="s">
        <v>858</v>
      </c>
      <c r="C95" s="175"/>
      <c r="D95" s="174" t="s">
        <v>478</v>
      </c>
      <c r="E95" s="174" t="s">
        <v>600</v>
      </c>
      <c r="F95" s="176">
        <v>43164</v>
      </c>
      <c r="G95" s="176">
        <v>43166</v>
      </c>
      <c r="H95" s="174" t="s">
        <v>834</v>
      </c>
      <c r="I95" s="175" t="e">
        <f>VLOOKUP($H95,Mapping!$A:$A,1,0)</f>
        <v>#N/A</v>
      </c>
      <c r="J95" s="179" t="s">
        <v>486</v>
      </c>
      <c r="K95" s="174" t="s">
        <v>859</v>
      </c>
      <c r="L95" s="178">
        <v>10000000</v>
      </c>
      <c r="M95" s="178">
        <v>97.453000000000003</v>
      </c>
      <c r="N95" s="178">
        <v>4.1142009692999997</v>
      </c>
      <c r="O95" s="178">
        <v>-9791915.5555555616</v>
      </c>
      <c r="P95" s="174" t="s">
        <v>337</v>
      </c>
      <c r="Q95" s="174" t="s">
        <v>860</v>
      </c>
      <c r="R95" s="174" t="s">
        <v>22</v>
      </c>
      <c r="S95" s="174" t="s">
        <v>129</v>
      </c>
      <c r="T95" s="175" t="str">
        <f>VLOOKUP($S95,Mapping!$C:$C,1,0)</f>
        <v>Omgeo</v>
      </c>
      <c r="U95" s="174" t="s">
        <v>861</v>
      </c>
      <c r="V95" s="174" t="s">
        <v>132</v>
      </c>
      <c r="W95" s="175"/>
      <c r="X95" s="175"/>
      <c r="Y95" s="174" t="s">
        <v>489</v>
      </c>
      <c r="Z95" s="174" t="s">
        <v>604</v>
      </c>
      <c r="AA95" s="174" t="s">
        <v>22</v>
      </c>
      <c r="AB95" s="174"/>
      <c r="AC95" s="175"/>
      <c r="AD95" s="174" t="s">
        <v>472</v>
      </c>
      <c r="AE95" s="176">
        <v>43165.347256944442</v>
      </c>
      <c r="AF95" s="174" t="s">
        <v>861</v>
      </c>
      <c r="AG95" s="176">
        <v>43165.340243055558</v>
      </c>
      <c r="AH95" s="176">
        <v>43165.340300925927</v>
      </c>
      <c r="AI95" s="175"/>
      <c r="AJ95" s="175"/>
      <c r="AK95" s="178">
        <v>1</v>
      </c>
    </row>
    <row r="96" spans="1:37" ht="15.95" customHeight="1" x14ac:dyDescent="0.25">
      <c r="A96" s="174" t="s">
        <v>461</v>
      </c>
      <c r="B96" s="174" t="s">
        <v>862</v>
      </c>
      <c r="C96" s="175"/>
      <c r="D96" s="174" t="s">
        <v>478</v>
      </c>
      <c r="E96" s="174" t="s">
        <v>846</v>
      </c>
      <c r="F96" s="176">
        <v>43164</v>
      </c>
      <c r="G96" s="176">
        <v>43165</v>
      </c>
      <c r="H96" s="174" t="s">
        <v>834</v>
      </c>
      <c r="I96" s="175" t="e">
        <f>VLOOKUP($H96,Mapping!$A:$A,1,0)</f>
        <v>#N/A</v>
      </c>
      <c r="J96" s="177" t="s">
        <v>466</v>
      </c>
      <c r="K96" s="174" t="s">
        <v>475</v>
      </c>
      <c r="L96" s="178">
        <v>4460000</v>
      </c>
      <c r="M96" s="178">
        <v>98.796875</v>
      </c>
      <c r="N96" s="178">
        <v>2.8899219395000002</v>
      </c>
      <c r="O96" s="178">
        <v>4412778.0559392301</v>
      </c>
      <c r="P96" s="174" t="s">
        <v>337</v>
      </c>
      <c r="Q96" s="174" t="s">
        <v>476</v>
      </c>
      <c r="R96" s="174" t="s">
        <v>23</v>
      </c>
      <c r="S96" s="174" t="s">
        <v>129</v>
      </c>
      <c r="T96" s="175" t="str">
        <f>VLOOKUP($S96,Mapping!$C:$C,1,0)</f>
        <v>Omgeo</v>
      </c>
      <c r="U96" s="175"/>
      <c r="V96" s="175"/>
      <c r="W96" s="175"/>
      <c r="X96" s="175"/>
      <c r="Y96" s="174" t="s">
        <v>469</v>
      </c>
      <c r="Z96" s="174" t="s">
        <v>851</v>
      </c>
      <c r="AA96" s="174" t="s">
        <v>24</v>
      </c>
      <c r="AB96" s="174"/>
      <c r="AC96" s="174" t="s">
        <v>863</v>
      </c>
      <c r="AD96" s="174" t="s">
        <v>472</v>
      </c>
      <c r="AE96" s="176">
        <v>43164.597800925927</v>
      </c>
      <c r="AF96" s="175"/>
      <c r="AG96" s="176">
        <v>43165.387129629627</v>
      </c>
      <c r="AH96" s="176">
        <v>43165.387129629627</v>
      </c>
      <c r="AI96" s="175"/>
      <c r="AJ96" s="175"/>
      <c r="AK96" s="178">
        <v>1</v>
      </c>
    </row>
    <row r="97" spans="1:37" ht="15.95" customHeight="1" x14ac:dyDescent="0.25">
      <c r="A97" s="174" t="s">
        <v>461</v>
      </c>
      <c r="B97" s="174" t="s">
        <v>864</v>
      </c>
      <c r="C97" s="175"/>
      <c r="D97" s="174" t="s">
        <v>478</v>
      </c>
      <c r="E97" s="174" t="s">
        <v>600</v>
      </c>
      <c r="F97" s="176">
        <v>43164</v>
      </c>
      <c r="G97" s="176">
        <v>43165</v>
      </c>
      <c r="H97" s="174" t="s">
        <v>834</v>
      </c>
      <c r="I97" s="175" t="e">
        <f>VLOOKUP($H97,Mapping!$A:$A,1,0)</f>
        <v>#N/A</v>
      </c>
      <c r="J97" s="177" t="s">
        <v>466</v>
      </c>
      <c r="K97" s="174" t="s">
        <v>475</v>
      </c>
      <c r="L97" s="178">
        <v>9490000</v>
      </c>
      <c r="M97" s="178">
        <v>98.78125</v>
      </c>
      <c r="N97" s="178">
        <v>2.8917532010999998</v>
      </c>
      <c r="O97" s="178">
        <v>9388038.2078729291</v>
      </c>
      <c r="P97" s="174" t="s">
        <v>337</v>
      </c>
      <c r="Q97" s="174" t="s">
        <v>476</v>
      </c>
      <c r="R97" s="174" t="s">
        <v>23</v>
      </c>
      <c r="S97" s="174" t="s">
        <v>129</v>
      </c>
      <c r="T97" s="175" t="str">
        <f>VLOOKUP($S97,Mapping!$C:$C,1,0)</f>
        <v>Omgeo</v>
      </c>
      <c r="U97" s="175"/>
      <c r="V97" s="175"/>
      <c r="W97" s="175"/>
      <c r="X97" s="175"/>
      <c r="Y97" s="174" t="s">
        <v>469</v>
      </c>
      <c r="Z97" s="174" t="s">
        <v>604</v>
      </c>
      <c r="AA97" s="174" t="s">
        <v>24</v>
      </c>
      <c r="AB97" s="174"/>
      <c r="AC97" s="174" t="s">
        <v>863</v>
      </c>
      <c r="AD97" s="174" t="s">
        <v>472</v>
      </c>
      <c r="AE97" s="176">
        <v>43164.577835648146</v>
      </c>
      <c r="AF97" s="175"/>
      <c r="AG97" s="176">
        <v>43165.387129629627</v>
      </c>
      <c r="AH97" s="176">
        <v>43165.387129629627</v>
      </c>
      <c r="AI97" s="175"/>
      <c r="AJ97" s="175"/>
      <c r="AK97" s="178">
        <v>1</v>
      </c>
    </row>
    <row r="98" spans="1:37" ht="15.95" customHeight="1" x14ac:dyDescent="0.25">
      <c r="A98" s="174" t="s">
        <v>461</v>
      </c>
      <c r="B98" s="174" t="s">
        <v>865</v>
      </c>
      <c r="C98" s="175"/>
      <c r="D98" s="174" t="s">
        <v>478</v>
      </c>
      <c r="E98" s="174" t="s">
        <v>846</v>
      </c>
      <c r="F98" s="176">
        <v>43164</v>
      </c>
      <c r="G98" s="176">
        <v>43165</v>
      </c>
      <c r="H98" s="174" t="s">
        <v>834</v>
      </c>
      <c r="I98" s="175" t="e">
        <f>VLOOKUP($H98,Mapping!$A:$A,1,0)</f>
        <v>#N/A</v>
      </c>
      <c r="J98" s="177" t="s">
        <v>466</v>
      </c>
      <c r="K98" s="174" t="s">
        <v>475</v>
      </c>
      <c r="L98" s="178">
        <v>4610000</v>
      </c>
      <c r="M98" s="178">
        <v>99.03125</v>
      </c>
      <c r="N98" s="178">
        <v>2.8624925948</v>
      </c>
      <c r="O98" s="178">
        <v>4571994.5614640899</v>
      </c>
      <c r="P98" s="174" t="s">
        <v>337</v>
      </c>
      <c r="Q98" s="174" t="s">
        <v>476</v>
      </c>
      <c r="R98" s="174" t="s">
        <v>23</v>
      </c>
      <c r="S98" s="174" t="s">
        <v>129</v>
      </c>
      <c r="T98" s="175" t="str">
        <f>VLOOKUP($S98,Mapping!$C:$C,1,0)</f>
        <v>Omgeo</v>
      </c>
      <c r="U98" s="175"/>
      <c r="V98" s="175"/>
      <c r="W98" s="175"/>
      <c r="X98" s="175"/>
      <c r="Y98" s="174" t="s">
        <v>469</v>
      </c>
      <c r="Z98" s="174" t="s">
        <v>851</v>
      </c>
      <c r="AA98" s="174" t="s">
        <v>24</v>
      </c>
      <c r="AB98" s="174"/>
      <c r="AC98" s="174" t="s">
        <v>863</v>
      </c>
      <c r="AD98" s="174" t="s">
        <v>472</v>
      </c>
      <c r="AE98" s="176">
        <v>43164.474050925928</v>
      </c>
      <c r="AF98" s="175"/>
      <c r="AG98" s="176">
        <v>43165.387141203704</v>
      </c>
      <c r="AH98" s="176">
        <v>43165.387141203704</v>
      </c>
      <c r="AI98" s="175"/>
      <c r="AJ98" s="175"/>
      <c r="AK98" s="178">
        <v>1</v>
      </c>
    </row>
    <row r="99" spans="1:37" ht="15.95" customHeight="1" x14ac:dyDescent="0.25">
      <c r="A99" s="174" t="s">
        <v>461</v>
      </c>
      <c r="B99" s="174" t="s">
        <v>866</v>
      </c>
      <c r="C99" s="175"/>
      <c r="D99" s="174" t="s">
        <v>463</v>
      </c>
      <c r="E99" s="174" t="s">
        <v>516</v>
      </c>
      <c r="F99" s="176">
        <v>43164</v>
      </c>
      <c r="G99" s="176">
        <v>43165</v>
      </c>
      <c r="H99" s="174" t="s">
        <v>26</v>
      </c>
      <c r="I99" s="175" t="str">
        <f>VLOOKUP($H99,Mapping!$A:$A,1,0)</f>
        <v>BROKERTEC ACTIVE</v>
      </c>
      <c r="J99" s="177" t="s">
        <v>466</v>
      </c>
      <c r="K99" s="174" t="s">
        <v>475</v>
      </c>
      <c r="L99" s="178">
        <v>1000000</v>
      </c>
      <c r="M99" s="178">
        <v>99.3125</v>
      </c>
      <c r="N99" s="178">
        <v>2.8296749566999999</v>
      </c>
      <c r="O99" s="178">
        <v>994563.37016575004</v>
      </c>
      <c r="P99" s="174" t="s">
        <v>337</v>
      </c>
      <c r="Q99" s="174" t="s">
        <v>476</v>
      </c>
      <c r="R99" s="174" t="s">
        <v>24</v>
      </c>
      <c r="S99" s="174" t="s">
        <v>533</v>
      </c>
      <c r="T99" s="175" t="e">
        <f>VLOOKUP($S99,Mapping!$C:$C,1,0)</f>
        <v>#N/A</v>
      </c>
      <c r="U99" s="175"/>
      <c r="V99" s="175"/>
      <c r="W99" s="175"/>
      <c r="X99" s="175"/>
      <c r="Y99" s="174" t="s">
        <v>469</v>
      </c>
      <c r="Z99" s="174" t="s">
        <v>518</v>
      </c>
      <c r="AA99" s="174" t="s">
        <v>22</v>
      </c>
      <c r="AB99" s="174"/>
      <c r="AC99" s="175"/>
      <c r="AD99" s="174" t="s">
        <v>512</v>
      </c>
      <c r="AE99" s="175"/>
      <c r="AF99" s="175"/>
      <c r="AG99" s="176">
        <v>43164.382303240738</v>
      </c>
      <c r="AH99" s="176">
        <v>43164.382372685184</v>
      </c>
      <c r="AI99" s="174" t="s">
        <v>473</v>
      </c>
      <c r="AJ99" s="175"/>
      <c r="AK99" s="178">
        <v>1</v>
      </c>
    </row>
    <row r="100" spans="1:37" ht="15.95" customHeight="1" x14ac:dyDescent="0.25">
      <c r="A100" s="174" t="s">
        <v>461</v>
      </c>
      <c r="B100" s="174" t="s">
        <v>867</v>
      </c>
      <c r="C100" s="175"/>
      <c r="D100" s="174" t="s">
        <v>463</v>
      </c>
      <c r="E100" s="174" t="s">
        <v>516</v>
      </c>
      <c r="F100" s="176">
        <v>43164</v>
      </c>
      <c r="G100" s="176">
        <v>43165</v>
      </c>
      <c r="H100" s="174" t="s">
        <v>26</v>
      </c>
      <c r="I100" s="175" t="str">
        <f>VLOOKUP($H100,Mapping!$A:$A,1,0)</f>
        <v>BROKERTEC ACTIVE</v>
      </c>
      <c r="J100" s="177" t="s">
        <v>466</v>
      </c>
      <c r="K100" s="174" t="s">
        <v>467</v>
      </c>
      <c r="L100" s="178">
        <v>8000000</v>
      </c>
      <c r="M100" s="178">
        <v>99.9296875</v>
      </c>
      <c r="N100" s="178">
        <v>2.6400914183999999</v>
      </c>
      <c r="O100" s="178">
        <v>7997758.9130434794</v>
      </c>
      <c r="P100" s="174" t="s">
        <v>337</v>
      </c>
      <c r="Q100" s="174" t="s">
        <v>468</v>
      </c>
      <c r="R100" s="174" t="s">
        <v>24</v>
      </c>
      <c r="S100" s="174" t="s">
        <v>533</v>
      </c>
      <c r="T100" s="175" t="e">
        <f>VLOOKUP($S100,Mapping!$C:$C,1,0)</f>
        <v>#N/A</v>
      </c>
      <c r="U100" s="175"/>
      <c r="V100" s="175"/>
      <c r="W100" s="175"/>
      <c r="X100" s="175"/>
      <c r="Y100" s="174" t="s">
        <v>469</v>
      </c>
      <c r="Z100" s="174" t="s">
        <v>518</v>
      </c>
      <c r="AA100" s="174" t="s">
        <v>22</v>
      </c>
      <c r="AB100" s="174"/>
      <c r="AC100" s="175"/>
      <c r="AD100" s="174" t="s">
        <v>512</v>
      </c>
      <c r="AE100" s="175"/>
      <c r="AF100" s="175"/>
      <c r="AG100" s="176">
        <v>43164.521643518521</v>
      </c>
      <c r="AH100" s="176">
        <v>43164.52171296296</v>
      </c>
      <c r="AI100" s="174" t="s">
        <v>473</v>
      </c>
      <c r="AJ100" s="175"/>
      <c r="AK100" s="178">
        <v>1</v>
      </c>
    </row>
    <row r="101" spans="1:37" ht="15.95" customHeight="1" x14ac:dyDescent="0.25">
      <c r="A101" s="174" t="s">
        <v>461</v>
      </c>
      <c r="B101" s="174" t="s">
        <v>868</v>
      </c>
      <c r="C101" s="175"/>
      <c r="D101" s="174" t="s">
        <v>463</v>
      </c>
      <c r="E101" s="174" t="s">
        <v>516</v>
      </c>
      <c r="F101" s="176">
        <v>43164</v>
      </c>
      <c r="G101" s="176">
        <v>43165</v>
      </c>
      <c r="H101" s="174" t="s">
        <v>26</v>
      </c>
      <c r="I101" s="175" t="str">
        <f>VLOOKUP($H101,Mapping!$A:$A,1,0)</f>
        <v>BROKERTEC ACTIVE</v>
      </c>
      <c r="J101" s="177" t="s">
        <v>466</v>
      </c>
      <c r="K101" s="174" t="s">
        <v>524</v>
      </c>
      <c r="L101" s="178">
        <v>5000000</v>
      </c>
      <c r="M101" s="178">
        <v>99.5625</v>
      </c>
      <c r="N101" s="178">
        <v>2.4044191537000001</v>
      </c>
      <c r="O101" s="178">
        <v>4984004.6961325994</v>
      </c>
      <c r="P101" s="174" t="s">
        <v>337</v>
      </c>
      <c r="Q101" s="174" t="s">
        <v>525</v>
      </c>
      <c r="R101" s="174" t="s">
        <v>24</v>
      </c>
      <c r="S101" s="174" t="s">
        <v>533</v>
      </c>
      <c r="T101" s="175" t="e">
        <f>VLOOKUP($S101,Mapping!$C:$C,1,0)</f>
        <v>#N/A</v>
      </c>
      <c r="U101" s="175"/>
      <c r="V101" s="175"/>
      <c r="W101" s="175"/>
      <c r="X101" s="175"/>
      <c r="Y101" s="174" t="s">
        <v>469</v>
      </c>
      <c r="Z101" s="174" t="s">
        <v>518</v>
      </c>
      <c r="AA101" s="174" t="s">
        <v>22</v>
      </c>
      <c r="AB101" s="174"/>
      <c r="AC101" s="175"/>
      <c r="AD101" s="174" t="s">
        <v>512</v>
      </c>
      <c r="AE101" s="175"/>
      <c r="AF101" s="175"/>
      <c r="AG101" s="176">
        <v>43164.521886574075</v>
      </c>
      <c r="AH101" s="176">
        <v>43164.521932870368</v>
      </c>
      <c r="AI101" s="174" t="s">
        <v>473</v>
      </c>
      <c r="AJ101" s="175"/>
      <c r="AK101" s="178">
        <v>1</v>
      </c>
    </row>
    <row r="102" spans="1:37" ht="15.95" customHeight="1" x14ac:dyDescent="0.25">
      <c r="A102" s="174" t="s">
        <v>461</v>
      </c>
      <c r="B102" s="174" t="s">
        <v>869</v>
      </c>
      <c r="C102" s="175"/>
      <c r="D102" s="174" t="s">
        <v>463</v>
      </c>
      <c r="E102" s="174" t="s">
        <v>870</v>
      </c>
      <c r="F102" s="176">
        <v>43164</v>
      </c>
      <c r="G102" s="176">
        <v>43165</v>
      </c>
      <c r="H102" s="174" t="s">
        <v>26</v>
      </c>
      <c r="I102" s="175" t="str">
        <f>VLOOKUP($H102,Mapping!$A:$A,1,0)</f>
        <v>BROKERTEC ACTIVE</v>
      </c>
      <c r="J102" s="179" t="s">
        <v>486</v>
      </c>
      <c r="K102" s="174" t="s">
        <v>871</v>
      </c>
      <c r="L102" s="178">
        <v>1000000</v>
      </c>
      <c r="M102" s="178">
        <v>100.0078125</v>
      </c>
      <c r="N102" s="178">
        <v>2.2458486874000001</v>
      </c>
      <c r="O102" s="178">
        <v>-1000449.9728260899</v>
      </c>
      <c r="P102" s="174" t="s">
        <v>337</v>
      </c>
      <c r="Q102" s="174" t="s">
        <v>872</v>
      </c>
      <c r="R102" s="174" t="s">
        <v>24</v>
      </c>
      <c r="S102" s="174" t="s">
        <v>533</v>
      </c>
      <c r="T102" s="175" t="e">
        <f>VLOOKUP($S102,Mapping!$C:$C,1,0)</f>
        <v>#N/A</v>
      </c>
      <c r="U102" s="175"/>
      <c r="V102" s="175"/>
      <c r="W102" s="175"/>
      <c r="X102" s="175"/>
      <c r="Y102" s="174" t="s">
        <v>469</v>
      </c>
      <c r="Z102" s="174" t="s">
        <v>873</v>
      </c>
      <c r="AA102" s="174" t="s">
        <v>22</v>
      </c>
      <c r="AB102" s="174"/>
      <c r="AC102" s="175"/>
      <c r="AD102" s="174" t="s">
        <v>512</v>
      </c>
      <c r="AE102" s="175"/>
      <c r="AF102" s="175"/>
      <c r="AG102" s="176">
        <v>43164.527627314812</v>
      </c>
      <c r="AH102" s="176">
        <v>43164.527685185189</v>
      </c>
      <c r="AI102" s="174" t="s">
        <v>473</v>
      </c>
      <c r="AJ102" s="175"/>
      <c r="AK102" s="178">
        <v>1</v>
      </c>
    </row>
    <row r="103" spans="1:37" ht="15.95" customHeight="1" x14ac:dyDescent="0.25">
      <c r="A103" s="174" t="s">
        <v>461</v>
      </c>
      <c r="B103" s="174" t="s">
        <v>874</v>
      </c>
      <c r="C103" s="175"/>
      <c r="D103" s="174" t="s">
        <v>463</v>
      </c>
      <c r="E103" s="174" t="s">
        <v>806</v>
      </c>
      <c r="F103" s="176">
        <v>43164</v>
      </c>
      <c r="G103" s="176">
        <v>43165</v>
      </c>
      <c r="H103" s="174" t="s">
        <v>26</v>
      </c>
      <c r="I103" s="175" t="str">
        <f>VLOOKUP($H103,Mapping!$A:$A,1,0)</f>
        <v>BROKERTEC ACTIVE</v>
      </c>
      <c r="J103" s="179" t="s">
        <v>486</v>
      </c>
      <c r="K103" s="174" t="s">
        <v>475</v>
      </c>
      <c r="L103" s="178">
        <v>5000000</v>
      </c>
      <c r="M103" s="178">
        <v>98.890625</v>
      </c>
      <c r="N103" s="178">
        <v>2.8789413034</v>
      </c>
      <c r="O103" s="178">
        <v>-4951773.1008287305</v>
      </c>
      <c r="P103" s="174" t="s">
        <v>337</v>
      </c>
      <c r="Q103" s="174" t="s">
        <v>476</v>
      </c>
      <c r="R103" s="174" t="s">
        <v>24</v>
      </c>
      <c r="S103" s="174" t="s">
        <v>533</v>
      </c>
      <c r="T103" s="175" t="e">
        <f>VLOOKUP($S103,Mapping!$C:$C,1,0)</f>
        <v>#N/A</v>
      </c>
      <c r="U103" s="175"/>
      <c r="V103" s="175"/>
      <c r="W103" s="175"/>
      <c r="X103" s="175"/>
      <c r="Y103" s="174" t="s">
        <v>469</v>
      </c>
      <c r="Z103" s="174" t="s">
        <v>809</v>
      </c>
      <c r="AA103" s="174" t="s">
        <v>22</v>
      </c>
      <c r="AB103" s="174"/>
      <c r="AC103" s="175"/>
      <c r="AD103" s="174" t="s">
        <v>512</v>
      </c>
      <c r="AE103" s="175"/>
      <c r="AF103" s="175"/>
      <c r="AG103" s="176">
        <v>43164.673587962963</v>
      </c>
      <c r="AH103" s="176">
        <v>43164.673657407409</v>
      </c>
      <c r="AI103" s="174" t="s">
        <v>473</v>
      </c>
      <c r="AJ103" s="175"/>
      <c r="AK103" s="178">
        <v>1</v>
      </c>
    </row>
    <row r="104" spans="1:37" ht="15.95" customHeight="1" x14ac:dyDescent="0.25">
      <c r="A104" s="174" t="s">
        <v>461</v>
      </c>
      <c r="B104" s="174" t="s">
        <v>875</v>
      </c>
      <c r="C104" s="175"/>
      <c r="D104" s="174" t="s">
        <v>463</v>
      </c>
      <c r="E104" s="174" t="s">
        <v>806</v>
      </c>
      <c r="F104" s="176">
        <v>43164</v>
      </c>
      <c r="G104" s="176">
        <v>43165</v>
      </c>
      <c r="H104" s="174" t="s">
        <v>27</v>
      </c>
      <c r="I104" s="175" t="str">
        <f>VLOOKUP($H104,Mapping!$A:$A,1,0)</f>
        <v>BROKERTEC PASSIVE</v>
      </c>
      <c r="J104" s="179" t="s">
        <v>486</v>
      </c>
      <c r="K104" s="174" t="s">
        <v>644</v>
      </c>
      <c r="L104" s="178">
        <v>3000000</v>
      </c>
      <c r="M104" s="178">
        <v>97.484375</v>
      </c>
      <c r="N104" s="178">
        <v>3.1299862948000001</v>
      </c>
      <c r="O104" s="178">
        <v>-2929270.0069060801</v>
      </c>
      <c r="P104" s="174" t="s">
        <v>337</v>
      </c>
      <c r="Q104" s="174" t="s">
        <v>645</v>
      </c>
      <c r="R104" s="174" t="s">
        <v>24</v>
      </c>
      <c r="S104" s="174" t="s">
        <v>533</v>
      </c>
      <c r="T104" s="175" t="e">
        <f>VLOOKUP($S104,Mapping!$C:$C,1,0)</f>
        <v>#N/A</v>
      </c>
      <c r="U104" s="175"/>
      <c r="V104" s="175"/>
      <c r="W104" s="175"/>
      <c r="X104" s="175"/>
      <c r="Y104" s="174" t="s">
        <v>469</v>
      </c>
      <c r="Z104" s="174" t="s">
        <v>809</v>
      </c>
      <c r="AA104" s="174" t="s">
        <v>22</v>
      </c>
      <c r="AB104" s="174"/>
      <c r="AC104" s="175"/>
      <c r="AD104" s="174" t="s">
        <v>512</v>
      </c>
      <c r="AE104" s="175"/>
      <c r="AF104" s="175"/>
      <c r="AG104" s="176">
        <v>43164.322164351855</v>
      </c>
      <c r="AH104" s="176">
        <v>43164.322222222225</v>
      </c>
      <c r="AI104" s="174" t="s">
        <v>473</v>
      </c>
      <c r="AJ104" s="175"/>
      <c r="AK104" s="178">
        <v>1</v>
      </c>
    </row>
    <row r="105" spans="1:37" ht="15.95" customHeight="1" x14ac:dyDescent="0.25">
      <c r="A105" s="174" t="s">
        <v>461</v>
      </c>
      <c r="B105" s="174" t="s">
        <v>876</v>
      </c>
      <c r="C105" s="175"/>
      <c r="D105" s="174" t="s">
        <v>463</v>
      </c>
      <c r="E105" s="174" t="s">
        <v>806</v>
      </c>
      <c r="F105" s="176">
        <v>43164</v>
      </c>
      <c r="G105" s="176">
        <v>43165</v>
      </c>
      <c r="H105" s="174" t="s">
        <v>27</v>
      </c>
      <c r="I105" s="175" t="str">
        <f>VLOOKUP($H105,Mapping!$A:$A,1,0)</f>
        <v>BROKERTEC PASSIVE</v>
      </c>
      <c r="J105" s="177" t="s">
        <v>466</v>
      </c>
      <c r="K105" s="174" t="s">
        <v>524</v>
      </c>
      <c r="L105" s="178">
        <v>10000000</v>
      </c>
      <c r="M105" s="178">
        <v>99.640625</v>
      </c>
      <c r="N105" s="178">
        <v>2.3767478724000002</v>
      </c>
      <c r="O105" s="178">
        <v>9975821.8922651894</v>
      </c>
      <c r="P105" s="174" t="s">
        <v>337</v>
      </c>
      <c r="Q105" s="174" t="s">
        <v>525</v>
      </c>
      <c r="R105" s="174" t="s">
        <v>24</v>
      </c>
      <c r="S105" s="174" t="s">
        <v>533</v>
      </c>
      <c r="T105" s="175" t="e">
        <f>VLOOKUP($S105,Mapping!$C:$C,1,0)</f>
        <v>#N/A</v>
      </c>
      <c r="U105" s="175"/>
      <c r="V105" s="175"/>
      <c r="W105" s="175"/>
      <c r="X105" s="175"/>
      <c r="Y105" s="174" t="s">
        <v>469</v>
      </c>
      <c r="Z105" s="174" t="s">
        <v>809</v>
      </c>
      <c r="AA105" s="174" t="s">
        <v>22</v>
      </c>
      <c r="AB105" s="174"/>
      <c r="AC105" s="175"/>
      <c r="AD105" s="174" t="s">
        <v>512</v>
      </c>
      <c r="AE105" s="175"/>
      <c r="AF105" s="175"/>
      <c r="AG105" s="176">
        <v>43164.328217592592</v>
      </c>
      <c r="AH105" s="176">
        <v>43164.328275462962</v>
      </c>
      <c r="AI105" s="174" t="s">
        <v>473</v>
      </c>
      <c r="AJ105" s="175"/>
      <c r="AK105" s="178">
        <v>1</v>
      </c>
    </row>
    <row r="106" spans="1:37" ht="15.95" customHeight="1" x14ac:dyDescent="0.25">
      <c r="A106" s="174" t="s">
        <v>461</v>
      </c>
      <c r="B106" s="174" t="s">
        <v>877</v>
      </c>
      <c r="C106" s="175"/>
      <c r="D106" s="174" t="s">
        <v>463</v>
      </c>
      <c r="E106" s="174" t="s">
        <v>806</v>
      </c>
      <c r="F106" s="176">
        <v>43164</v>
      </c>
      <c r="G106" s="176">
        <v>43165</v>
      </c>
      <c r="H106" s="174" t="s">
        <v>27</v>
      </c>
      <c r="I106" s="175" t="str">
        <f>VLOOKUP($H106,Mapping!$A:$A,1,0)</f>
        <v>BROKERTEC PASSIVE</v>
      </c>
      <c r="J106" s="179" t="s">
        <v>486</v>
      </c>
      <c r="K106" s="174" t="s">
        <v>467</v>
      </c>
      <c r="L106" s="178">
        <v>5000000</v>
      </c>
      <c r="M106" s="178">
        <v>100.109375</v>
      </c>
      <c r="N106" s="178">
        <v>2.601400371</v>
      </c>
      <c r="O106" s="178">
        <v>-5007633.6956521701</v>
      </c>
      <c r="P106" s="174" t="s">
        <v>337</v>
      </c>
      <c r="Q106" s="174" t="s">
        <v>468</v>
      </c>
      <c r="R106" s="174" t="s">
        <v>24</v>
      </c>
      <c r="S106" s="174" t="s">
        <v>533</v>
      </c>
      <c r="T106" s="175" t="e">
        <f>VLOOKUP($S106,Mapping!$C:$C,1,0)</f>
        <v>#N/A</v>
      </c>
      <c r="U106" s="175"/>
      <c r="V106" s="175"/>
      <c r="W106" s="175"/>
      <c r="X106" s="175"/>
      <c r="Y106" s="174" t="s">
        <v>469</v>
      </c>
      <c r="Z106" s="174" t="s">
        <v>809</v>
      </c>
      <c r="AA106" s="174" t="s">
        <v>22</v>
      </c>
      <c r="AB106" s="174"/>
      <c r="AC106" s="175"/>
      <c r="AD106" s="174" t="s">
        <v>512</v>
      </c>
      <c r="AE106" s="175"/>
      <c r="AF106" s="175"/>
      <c r="AG106" s="176">
        <v>43164.337604166663</v>
      </c>
      <c r="AH106" s="176">
        <v>43164.337673611109</v>
      </c>
      <c r="AI106" s="174" t="s">
        <v>473</v>
      </c>
      <c r="AJ106" s="175"/>
      <c r="AK106" s="178">
        <v>1</v>
      </c>
    </row>
    <row r="107" spans="1:37" ht="15.95" customHeight="1" x14ac:dyDescent="0.25">
      <c r="A107" s="174" t="s">
        <v>461</v>
      </c>
      <c r="B107" s="174" t="s">
        <v>878</v>
      </c>
      <c r="C107" s="175"/>
      <c r="D107" s="174" t="s">
        <v>463</v>
      </c>
      <c r="E107" s="174" t="s">
        <v>516</v>
      </c>
      <c r="F107" s="176">
        <v>43164</v>
      </c>
      <c r="G107" s="176">
        <v>43165</v>
      </c>
      <c r="H107" s="174" t="s">
        <v>27</v>
      </c>
      <c r="I107" s="175" t="str">
        <f>VLOOKUP($H107,Mapping!$A:$A,1,0)</f>
        <v>BROKERTEC PASSIVE</v>
      </c>
      <c r="J107" s="177" t="s">
        <v>466</v>
      </c>
      <c r="K107" s="174" t="s">
        <v>475</v>
      </c>
      <c r="L107" s="178">
        <v>1000000</v>
      </c>
      <c r="M107" s="178">
        <v>99.296875</v>
      </c>
      <c r="N107" s="178">
        <v>2.8314953765999999</v>
      </c>
      <c r="O107" s="178">
        <v>994407.12016575004</v>
      </c>
      <c r="P107" s="174" t="s">
        <v>337</v>
      </c>
      <c r="Q107" s="174" t="s">
        <v>476</v>
      </c>
      <c r="R107" s="174" t="s">
        <v>24</v>
      </c>
      <c r="S107" s="174" t="s">
        <v>533</v>
      </c>
      <c r="T107" s="175" t="e">
        <f>VLOOKUP($S107,Mapping!$C:$C,1,0)</f>
        <v>#N/A</v>
      </c>
      <c r="U107" s="175"/>
      <c r="V107" s="175"/>
      <c r="W107" s="175"/>
      <c r="X107" s="175"/>
      <c r="Y107" s="174" t="s">
        <v>469</v>
      </c>
      <c r="Z107" s="174" t="s">
        <v>518</v>
      </c>
      <c r="AA107" s="174" t="s">
        <v>22</v>
      </c>
      <c r="AB107" s="174"/>
      <c r="AC107" s="175"/>
      <c r="AD107" s="174" t="s">
        <v>512</v>
      </c>
      <c r="AE107" s="175"/>
      <c r="AF107" s="175"/>
      <c r="AG107" s="176">
        <v>43164.380474537036</v>
      </c>
      <c r="AH107" s="176">
        <v>43164.380520833336</v>
      </c>
      <c r="AI107" s="174" t="s">
        <v>473</v>
      </c>
      <c r="AJ107" s="175"/>
      <c r="AK107" s="178">
        <v>1</v>
      </c>
    </row>
    <row r="108" spans="1:37" ht="15.95" customHeight="1" x14ac:dyDescent="0.25">
      <c r="A108" s="174" t="s">
        <v>461</v>
      </c>
      <c r="B108" s="174" t="s">
        <v>879</v>
      </c>
      <c r="C108" s="175"/>
      <c r="D108" s="174" t="s">
        <v>463</v>
      </c>
      <c r="E108" s="174" t="s">
        <v>516</v>
      </c>
      <c r="F108" s="176">
        <v>43164</v>
      </c>
      <c r="G108" s="176">
        <v>43165</v>
      </c>
      <c r="H108" s="174" t="s">
        <v>27</v>
      </c>
      <c r="I108" s="175" t="str">
        <f>VLOOKUP($H108,Mapping!$A:$A,1,0)</f>
        <v>BROKERTEC PASSIVE</v>
      </c>
      <c r="J108" s="177" t="s">
        <v>466</v>
      </c>
      <c r="K108" s="174" t="s">
        <v>475</v>
      </c>
      <c r="L108" s="178">
        <v>6000000</v>
      </c>
      <c r="M108" s="178">
        <v>99.3125</v>
      </c>
      <c r="N108" s="178">
        <v>2.8296749566999999</v>
      </c>
      <c r="O108" s="178">
        <v>5967380.22099448</v>
      </c>
      <c r="P108" s="174" t="s">
        <v>337</v>
      </c>
      <c r="Q108" s="174" t="s">
        <v>476</v>
      </c>
      <c r="R108" s="174" t="s">
        <v>24</v>
      </c>
      <c r="S108" s="174" t="s">
        <v>533</v>
      </c>
      <c r="T108" s="175" t="e">
        <f>VLOOKUP($S108,Mapping!$C:$C,1,0)</f>
        <v>#N/A</v>
      </c>
      <c r="U108" s="175"/>
      <c r="V108" s="175"/>
      <c r="W108" s="175"/>
      <c r="X108" s="175"/>
      <c r="Y108" s="174" t="s">
        <v>469</v>
      </c>
      <c r="Z108" s="174" t="s">
        <v>518</v>
      </c>
      <c r="AA108" s="174" t="s">
        <v>22</v>
      </c>
      <c r="AB108" s="174"/>
      <c r="AC108" s="175"/>
      <c r="AD108" s="174" t="s">
        <v>512</v>
      </c>
      <c r="AE108" s="175"/>
      <c r="AF108" s="175"/>
      <c r="AG108" s="176">
        <v>43164.382175925923</v>
      </c>
      <c r="AH108" s="176">
        <v>43164.382222222222</v>
      </c>
      <c r="AI108" s="174" t="s">
        <v>473</v>
      </c>
      <c r="AJ108" s="175"/>
      <c r="AK108" s="178">
        <v>1</v>
      </c>
    </row>
    <row r="109" spans="1:37" ht="15.95" customHeight="1" x14ac:dyDescent="0.25">
      <c r="A109" s="174" t="s">
        <v>461</v>
      </c>
      <c r="B109" s="174" t="s">
        <v>880</v>
      </c>
      <c r="C109" s="175"/>
      <c r="D109" s="174" t="s">
        <v>463</v>
      </c>
      <c r="E109" s="174" t="s">
        <v>870</v>
      </c>
      <c r="F109" s="176">
        <v>43164</v>
      </c>
      <c r="G109" s="176">
        <v>43165</v>
      </c>
      <c r="H109" s="174" t="s">
        <v>27</v>
      </c>
      <c r="I109" s="175" t="str">
        <f>VLOOKUP($H109,Mapping!$A:$A,1,0)</f>
        <v>BROKERTEC PASSIVE</v>
      </c>
      <c r="J109" s="179" t="s">
        <v>486</v>
      </c>
      <c r="K109" s="174" t="s">
        <v>871</v>
      </c>
      <c r="L109" s="178">
        <v>1000000</v>
      </c>
      <c r="M109" s="178">
        <v>100.0546875</v>
      </c>
      <c r="N109" s="178">
        <v>2.2215654009999999</v>
      </c>
      <c r="O109" s="178">
        <v>-1000918.7228260899</v>
      </c>
      <c r="P109" s="174" t="s">
        <v>337</v>
      </c>
      <c r="Q109" s="174" t="s">
        <v>872</v>
      </c>
      <c r="R109" s="174" t="s">
        <v>24</v>
      </c>
      <c r="S109" s="174" t="s">
        <v>533</v>
      </c>
      <c r="T109" s="175" t="e">
        <f>VLOOKUP($S109,Mapping!$C:$C,1,0)</f>
        <v>#N/A</v>
      </c>
      <c r="U109" s="175"/>
      <c r="V109" s="175"/>
      <c r="W109" s="175"/>
      <c r="X109" s="175"/>
      <c r="Y109" s="174" t="s">
        <v>469</v>
      </c>
      <c r="Z109" s="174" t="s">
        <v>873</v>
      </c>
      <c r="AA109" s="174" t="s">
        <v>22</v>
      </c>
      <c r="AB109" s="174"/>
      <c r="AC109" s="175"/>
      <c r="AD109" s="174" t="s">
        <v>512</v>
      </c>
      <c r="AE109" s="175"/>
      <c r="AF109" s="175"/>
      <c r="AG109" s="176">
        <v>43164.426423611112</v>
      </c>
      <c r="AH109" s="176">
        <v>43164.426504629628</v>
      </c>
      <c r="AI109" s="174" t="s">
        <v>473</v>
      </c>
      <c r="AJ109" s="175"/>
      <c r="AK109" s="178">
        <v>1</v>
      </c>
    </row>
    <row r="110" spans="1:37" ht="15.95" customHeight="1" x14ac:dyDescent="0.25">
      <c r="A110" s="174" t="s">
        <v>461</v>
      </c>
      <c r="B110" s="174" t="s">
        <v>881</v>
      </c>
      <c r="C110" s="175"/>
      <c r="D110" s="174" t="s">
        <v>463</v>
      </c>
      <c r="E110" s="174" t="s">
        <v>806</v>
      </c>
      <c r="F110" s="176">
        <v>43164</v>
      </c>
      <c r="G110" s="176">
        <v>43165</v>
      </c>
      <c r="H110" s="174" t="s">
        <v>27</v>
      </c>
      <c r="I110" s="175" t="str">
        <f>VLOOKUP($H110,Mapping!$A:$A,1,0)</f>
        <v>BROKERTEC PASSIVE</v>
      </c>
      <c r="J110" s="177" t="s">
        <v>466</v>
      </c>
      <c r="K110" s="174" t="s">
        <v>475</v>
      </c>
      <c r="L110" s="178">
        <v>5000000</v>
      </c>
      <c r="M110" s="178">
        <v>99.15625</v>
      </c>
      <c r="N110" s="178">
        <v>2.8478938714000002</v>
      </c>
      <c r="O110" s="178">
        <v>4965004.3508287305</v>
      </c>
      <c r="P110" s="174" t="s">
        <v>337</v>
      </c>
      <c r="Q110" s="174" t="s">
        <v>476</v>
      </c>
      <c r="R110" s="174" t="s">
        <v>24</v>
      </c>
      <c r="S110" s="174" t="s">
        <v>533</v>
      </c>
      <c r="T110" s="175" t="e">
        <f>VLOOKUP($S110,Mapping!$C:$C,1,0)</f>
        <v>#N/A</v>
      </c>
      <c r="U110" s="175"/>
      <c r="V110" s="175"/>
      <c r="W110" s="175"/>
      <c r="X110" s="175"/>
      <c r="Y110" s="174" t="s">
        <v>469</v>
      </c>
      <c r="Z110" s="174" t="s">
        <v>809</v>
      </c>
      <c r="AA110" s="174" t="s">
        <v>22</v>
      </c>
      <c r="AB110" s="174"/>
      <c r="AC110" s="175"/>
      <c r="AD110" s="174" t="s">
        <v>512</v>
      </c>
      <c r="AE110" s="175"/>
      <c r="AF110" s="175"/>
      <c r="AG110" s="176">
        <v>43164.44767361111</v>
      </c>
      <c r="AH110" s="176">
        <v>43164.44771990741</v>
      </c>
      <c r="AI110" s="174" t="s">
        <v>473</v>
      </c>
      <c r="AJ110" s="175"/>
      <c r="AK110" s="178">
        <v>1</v>
      </c>
    </row>
    <row r="111" spans="1:37" ht="15.95" customHeight="1" x14ac:dyDescent="0.25">
      <c r="A111" s="174" t="s">
        <v>461</v>
      </c>
      <c r="B111" s="174" t="s">
        <v>882</v>
      </c>
      <c r="C111" s="175"/>
      <c r="D111" s="174" t="s">
        <v>463</v>
      </c>
      <c r="E111" s="174" t="s">
        <v>506</v>
      </c>
      <c r="F111" s="176">
        <v>43164</v>
      </c>
      <c r="G111" s="176">
        <v>43165</v>
      </c>
      <c r="H111" s="174" t="s">
        <v>27</v>
      </c>
      <c r="I111" s="175" t="str">
        <f>VLOOKUP($H111,Mapping!$A:$A,1,0)</f>
        <v>BROKERTEC PASSIVE</v>
      </c>
      <c r="J111" s="177" t="s">
        <v>466</v>
      </c>
      <c r="K111" s="174" t="s">
        <v>508</v>
      </c>
      <c r="L111" s="178">
        <v>2000000</v>
      </c>
      <c r="M111" s="178">
        <v>99.84375</v>
      </c>
      <c r="N111" s="178">
        <v>2.7747183597</v>
      </c>
      <c r="O111" s="178">
        <v>1997761.7391304299</v>
      </c>
      <c r="P111" s="174" t="s">
        <v>337</v>
      </c>
      <c r="Q111" s="174" t="s">
        <v>509</v>
      </c>
      <c r="R111" s="174" t="s">
        <v>24</v>
      </c>
      <c r="S111" s="174" t="s">
        <v>533</v>
      </c>
      <c r="T111" s="175" t="e">
        <f>VLOOKUP($S111,Mapping!$C:$C,1,0)</f>
        <v>#N/A</v>
      </c>
      <c r="U111" s="175"/>
      <c r="V111" s="175"/>
      <c r="W111" s="175"/>
      <c r="X111" s="175"/>
      <c r="Y111" s="174" t="s">
        <v>469</v>
      </c>
      <c r="Z111" s="174" t="s">
        <v>511</v>
      </c>
      <c r="AA111" s="174" t="s">
        <v>22</v>
      </c>
      <c r="AB111" s="174"/>
      <c r="AC111" s="175"/>
      <c r="AD111" s="174" t="s">
        <v>512</v>
      </c>
      <c r="AE111" s="175"/>
      <c r="AF111" s="175"/>
      <c r="AG111" s="176">
        <v>43164.454814814817</v>
      </c>
      <c r="AH111" s="176">
        <v>43164.454872685186</v>
      </c>
      <c r="AI111" s="174" t="s">
        <v>473</v>
      </c>
      <c r="AJ111" s="175"/>
      <c r="AK111" s="178">
        <v>1</v>
      </c>
    </row>
    <row r="112" spans="1:37" ht="15.95" customHeight="1" x14ac:dyDescent="0.25">
      <c r="A112" s="174" t="s">
        <v>461</v>
      </c>
      <c r="B112" s="174" t="s">
        <v>883</v>
      </c>
      <c r="C112" s="175"/>
      <c r="D112" s="174" t="s">
        <v>463</v>
      </c>
      <c r="E112" s="174" t="s">
        <v>806</v>
      </c>
      <c r="F112" s="176">
        <v>43164</v>
      </c>
      <c r="G112" s="176">
        <v>43165</v>
      </c>
      <c r="H112" s="174" t="s">
        <v>27</v>
      </c>
      <c r="I112" s="175" t="str">
        <f>VLOOKUP($H112,Mapping!$A:$A,1,0)</f>
        <v>BROKERTEC PASSIVE</v>
      </c>
      <c r="J112" s="177" t="s">
        <v>466</v>
      </c>
      <c r="K112" s="174" t="s">
        <v>467</v>
      </c>
      <c r="L112" s="178">
        <v>5000000</v>
      </c>
      <c r="M112" s="178">
        <v>99.9765625</v>
      </c>
      <c r="N112" s="178">
        <v>2.6299904396999998</v>
      </c>
      <c r="O112" s="178">
        <v>5000943.0706521701</v>
      </c>
      <c r="P112" s="174" t="s">
        <v>337</v>
      </c>
      <c r="Q112" s="174" t="s">
        <v>468</v>
      </c>
      <c r="R112" s="174" t="s">
        <v>24</v>
      </c>
      <c r="S112" s="174" t="s">
        <v>533</v>
      </c>
      <c r="T112" s="175" t="e">
        <f>VLOOKUP($S112,Mapping!$C:$C,1,0)</f>
        <v>#N/A</v>
      </c>
      <c r="U112" s="175"/>
      <c r="V112" s="175"/>
      <c r="W112" s="175"/>
      <c r="X112" s="175"/>
      <c r="Y112" s="174" t="s">
        <v>469</v>
      </c>
      <c r="Z112" s="174" t="s">
        <v>809</v>
      </c>
      <c r="AA112" s="174" t="s">
        <v>22</v>
      </c>
      <c r="AB112" s="174"/>
      <c r="AC112" s="175"/>
      <c r="AD112" s="174" t="s">
        <v>512</v>
      </c>
      <c r="AE112" s="175"/>
      <c r="AF112" s="175"/>
      <c r="AG112" s="176">
        <v>43164.477789351855</v>
      </c>
      <c r="AH112" s="176">
        <v>43164.477835648147</v>
      </c>
      <c r="AI112" s="174" t="s">
        <v>473</v>
      </c>
      <c r="AJ112" s="175"/>
      <c r="AK112" s="178">
        <v>1</v>
      </c>
    </row>
    <row r="113" spans="1:37" ht="15.95" customHeight="1" x14ac:dyDescent="0.25">
      <c r="A113" s="174" t="s">
        <v>461</v>
      </c>
      <c r="B113" s="174" t="s">
        <v>884</v>
      </c>
      <c r="C113" s="175"/>
      <c r="D113" s="174" t="s">
        <v>463</v>
      </c>
      <c r="E113" s="174" t="s">
        <v>806</v>
      </c>
      <c r="F113" s="176">
        <v>43164</v>
      </c>
      <c r="G113" s="176">
        <v>43165</v>
      </c>
      <c r="H113" s="174" t="s">
        <v>27</v>
      </c>
      <c r="I113" s="175" t="str">
        <f>VLOOKUP($H113,Mapping!$A:$A,1,0)</f>
        <v>BROKERTEC PASSIVE</v>
      </c>
      <c r="J113" s="177" t="s">
        <v>466</v>
      </c>
      <c r="K113" s="174" t="s">
        <v>475</v>
      </c>
      <c r="L113" s="178">
        <v>5000000</v>
      </c>
      <c r="M113" s="178">
        <v>98.953125</v>
      </c>
      <c r="N113" s="178">
        <v>2.8716274743999999</v>
      </c>
      <c r="O113" s="178">
        <v>4954848.1008287305</v>
      </c>
      <c r="P113" s="174" t="s">
        <v>337</v>
      </c>
      <c r="Q113" s="174" t="s">
        <v>476</v>
      </c>
      <c r="R113" s="174" t="s">
        <v>24</v>
      </c>
      <c r="S113" s="174" t="s">
        <v>533</v>
      </c>
      <c r="T113" s="175" t="e">
        <f>VLOOKUP($S113,Mapping!$C:$C,1,0)</f>
        <v>#N/A</v>
      </c>
      <c r="U113" s="175"/>
      <c r="V113" s="175"/>
      <c r="W113" s="175"/>
      <c r="X113" s="175"/>
      <c r="Y113" s="174" t="s">
        <v>469</v>
      </c>
      <c r="Z113" s="174" t="s">
        <v>809</v>
      </c>
      <c r="AA113" s="174" t="s">
        <v>22</v>
      </c>
      <c r="AB113" s="174"/>
      <c r="AC113" s="175"/>
      <c r="AD113" s="174" t="s">
        <v>512</v>
      </c>
      <c r="AE113" s="175"/>
      <c r="AF113" s="175"/>
      <c r="AG113" s="176">
        <v>43164.487037037034</v>
      </c>
      <c r="AH113" s="176">
        <v>43164.48746527778</v>
      </c>
      <c r="AI113" s="174" t="s">
        <v>473</v>
      </c>
      <c r="AJ113" s="175"/>
      <c r="AK113" s="178">
        <v>1</v>
      </c>
    </row>
    <row r="114" spans="1:37" ht="15.95" customHeight="1" x14ac:dyDescent="0.25">
      <c r="A114" s="174" t="s">
        <v>461</v>
      </c>
      <c r="B114" s="174" t="s">
        <v>885</v>
      </c>
      <c r="C114" s="175"/>
      <c r="D114" s="174" t="s">
        <v>463</v>
      </c>
      <c r="E114" s="174" t="s">
        <v>806</v>
      </c>
      <c r="F114" s="176">
        <v>43164</v>
      </c>
      <c r="G114" s="176">
        <v>43165</v>
      </c>
      <c r="H114" s="174" t="s">
        <v>27</v>
      </c>
      <c r="I114" s="175" t="str">
        <f>VLOOKUP($H114,Mapping!$A:$A,1,0)</f>
        <v>BROKERTEC PASSIVE</v>
      </c>
      <c r="J114" s="177" t="s">
        <v>466</v>
      </c>
      <c r="K114" s="174" t="s">
        <v>475</v>
      </c>
      <c r="L114" s="178">
        <v>5000000</v>
      </c>
      <c r="M114" s="178">
        <v>98.9375</v>
      </c>
      <c r="N114" s="178">
        <v>2.8734554375000001</v>
      </c>
      <c r="O114" s="178">
        <v>4954066.8508287305</v>
      </c>
      <c r="P114" s="174" t="s">
        <v>337</v>
      </c>
      <c r="Q114" s="174" t="s">
        <v>476</v>
      </c>
      <c r="R114" s="174" t="s">
        <v>24</v>
      </c>
      <c r="S114" s="174" t="s">
        <v>533</v>
      </c>
      <c r="T114" s="175" t="e">
        <f>VLOOKUP($S114,Mapping!$C:$C,1,0)</f>
        <v>#N/A</v>
      </c>
      <c r="U114" s="175"/>
      <c r="V114" s="175"/>
      <c r="W114" s="175"/>
      <c r="X114" s="175"/>
      <c r="Y114" s="174" t="s">
        <v>469</v>
      </c>
      <c r="Z114" s="174" t="s">
        <v>809</v>
      </c>
      <c r="AA114" s="174" t="s">
        <v>22</v>
      </c>
      <c r="AB114" s="174"/>
      <c r="AC114" s="175"/>
      <c r="AD114" s="174" t="s">
        <v>512</v>
      </c>
      <c r="AE114" s="175"/>
      <c r="AF114" s="175"/>
      <c r="AG114" s="176">
        <v>43164.490659722222</v>
      </c>
      <c r="AH114" s="176">
        <v>43164.490740740737</v>
      </c>
      <c r="AI114" s="174" t="s">
        <v>473</v>
      </c>
      <c r="AJ114" s="175"/>
      <c r="AK114" s="178">
        <v>1</v>
      </c>
    </row>
    <row r="115" spans="1:37" ht="15.95" customHeight="1" x14ac:dyDescent="0.25">
      <c r="A115" s="174" t="s">
        <v>461</v>
      </c>
      <c r="B115" s="174" t="s">
        <v>886</v>
      </c>
      <c r="C115" s="175"/>
      <c r="D115" s="174" t="s">
        <v>463</v>
      </c>
      <c r="E115" s="174" t="s">
        <v>806</v>
      </c>
      <c r="F115" s="176">
        <v>43164</v>
      </c>
      <c r="G115" s="176">
        <v>43165</v>
      </c>
      <c r="H115" s="174" t="s">
        <v>27</v>
      </c>
      <c r="I115" s="175" t="str">
        <f>VLOOKUP($H115,Mapping!$A:$A,1,0)</f>
        <v>BROKERTEC PASSIVE</v>
      </c>
      <c r="J115" s="179" t="s">
        <v>486</v>
      </c>
      <c r="K115" s="174" t="s">
        <v>871</v>
      </c>
      <c r="L115" s="178">
        <v>25000000</v>
      </c>
      <c r="M115" s="178">
        <v>100.015625</v>
      </c>
      <c r="N115" s="178">
        <v>2.2418004727</v>
      </c>
      <c r="O115" s="178">
        <v>-25013202.445652168</v>
      </c>
      <c r="P115" s="174" t="s">
        <v>337</v>
      </c>
      <c r="Q115" s="174" t="s">
        <v>872</v>
      </c>
      <c r="R115" s="174" t="s">
        <v>24</v>
      </c>
      <c r="S115" s="174" t="s">
        <v>533</v>
      </c>
      <c r="T115" s="175" t="e">
        <f>VLOOKUP($S115,Mapping!$C:$C,1,0)</f>
        <v>#N/A</v>
      </c>
      <c r="U115" s="175"/>
      <c r="V115" s="175"/>
      <c r="W115" s="175"/>
      <c r="X115" s="175"/>
      <c r="Y115" s="174" t="s">
        <v>469</v>
      </c>
      <c r="Z115" s="174" t="s">
        <v>809</v>
      </c>
      <c r="AA115" s="174" t="s">
        <v>22</v>
      </c>
      <c r="AB115" s="174"/>
      <c r="AC115" s="175"/>
      <c r="AD115" s="174" t="s">
        <v>512</v>
      </c>
      <c r="AE115" s="175"/>
      <c r="AF115" s="175"/>
      <c r="AG115" s="176">
        <v>43164.501944444448</v>
      </c>
      <c r="AH115" s="176">
        <v>43164.502233796295</v>
      </c>
      <c r="AI115" s="174" t="s">
        <v>473</v>
      </c>
      <c r="AJ115" s="175"/>
      <c r="AK115" s="178">
        <v>1</v>
      </c>
    </row>
    <row r="116" spans="1:37" ht="15.95" customHeight="1" x14ac:dyDescent="0.25">
      <c r="A116" s="174" t="s">
        <v>461</v>
      </c>
      <c r="B116" s="174" t="s">
        <v>887</v>
      </c>
      <c r="C116" s="175"/>
      <c r="D116" s="174" t="s">
        <v>463</v>
      </c>
      <c r="E116" s="174" t="s">
        <v>806</v>
      </c>
      <c r="F116" s="176">
        <v>43164</v>
      </c>
      <c r="G116" s="176">
        <v>43165</v>
      </c>
      <c r="H116" s="174" t="s">
        <v>27</v>
      </c>
      <c r="I116" s="175" t="str">
        <f>VLOOKUP($H116,Mapping!$A:$A,1,0)</f>
        <v>BROKERTEC PASSIVE</v>
      </c>
      <c r="J116" s="177" t="s">
        <v>466</v>
      </c>
      <c r="K116" s="174" t="s">
        <v>475</v>
      </c>
      <c r="L116" s="178">
        <v>5000000</v>
      </c>
      <c r="M116" s="178">
        <v>98.90625</v>
      </c>
      <c r="N116" s="178">
        <v>2.8771123519000001</v>
      </c>
      <c r="O116" s="178">
        <v>4952504.3508287305</v>
      </c>
      <c r="P116" s="174" t="s">
        <v>337</v>
      </c>
      <c r="Q116" s="174" t="s">
        <v>476</v>
      </c>
      <c r="R116" s="174" t="s">
        <v>24</v>
      </c>
      <c r="S116" s="174" t="s">
        <v>533</v>
      </c>
      <c r="T116" s="175" t="e">
        <f>VLOOKUP($S116,Mapping!$C:$C,1,0)</f>
        <v>#N/A</v>
      </c>
      <c r="U116" s="175"/>
      <c r="V116" s="175"/>
      <c r="W116" s="175"/>
      <c r="X116" s="175"/>
      <c r="Y116" s="174" t="s">
        <v>469</v>
      </c>
      <c r="Z116" s="174" t="s">
        <v>809</v>
      </c>
      <c r="AA116" s="174" t="s">
        <v>22</v>
      </c>
      <c r="AB116" s="174"/>
      <c r="AC116" s="175"/>
      <c r="AD116" s="174" t="s">
        <v>512</v>
      </c>
      <c r="AE116" s="175"/>
      <c r="AF116" s="175"/>
      <c r="AG116" s="176">
        <v>43164.505833333336</v>
      </c>
      <c r="AH116" s="176">
        <v>43164.505937499998</v>
      </c>
      <c r="AI116" s="174" t="s">
        <v>473</v>
      </c>
      <c r="AJ116" s="175"/>
      <c r="AK116" s="178">
        <v>1</v>
      </c>
    </row>
    <row r="117" spans="1:37" ht="15.95" customHeight="1" x14ac:dyDescent="0.25">
      <c r="A117" s="174" t="s">
        <v>461</v>
      </c>
      <c r="B117" s="174" t="s">
        <v>888</v>
      </c>
      <c r="C117" s="175"/>
      <c r="D117" s="174" t="s">
        <v>463</v>
      </c>
      <c r="E117" s="174" t="s">
        <v>806</v>
      </c>
      <c r="F117" s="176">
        <v>43164</v>
      </c>
      <c r="G117" s="176">
        <v>43165</v>
      </c>
      <c r="H117" s="174" t="s">
        <v>27</v>
      </c>
      <c r="I117" s="175" t="str">
        <f>VLOOKUP($H117,Mapping!$A:$A,1,0)</f>
        <v>BROKERTEC PASSIVE</v>
      </c>
      <c r="J117" s="177" t="s">
        <v>466</v>
      </c>
      <c r="K117" s="174" t="s">
        <v>467</v>
      </c>
      <c r="L117" s="178">
        <v>5000000</v>
      </c>
      <c r="M117" s="178">
        <v>99.921875</v>
      </c>
      <c r="N117" s="178">
        <v>2.6417754413000001</v>
      </c>
      <c r="O117" s="178">
        <v>4998208.6956521701</v>
      </c>
      <c r="P117" s="174" t="s">
        <v>337</v>
      </c>
      <c r="Q117" s="174" t="s">
        <v>468</v>
      </c>
      <c r="R117" s="174" t="s">
        <v>24</v>
      </c>
      <c r="S117" s="174" t="s">
        <v>533</v>
      </c>
      <c r="T117" s="175" t="e">
        <f>VLOOKUP($S117,Mapping!$C:$C,1,0)</f>
        <v>#N/A</v>
      </c>
      <c r="U117" s="175"/>
      <c r="V117" s="175"/>
      <c r="W117" s="175"/>
      <c r="X117" s="175"/>
      <c r="Y117" s="174" t="s">
        <v>469</v>
      </c>
      <c r="Z117" s="174" t="s">
        <v>809</v>
      </c>
      <c r="AA117" s="174" t="s">
        <v>22</v>
      </c>
      <c r="AB117" s="174"/>
      <c r="AC117" s="175"/>
      <c r="AD117" s="174" t="s">
        <v>512</v>
      </c>
      <c r="AE117" s="175"/>
      <c r="AF117" s="175"/>
      <c r="AG117" s="176">
        <v>43164.509236111109</v>
      </c>
      <c r="AH117" s="176">
        <v>43164.509270833332</v>
      </c>
      <c r="AI117" s="174" t="s">
        <v>473</v>
      </c>
      <c r="AJ117" s="175"/>
      <c r="AK117" s="178">
        <v>1</v>
      </c>
    </row>
    <row r="118" spans="1:37" ht="15.95" customHeight="1" x14ac:dyDescent="0.25">
      <c r="A118" s="174" t="s">
        <v>461</v>
      </c>
      <c r="B118" s="174" t="s">
        <v>889</v>
      </c>
      <c r="C118" s="175"/>
      <c r="D118" s="174" t="s">
        <v>463</v>
      </c>
      <c r="E118" s="174" t="s">
        <v>806</v>
      </c>
      <c r="F118" s="176">
        <v>43164</v>
      </c>
      <c r="G118" s="176">
        <v>43165</v>
      </c>
      <c r="H118" s="174" t="s">
        <v>27</v>
      </c>
      <c r="I118" s="175" t="str">
        <f>VLOOKUP($H118,Mapping!$A:$A,1,0)</f>
        <v>BROKERTEC PASSIVE</v>
      </c>
      <c r="J118" s="177" t="s">
        <v>466</v>
      </c>
      <c r="K118" s="174" t="s">
        <v>467</v>
      </c>
      <c r="L118" s="178">
        <v>5000000</v>
      </c>
      <c r="M118" s="178">
        <v>99.921875</v>
      </c>
      <c r="N118" s="178">
        <v>2.6417754413000001</v>
      </c>
      <c r="O118" s="178">
        <v>4998208.6956521701</v>
      </c>
      <c r="P118" s="174" t="s">
        <v>337</v>
      </c>
      <c r="Q118" s="174" t="s">
        <v>468</v>
      </c>
      <c r="R118" s="174" t="s">
        <v>24</v>
      </c>
      <c r="S118" s="174" t="s">
        <v>533</v>
      </c>
      <c r="T118" s="175" t="e">
        <f>VLOOKUP($S118,Mapping!$C:$C,1,0)</f>
        <v>#N/A</v>
      </c>
      <c r="U118" s="175"/>
      <c r="V118" s="175"/>
      <c r="W118" s="175"/>
      <c r="X118" s="175"/>
      <c r="Y118" s="174" t="s">
        <v>469</v>
      </c>
      <c r="Z118" s="174" t="s">
        <v>809</v>
      </c>
      <c r="AA118" s="174" t="s">
        <v>22</v>
      </c>
      <c r="AB118" s="174"/>
      <c r="AC118" s="175"/>
      <c r="AD118" s="174" t="s">
        <v>512</v>
      </c>
      <c r="AE118" s="175"/>
      <c r="AF118" s="175"/>
      <c r="AG118" s="176">
        <v>43164.514479166668</v>
      </c>
      <c r="AH118" s="176">
        <v>43164.514548611114</v>
      </c>
      <c r="AI118" s="174" t="s">
        <v>473</v>
      </c>
      <c r="AJ118" s="175"/>
      <c r="AK118" s="178">
        <v>1</v>
      </c>
    </row>
    <row r="119" spans="1:37" ht="15.95" customHeight="1" x14ac:dyDescent="0.25">
      <c r="A119" s="174" t="s">
        <v>461</v>
      </c>
      <c r="B119" s="174" t="s">
        <v>890</v>
      </c>
      <c r="C119" s="175"/>
      <c r="D119" s="174" t="s">
        <v>463</v>
      </c>
      <c r="E119" s="174" t="s">
        <v>806</v>
      </c>
      <c r="F119" s="176">
        <v>43164</v>
      </c>
      <c r="G119" s="176">
        <v>43165</v>
      </c>
      <c r="H119" s="174" t="s">
        <v>27</v>
      </c>
      <c r="I119" s="175" t="str">
        <f>VLOOKUP($H119,Mapping!$A:$A,1,0)</f>
        <v>BROKERTEC PASSIVE</v>
      </c>
      <c r="J119" s="179" t="s">
        <v>486</v>
      </c>
      <c r="K119" s="174" t="s">
        <v>475</v>
      </c>
      <c r="L119" s="178">
        <v>10000000</v>
      </c>
      <c r="M119" s="178">
        <v>98.859375</v>
      </c>
      <c r="N119" s="178">
        <v>2.8826001954999998</v>
      </c>
      <c r="O119" s="178">
        <v>-9900421.2016574591</v>
      </c>
      <c r="P119" s="174" t="s">
        <v>337</v>
      </c>
      <c r="Q119" s="174" t="s">
        <v>476</v>
      </c>
      <c r="R119" s="174" t="s">
        <v>24</v>
      </c>
      <c r="S119" s="174" t="s">
        <v>533</v>
      </c>
      <c r="T119" s="175" t="e">
        <f>VLOOKUP($S119,Mapping!$C:$C,1,0)</f>
        <v>#N/A</v>
      </c>
      <c r="U119" s="175"/>
      <c r="V119" s="175"/>
      <c r="W119" s="175"/>
      <c r="X119" s="175"/>
      <c r="Y119" s="174" t="s">
        <v>469</v>
      </c>
      <c r="Z119" s="174" t="s">
        <v>809</v>
      </c>
      <c r="AA119" s="174" t="s">
        <v>22</v>
      </c>
      <c r="AB119" s="174"/>
      <c r="AC119" s="175"/>
      <c r="AD119" s="174" t="s">
        <v>512</v>
      </c>
      <c r="AE119" s="175"/>
      <c r="AF119" s="175"/>
      <c r="AG119" s="176">
        <v>43164.524768518517</v>
      </c>
      <c r="AH119" s="176">
        <v>43164.524814814817</v>
      </c>
      <c r="AI119" s="174" t="s">
        <v>473</v>
      </c>
      <c r="AJ119" s="175"/>
      <c r="AK119" s="178">
        <v>1</v>
      </c>
    </row>
    <row r="120" spans="1:37" ht="15.95" customHeight="1" x14ac:dyDescent="0.25">
      <c r="A120" s="174" t="s">
        <v>461</v>
      </c>
      <c r="B120" s="174" t="s">
        <v>891</v>
      </c>
      <c r="C120" s="175"/>
      <c r="D120" s="174" t="s">
        <v>463</v>
      </c>
      <c r="E120" s="174" t="s">
        <v>806</v>
      </c>
      <c r="F120" s="176">
        <v>43164</v>
      </c>
      <c r="G120" s="176">
        <v>43165</v>
      </c>
      <c r="H120" s="174" t="s">
        <v>27</v>
      </c>
      <c r="I120" s="175" t="str">
        <f>VLOOKUP($H120,Mapping!$A:$A,1,0)</f>
        <v>BROKERTEC PASSIVE</v>
      </c>
      <c r="J120" s="179" t="s">
        <v>486</v>
      </c>
      <c r="K120" s="174" t="s">
        <v>871</v>
      </c>
      <c r="L120" s="178">
        <v>25000000</v>
      </c>
      <c r="M120" s="178">
        <v>100.0078125</v>
      </c>
      <c r="N120" s="178">
        <v>2.2458486874000001</v>
      </c>
      <c r="O120" s="178">
        <v>-25011249.320652168</v>
      </c>
      <c r="P120" s="174" t="s">
        <v>337</v>
      </c>
      <c r="Q120" s="174" t="s">
        <v>872</v>
      </c>
      <c r="R120" s="174" t="s">
        <v>24</v>
      </c>
      <c r="S120" s="174" t="s">
        <v>533</v>
      </c>
      <c r="T120" s="175" t="e">
        <f>VLOOKUP($S120,Mapping!$C:$C,1,0)</f>
        <v>#N/A</v>
      </c>
      <c r="U120" s="175"/>
      <c r="V120" s="175"/>
      <c r="W120" s="175"/>
      <c r="X120" s="175"/>
      <c r="Y120" s="174" t="s">
        <v>469</v>
      </c>
      <c r="Z120" s="174" t="s">
        <v>809</v>
      </c>
      <c r="AA120" s="174" t="s">
        <v>22</v>
      </c>
      <c r="AB120" s="174"/>
      <c r="AC120" s="175"/>
      <c r="AD120" s="174" t="s">
        <v>512</v>
      </c>
      <c r="AE120" s="175"/>
      <c r="AF120" s="175"/>
      <c r="AG120" s="176">
        <v>43164.524791666663</v>
      </c>
      <c r="AH120" s="176">
        <v>43164.524861111109</v>
      </c>
      <c r="AI120" s="174" t="s">
        <v>473</v>
      </c>
      <c r="AJ120" s="175"/>
      <c r="AK120" s="178">
        <v>1</v>
      </c>
    </row>
    <row r="121" spans="1:37" ht="15.95" customHeight="1" x14ac:dyDescent="0.25">
      <c r="A121" s="174" t="s">
        <v>461</v>
      </c>
      <c r="B121" s="174" t="s">
        <v>892</v>
      </c>
      <c r="C121" s="175"/>
      <c r="D121" s="174" t="s">
        <v>463</v>
      </c>
      <c r="E121" s="174" t="s">
        <v>806</v>
      </c>
      <c r="F121" s="176">
        <v>43164</v>
      </c>
      <c r="G121" s="176">
        <v>43165</v>
      </c>
      <c r="H121" s="174" t="s">
        <v>27</v>
      </c>
      <c r="I121" s="175" t="str">
        <f>VLOOKUP($H121,Mapping!$A:$A,1,0)</f>
        <v>BROKERTEC PASSIVE</v>
      </c>
      <c r="J121" s="177" t="s">
        <v>466</v>
      </c>
      <c r="K121" s="174" t="s">
        <v>467</v>
      </c>
      <c r="L121" s="178">
        <v>5000000</v>
      </c>
      <c r="M121" s="178">
        <v>99.9140625</v>
      </c>
      <c r="N121" s="178">
        <v>2.6434596147999998</v>
      </c>
      <c r="O121" s="178">
        <v>4997818.0706521701</v>
      </c>
      <c r="P121" s="174" t="s">
        <v>337</v>
      </c>
      <c r="Q121" s="174" t="s">
        <v>468</v>
      </c>
      <c r="R121" s="174" t="s">
        <v>24</v>
      </c>
      <c r="S121" s="174" t="s">
        <v>533</v>
      </c>
      <c r="T121" s="175" t="e">
        <f>VLOOKUP($S121,Mapping!$C:$C,1,0)</f>
        <v>#N/A</v>
      </c>
      <c r="U121" s="175"/>
      <c r="V121" s="175"/>
      <c r="W121" s="175"/>
      <c r="X121" s="175"/>
      <c r="Y121" s="174" t="s">
        <v>469</v>
      </c>
      <c r="Z121" s="174" t="s">
        <v>809</v>
      </c>
      <c r="AA121" s="174" t="s">
        <v>22</v>
      </c>
      <c r="AB121" s="174"/>
      <c r="AC121" s="175"/>
      <c r="AD121" s="174" t="s">
        <v>512</v>
      </c>
      <c r="AE121" s="175"/>
      <c r="AF121" s="175"/>
      <c r="AG121" s="176">
        <v>43164.525381944448</v>
      </c>
      <c r="AH121" s="176">
        <v>43164.52542824074</v>
      </c>
      <c r="AI121" s="174" t="s">
        <v>473</v>
      </c>
      <c r="AJ121" s="175"/>
      <c r="AK121" s="178">
        <v>1</v>
      </c>
    </row>
    <row r="122" spans="1:37" ht="15.95" customHeight="1" x14ac:dyDescent="0.25">
      <c r="A122" s="174" t="s">
        <v>461</v>
      </c>
      <c r="B122" s="174" t="s">
        <v>893</v>
      </c>
      <c r="C122" s="175"/>
      <c r="D122" s="174" t="s">
        <v>463</v>
      </c>
      <c r="E122" s="174" t="s">
        <v>623</v>
      </c>
      <c r="F122" s="176">
        <v>43164</v>
      </c>
      <c r="G122" s="176">
        <v>43165</v>
      </c>
      <c r="H122" s="174" t="s">
        <v>27</v>
      </c>
      <c r="I122" s="175" t="str">
        <f>VLOOKUP($H122,Mapping!$A:$A,1,0)</f>
        <v>BROKERTEC PASSIVE</v>
      </c>
      <c r="J122" s="179" t="s">
        <v>486</v>
      </c>
      <c r="K122" s="174" t="s">
        <v>508</v>
      </c>
      <c r="L122" s="178">
        <v>9000000</v>
      </c>
      <c r="M122" s="178">
        <v>99.828125</v>
      </c>
      <c r="N122" s="178">
        <v>2.7771972939</v>
      </c>
      <c r="O122" s="178">
        <v>-8988611.5760869607</v>
      </c>
      <c r="P122" s="174" t="s">
        <v>337</v>
      </c>
      <c r="Q122" s="174" t="s">
        <v>509</v>
      </c>
      <c r="R122" s="174" t="s">
        <v>24</v>
      </c>
      <c r="S122" s="174" t="s">
        <v>533</v>
      </c>
      <c r="T122" s="175" t="e">
        <f>VLOOKUP($S122,Mapping!$C:$C,1,0)</f>
        <v>#N/A</v>
      </c>
      <c r="U122" s="175"/>
      <c r="V122" s="175"/>
      <c r="W122" s="175"/>
      <c r="X122" s="175"/>
      <c r="Y122" s="174" t="s">
        <v>469</v>
      </c>
      <c r="Z122" s="174" t="s">
        <v>627</v>
      </c>
      <c r="AA122" s="174" t="s">
        <v>22</v>
      </c>
      <c r="AB122" s="174"/>
      <c r="AC122" s="175"/>
      <c r="AD122" s="174" t="s">
        <v>628</v>
      </c>
      <c r="AE122" s="175"/>
      <c r="AF122" s="175"/>
      <c r="AG122" s="176">
        <v>43164.548518518517</v>
      </c>
      <c r="AH122" s="176">
        <v>43164.548518518517</v>
      </c>
      <c r="AI122" s="174" t="s">
        <v>473</v>
      </c>
      <c r="AJ122" s="175"/>
      <c r="AK122" s="178">
        <v>1</v>
      </c>
    </row>
    <row r="123" spans="1:37" ht="15.95" customHeight="1" x14ac:dyDescent="0.25">
      <c r="A123" s="174" t="s">
        <v>461</v>
      </c>
      <c r="B123" s="174" t="s">
        <v>894</v>
      </c>
      <c r="C123" s="175"/>
      <c r="D123" s="174" t="s">
        <v>463</v>
      </c>
      <c r="E123" s="174" t="s">
        <v>806</v>
      </c>
      <c r="F123" s="176">
        <v>43164</v>
      </c>
      <c r="G123" s="176">
        <v>43165</v>
      </c>
      <c r="H123" s="174" t="s">
        <v>27</v>
      </c>
      <c r="I123" s="175" t="str">
        <f>VLOOKUP($H123,Mapping!$A:$A,1,0)</f>
        <v>BROKERTEC PASSIVE</v>
      </c>
      <c r="J123" s="177" t="s">
        <v>466</v>
      </c>
      <c r="K123" s="174" t="s">
        <v>467</v>
      </c>
      <c r="L123" s="178">
        <v>5000000</v>
      </c>
      <c r="M123" s="178">
        <v>99.875</v>
      </c>
      <c r="N123" s="178">
        <v>2.6518827407000001</v>
      </c>
      <c r="O123" s="178">
        <v>4995864.9456521701</v>
      </c>
      <c r="P123" s="174" t="s">
        <v>337</v>
      </c>
      <c r="Q123" s="174" t="s">
        <v>468</v>
      </c>
      <c r="R123" s="174" t="s">
        <v>24</v>
      </c>
      <c r="S123" s="174" t="s">
        <v>533</v>
      </c>
      <c r="T123" s="175" t="e">
        <f>VLOOKUP($S123,Mapping!$C:$C,1,0)</f>
        <v>#N/A</v>
      </c>
      <c r="U123" s="175"/>
      <c r="V123" s="175"/>
      <c r="W123" s="175"/>
      <c r="X123" s="175"/>
      <c r="Y123" s="174" t="s">
        <v>469</v>
      </c>
      <c r="Z123" s="174" t="s">
        <v>809</v>
      </c>
      <c r="AA123" s="174" t="s">
        <v>22</v>
      </c>
      <c r="AB123" s="174"/>
      <c r="AC123" s="175"/>
      <c r="AD123" s="174" t="s">
        <v>512</v>
      </c>
      <c r="AE123" s="175"/>
      <c r="AF123" s="175"/>
      <c r="AG123" s="176">
        <v>43164.551724537036</v>
      </c>
      <c r="AH123" s="176">
        <v>43164.551759259259</v>
      </c>
      <c r="AI123" s="174" t="s">
        <v>473</v>
      </c>
      <c r="AJ123" s="175"/>
      <c r="AK123" s="178">
        <v>1</v>
      </c>
    </row>
    <row r="124" spans="1:37" ht="15.95" customHeight="1" x14ac:dyDescent="0.25">
      <c r="A124" s="174" t="s">
        <v>461</v>
      </c>
      <c r="B124" s="174" t="s">
        <v>895</v>
      </c>
      <c r="C124" s="175"/>
      <c r="D124" s="174" t="s">
        <v>463</v>
      </c>
      <c r="E124" s="174" t="s">
        <v>806</v>
      </c>
      <c r="F124" s="176">
        <v>43164</v>
      </c>
      <c r="G124" s="176">
        <v>43165</v>
      </c>
      <c r="H124" s="174" t="s">
        <v>27</v>
      </c>
      <c r="I124" s="175" t="str">
        <f>VLOOKUP($H124,Mapping!$A:$A,1,0)</f>
        <v>BROKERTEC PASSIVE</v>
      </c>
      <c r="J124" s="177" t="s">
        <v>466</v>
      </c>
      <c r="K124" s="174" t="s">
        <v>508</v>
      </c>
      <c r="L124" s="178">
        <v>5000000</v>
      </c>
      <c r="M124" s="178">
        <v>99.640625</v>
      </c>
      <c r="N124" s="178">
        <v>2.8069788878000002</v>
      </c>
      <c r="O124" s="178">
        <v>4984248.0978260897</v>
      </c>
      <c r="P124" s="174" t="s">
        <v>337</v>
      </c>
      <c r="Q124" s="174" t="s">
        <v>509</v>
      </c>
      <c r="R124" s="174" t="s">
        <v>24</v>
      </c>
      <c r="S124" s="174" t="s">
        <v>533</v>
      </c>
      <c r="T124" s="175" t="e">
        <f>VLOOKUP($S124,Mapping!$C:$C,1,0)</f>
        <v>#N/A</v>
      </c>
      <c r="U124" s="175"/>
      <c r="V124" s="175"/>
      <c r="W124" s="175"/>
      <c r="X124" s="175"/>
      <c r="Y124" s="174" t="s">
        <v>469</v>
      </c>
      <c r="Z124" s="174" t="s">
        <v>809</v>
      </c>
      <c r="AA124" s="174" t="s">
        <v>22</v>
      </c>
      <c r="AB124" s="174"/>
      <c r="AC124" s="175"/>
      <c r="AD124" s="174" t="s">
        <v>896</v>
      </c>
      <c r="AE124" s="175"/>
      <c r="AF124" s="175"/>
      <c r="AG124" s="176">
        <v>43164.593553240738</v>
      </c>
      <c r="AH124" s="176">
        <v>43164.593553240738</v>
      </c>
      <c r="AI124" s="174" t="s">
        <v>473</v>
      </c>
      <c r="AJ124" s="175"/>
      <c r="AK124" s="178">
        <v>1</v>
      </c>
    </row>
    <row r="125" spans="1:37" ht="15.95" customHeight="1" x14ac:dyDescent="0.25">
      <c r="A125" s="174" t="s">
        <v>461</v>
      </c>
      <c r="B125" s="174" t="s">
        <v>897</v>
      </c>
      <c r="C125" s="175"/>
      <c r="D125" s="174" t="s">
        <v>463</v>
      </c>
      <c r="E125" s="174" t="s">
        <v>806</v>
      </c>
      <c r="F125" s="176">
        <v>43164</v>
      </c>
      <c r="G125" s="176">
        <v>43165</v>
      </c>
      <c r="H125" s="174" t="s">
        <v>27</v>
      </c>
      <c r="I125" s="175" t="str">
        <f>VLOOKUP($H125,Mapping!$A:$A,1,0)</f>
        <v>BROKERTEC PASSIVE</v>
      </c>
      <c r="J125" s="179" t="s">
        <v>486</v>
      </c>
      <c r="K125" s="174" t="s">
        <v>475</v>
      </c>
      <c r="L125" s="178">
        <v>5000000</v>
      </c>
      <c r="M125" s="178">
        <v>98.78125</v>
      </c>
      <c r="N125" s="178">
        <v>2.8917532010999998</v>
      </c>
      <c r="O125" s="178">
        <v>-4946304.3508287305</v>
      </c>
      <c r="P125" s="174" t="s">
        <v>337</v>
      </c>
      <c r="Q125" s="174" t="s">
        <v>476</v>
      </c>
      <c r="R125" s="174" t="s">
        <v>24</v>
      </c>
      <c r="S125" s="174" t="s">
        <v>533</v>
      </c>
      <c r="T125" s="175" t="e">
        <f>VLOOKUP($S125,Mapping!$C:$C,1,0)</f>
        <v>#N/A</v>
      </c>
      <c r="U125" s="175"/>
      <c r="V125" s="175"/>
      <c r="W125" s="175"/>
      <c r="X125" s="175"/>
      <c r="Y125" s="174" t="s">
        <v>469</v>
      </c>
      <c r="Z125" s="174" t="s">
        <v>809</v>
      </c>
      <c r="AA125" s="174" t="s">
        <v>22</v>
      </c>
      <c r="AB125" s="174"/>
      <c r="AC125" s="175"/>
      <c r="AD125" s="174" t="s">
        <v>512</v>
      </c>
      <c r="AE125" s="175"/>
      <c r="AF125" s="175"/>
      <c r="AG125" s="176">
        <v>43164.608101851853</v>
      </c>
      <c r="AH125" s="176">
        <v>43164.608159722222</v>
      </c>
      <c r="AI125" s="174" t="s">
        <v>473</v>
      </c>
      <c r="AJ125" s="175"/>
      <c r="AK125" s="178">
        <v>1</v>
      </c>
    </row>
    <row r="126" spans="1:37" ht="15.95" customHeight="1" x14ac:dyDescent="0.25">
      <c r="A126" s="174" t="s">
        <v>461</v>
      </c>
      <c r="B126" s="174" t="s">
        <v>898</v>
      </c>
      <c r="C126" s="175"/>
      <c r="D126" s="174" t="s">
        <v>463</v>
      </c>
      <c r="E126" s="174" t="s">
        <v>806</v>
      </c>
      <c r="F126" s="176">
        <v>43164</v>
      </c>
      <c r="G126" s="176">
        <v>43165</v>
      </c>
      <c r="H126" s="174" t="s">
        <v>27</v>
      </c>
      <c r="I126" s="175" t="str">
        <f>VLOOKUP($H126,Mapping!$A:$A,1,0)</f>
        <v>BROKERTEC PASSIVE</v>
      </c>
      <c r="J126" s="177" t="s">
        <v>466</v>
      </c>
      <c r="K126" s="174" t="s">
        <v>467</v>
      </c>
      <c r="L126" s="178">
        <v>5000000</v>
      </c>
      <c r="M126" s="178">
        <v>99.8984375</v>
      </c>
      <c r="N126" s="178">
        <v>2.6468284134000002</v>
      </c>
      <c r="O126" s="178">
        <v>4997036.8206521701</v>
      </c>
      <c r="P126" s="174" t="s">
        <v>337</v>
      </c>
      <c r="Q126" s="174" t="s">
        <v>468</v>
      </c>
      <c r="R126" s="174" t="s">
        <v>24</v>
      </c>
      <c r="S126" s="174" t="s">
        <v>533</v>
      </c>
      <c r="T126" s="175" t="e">
        <f>VLOOKUP($S126,Mapping!$C:$C,1,0)</f>
        <v>#N/A</v>
      </c>
      <c r="U126" s="175"/>
      <c r="V126" s="175"/>
      <c r="W126" s="175"/>
      <c r="X126" s="175"/>
      <c r="Y126" s="174" t="s">
        <v>469</v>
      </c>
      <c r="Z126" s="174" t="s">
        <v>809</v>
      </c>
      <c r="AA126" s="174" t="s">
        <v>22</v>
      </c>
      <c r="AB126" s="174"/>
      <c r="AC126" s="175"/>
      <c r="AD126" s="174" t="s">
        <v>512</v>
      </c>
      <c r="AE126" s="175"/>
      <c r="AF126" s="175"/>
      <c r="AG126" s="176">
        <v>43164.63008101852</v>
      </c>
      <c r="AH126" s="176">
        <v>43164.63013888889</v>
      </c>
      <c r="AI126" s="174" t="s">
        <v>473</v>
      </c>
      <c r="AJ126" s="175"/>
      <c r="AK126" s="178">
        <v>1</v>
      </c>
    </row>
    <row r="127" spans="1:37" ht="15.95" customHeight="1" x14ac:dyDescent="0.25">
      <c r="A127" s="174" t="s">
        <v>461</v>
      </c>
      <c r="B127" s="174" t="s">
        <v>899</v>
      </c>
      <c r="C127" s="175"/>
      <c r="D127" s="174" t="s">
        <v>463</v>
      </c>
      <c r="E127" s="174" t="s">
        <v>806</v>
      </c>
      <c r="F127" s="176">
        <v>43164</v>
      </c>
      <c r="G127" s="176">
        <v>43165</v>
      </c>
      <c r="H127" s="174" t="s">
        <v>27</v>
      </c>
      <c r="I127" s="175" t="str">
        <f>VLOOKUP($H127,Mapping!$A:$A,1,0)</f>
        <v>BROKERTEC PASSIVE</v>
      </c>
      <c r="J127" s="177" t="s">
        <v>466</v>
      </c>
      <c r="K127" s="174" t="s">
        <v>508</v>
      </c>
      <c r="L127" s="178">
        <v>5000000</v>
      </c>
      <c r="M127" s="178">
        <v>99.640625</v>
      </c>
      <c r="N127" s="178">
        <v>2.8069788878000002</v>
      </c>
      <c r="O127" s="178">
        <v>4984248.0978260897</v>
      </c>
      <c r="P127" s="174" t="s">
        <v>337</v>
      </c>
      <c r="Q127" s="174" t="s">
        <v>509</v>
      </c>
      <c r="R127" s="174" t="s">
        <v>24</v>
      </c>
      <c r="S127" s="174" t="s">
        <v>533</v>
      </c>
      <c r="T127" s="175" t="e">
        <f>VLOOKUP($S127,Mapping!$C:$C,1,0)</f>
        <v>#N/A</v>
      </c>
      <c r="U127" s="175"/>
      <c r="V127" s="175"/>
      <c r="W127" s="175"/>
      <c r="X127" s="175"/>
      <c r="Y127" s="174" t="s">
        <v>469</v>
      </c>
      <c r="Z127" s="174" t="s">
        <v>809</v>
      </c>
      <c r="AA127" s="174" t="s">
        <v>22</v>
      </c>
      <c r="AB127" s="174"/>
      <c r="AC127" s="175"/>
      <c r="AD127" s="174" t="s">
        <v>512</v>
      </c>
      <c r="AE127" s="175"/>
      <c r="AF127" s="175"/>
      <c r="AG127" s="176">
        <v>43164.633321759262</v>
      </c>
      <c r="AH127" s="176">
        <v>43164.633391203701</v>
      </c>
      <c r="AI127" s="174" t="s">
        <v>473</v>
      </c>
      <c r="AJ127" s="175"/>
      <c r="AK127" s="178">
        <v>1</v>
      </c>
    </row>
    <row r="128" spans="1:37" ht="15.95" customHeight="1" x14ac:dyDescent="0.25">
      <c r="A128" s="174" t="s">
        <v>461</v>
      </c>
      <c r="B128" s="174" t="s">
        <v>900</v>
      </c>
      <c r="C128" s="175"/>
      <c r="D128" s="174" t="s">
        <v>463</v>
      </c>
      <c r="E128" s="174" t="s">
        <v>806</v>
      </c>
      <c r="F128" s="176">
        <v>43164</v>
      </c>
      <c r="G128" s="176">
        <v>43165</v>
      </c>
      <c r="H128" s="174" t="s">
        <v>27</v>
      </c>
      <c r="I128" s="175" t="str">
        <f>VLOOKUP($H128,Mapping!$A:$A,1,0)</f>
        <v>BROKERTEC PASSIVE</v>
      </c>
      <c r="J128" s="177" t="s">
        <v>466</v>
      </c>
      <c r="K128" s="174" t="s">
        <v>508</v>
      </c>
      <c r="L128" s="178">
        <v>5000000</v>
      </c>
      <c r="M128" s="178">
        <v>99.625</v>
      </c>
      <c r="N128" s="178">
        <v>2.8094635572</v>
      </c>
      <c r="O128" s="178">
        <v>4983466.8478260897</v>
      </c>
      <c r="P128" s="174" t="s">
        <v>337</v>
      </c>
      <c r="Q128" s="174" t="s">
        <v>509</v>
      </c>
      <c r="R128" s="174" t="s">
        <v>24</v>
      </c>
      <c r="S128" s="174" t="s">
        <v>533</v>
      </c>
      <c r="T128" s="175" t="e">
        <f>VLOOKUP($S128,Mapping!$C:$C,1,0)</f>
        <v>#N/A</v>
      </c>
      <c r="U128" s="175"/>
      <c r="V128" s="175"/>
      <c r="W128" s="175"/>
      <c r="X128" s="175"/>
      <c r="Y128" s="174" t="s">
        <v>469</v>
      </c>
      <c r="Z128" s="174" t="s">
        <v>809</v>
      </c>
      <c r="AA128" s="174" t="s">
        <v>22</v>
      </c>
      <c r="AB128" s="174"/>
      <c r="AC128" s="175"/>
      <c r="AD128" s="174" t="s">
        <v>512</v>
      </c>
      <c r="AE128" s="175"/>
      <c r="AF128" s="175"/>
      <c r="AG128" s="176">
        <v>43164.641064814816</v>
      </c>
      <c r="AH128" s="176">
        <v>43164.641111111108</v>
      </c>
      <c r="AI128" s="174" t="s">
        <v>473</v>
      </c>
      <c r="AJ128" s="175"/>
      <c r="AK128" s="178">
        <v>1</v>
      </c>
    </row>
    <row r="129" spans="1:37" ht="15.95" customHeight="1" x14ac:dyDescent="0.25">
      <c r="A129" s="174" t="s">
        <v>461</v>
      </c>
      <c r="B129" s="174" t="s">
        <v>901</v>
      </c>
      <c r="C129" s="175"/>
      <c r="D129" s="174" t="s">
        <v>463</v>
      </c>
      <c r="E129" s="174" t="s">
        <v>806</v>
      </c>
      <c r="F129" s="176">
        <v>43164</v>
      </c>
      <c r="G129" s="176">
        <v>43165</v>
      </c>
      <c r="H129" s="174" t="s">
        <v>27</v>
      </c>
      <c r="I129" s="175" t="str">
        <f>VLOOKUP($H129,Mapping!$A:$A,1,0)</f>
        <v>BROKERTEC PASSIVE</v>
      </c>
      <c r="J129" s="177" t="s">
        <v>466</v>
      </c>
      <c r="K129" s="174" t="s">
        <v>467</v>
      </c>
      <c r="L129" s="178">
        <v>5000000</v>
      </c>
      <c r="M129" s="178">
        <v>99.90625</v>
      </c>
      <c r="N129" s="178">
        <v>2.6451439388</v>
      </c>
      <c r="O129" s="178">
        <v>4997427.4456521701</v>
      </c>
      <c r="P129" s="174" t="s">
        <v>337</v>
      </c>
      <c r="Q129" s="174" t="s">
        <v>468</v>
      </c>
      <c r="R129" s="174" t="s">
        <v>24</v>
      </c>
      <c r="S129" s="174" t="s">
        <v>533</v>
      </c>
      <c r="T129" s="175" t="e">
        <f>VLOOKUP($S129,Mapping!$C:$C,1,0)</f>
        <v>#N/A</v>
      </c>
      <c r="U129" s="175"/>
      <c r="V129" s="175"/>
      <c r="W129" s="175"/>
      <c r="X129" s="175"/>
      <c r="Y129" s="174" t="s">
        <v>469</v>
      </c>
      <c r="Z129" s="174" t="s">
        <v>809</v>
      </c>
      <c r="AA129" s="174" t="s">
        <v>22</v>
      </c>
      <c r="AB129" s="174"/>
      <c r="AC129" s="175"/>
      <c r="AD129" s="174" t="s">
        <v>512</v>
      </c>
      <c r="AE129" s="175"/>
      <c r="AF129" s="175"/>
      <c r="AG129" s="176">
        <v>43164.641064814816</v>
      </c>
      <c r="AH129" s="176">
        <v>43164.641134259262</v>
      </c>
      <c r="AI129" s="174" t="s">
        <v>473</v>
      </c>
      <c r="AJ129" s="175"/>
      <c r="AK129" s="178">
        <v>1</v>
      </c>
    </row>
    <row r="130" spans="1:37" ht="15.95" customHeight="1" x14ac:dyDescent="0.25">
      <c r="A130" s="174" t="s">
        <v>461</v>
      </c>
      <c r="B130" s="174" t="s">
        <v>902</v>
      </c>
      <c r="C130" s="175"/>
      <c r="D130" s="174" t="s">
        <v>478</v>
      </c>
      <c r="E130" s="174" t="s">
        <v>903</v>
      </c>
      <c r="F130" s="176">
        <v>43164</v>
      </c>
      <c r="G130" s="176">
        <v>43165</v>
      </c>
      <c r="H130" s="174" t="s">
        <v>904</v>
      </c>
      <c r="I130" s="175" t="e">
        <f>VLOOKUP($H130,Mapping!$A:$A,1,0)</f>
        <v>#N/A</v>
      </c>
      <c r="J130" s="177" t="s">
        <v>466</v>
      </c>
      <c r="K130" s="174" t="s">
        <v>754</v>
      </c>
      <c r="L130" s="178">
        <v>10430000</v>
      </c>
      <c r="M130" s="178">
        <v>94.765625</v>
      </c>
      <c r="N130" s="178">
        <v>2.8722690423000001</v>
      </c>
      <c r="O130" s="178">
        <v>9956013.0438535903</v>
      </c>
      <c r="P130" s="174" t="s">
        <v>337</v>
      </c>
      <c r="Q130" s="174" t="s">
        <v>755</v>
      </c>
      <c r="R130" s="174" t="s">
        <v>22</v>
      </c>
      <c r="S130" s="174" t="s">
        <v>129</v>
      </c>
      <c r="T130" s="175" t="str">
        <f>VLOOKUP($S130,Mapping!$C:$C,1,0)</f>
        <v>Omgeo</v>
      </c>
      <c r="U130" s="174" t="s">
        <v>905</v>
      </c>
      <c r="V130" s="174" t="s">
        <v>132</v>
      </c>
      <c r="W130" s="175"/>
      <c r="X130" s="175"/>
      <c r="Y130" s="174" t="s">
        <v>469</v>
      </c>
      <c r="Z130" s="174" t="s">
        <v>906</v>
      </c>
      <c r="AA130" s="174" t="s">
        <v>22</v>
      </c>
      <c r="AB130" s="174"/>
      <c r="AC130" s="175"/>
      <c r="AD130" s="174" t="s">
        <v>907</v>
      </c>
      <c r="AE130" s="176">
        <v>43164.338460648149</v>
      </c>
      <c r="AF130" s="174" t="s">
        <v>905</v>
      </c>
      <c r="AG130" s="176">
        <v>43164.332592592589</v>
      </c>
      <c r="AH130" s="176">
        <v>43164.332592592589</v>
      </c>
      <c r="AI130" s="175"/>
      <c r="AJ130" s="175"/>
      <c r="AK130" s="178">
        <v>1</v>
      </c>
    </row>
    <row r="131" spans="1:37" ht="15.95" customHeight="1" x14ac:dyDescent="0.25">
      <c r="A131" s="174" t="s">
        <v>461</v>
      </c>
      <c r="B131" s="174" t="s">
        <v>908</v>
      </c>
      <c r="C131" s="175"/>
      <c r="D131" s="174" t="s">
        <v>478</v>
      </c>
      <c r="E131" s="174" t="s">
        <v>903</v>
      </c>
      <c r="F131" s="176">
        <v>43164</v>
      </c>
      <c r="G131" s="176">
        <v>43165</v>
      </c>
      <c r="H131" s="174" t="s">
        <v>904</v>
      </c>
      <c r="I131" s="175" t="e">
        <f>VLOOKUP($H131,Mapping!$A:$A,1,0)</f>
        <v>#N/A</v>
      </c>
      <c r="J131" s="177" t="s">
        <v>466</v>
      </c>
      <c r="K131" s="174" t="s">
        <v>754</v>
      </c>
      <c r="L131" s="178">
        <v>317000</v>
      </c>
      <c r="M131" s="178">
        <v>94.761718999999999</v>
      </c>
      <c r="N131" s="178">
        <v>2.8727478517999998</v>
      </c>
      <c r="O131" s="178">
        <v>302581.68652281997</v>
      </c>
      <c r="P131" s="174" t="s">
        <v>337</v>
      </c>
      <c r="Q131" s="174" t="s">
        <v>755</v>
      </c>
      <c r="R131" s="174" t="s">
        <v>22</v>
      </c>
      <c r="S131" s="174" t="s">
        <v>129</v>
      </c>
      <c r="T131" s="175" t="str">
        <f>VLOOKUP($S131,Mapping!$C:$C,1,0)</f>
        <v>Omgeo</v>
      </c>
      <c r="U131" s="174" t="s">
        <v>909</v>
      </c>
      <c r="V131" s="174" t="s">
        <v>132</v>
      </c>
      <c r="W131" s="175"/>
      <c r="X131" s="175"/>
      <c r="Y131" s="174" t="s">
        <v>469</v>
      </c>
      <c r="Z131" s="174" t="s">
        <v>906</v>
      </c>
      <c r="AA131" s="174" t="s">
        <v>22</v>
      </c>
      <c r="AB131" s="174"/>
      <c r="AC131" s="175"/>
      <c r="AD131" s="174" t="s">
        <v>907</v>
      </c>
      <c r="AE131" s="176">
        <v>43164.338460648149</v>
      </c>
      <c r="AF131" s="174" t="s">
        <v>909</v>
      </c>
      <c r="AG131" s="176">
        <v>43164.332592592589</v>
      </c>
      <c r="AH131" s="176">
        <v>43164.332592592589</v>
      </c>
      <c r="AI131" s="175"/>
      <c r="AJ131" s="175"/>
      <c r="AK131" s="178">
        <v>1</v>
      </c>
    </row>
    <row r="132" spans="1:37" ht="15.95" customHeight="1" x14ac:dyDescent="0.25">
      <c r="A132" s="174" t="s">
        <v>461</v>
      </c>
      <c r="B132" s="174" t="s">
        <v>910</v>
      </c>
      <c r="C132" s="175"/>
      <c r="D132" s="174" t="s">
        <v>478</v>
      </c>
      <c r="E132" s="174" t="s">
        <v>903</v>
      </c>
      <c r="F132" s="176">
        <v>43164</v>
      </c>
      <c r="G132" s="176">
        <v>43165</v>
      </c>
      <c r="H132" s="174" t="s">
        <v>904</v>
      </c>
      <c r="I132" s="175" t="e">
        <f>VLOOKUP($H132,Mapping!$A:$A,1,0)</f>
        <v>#N/A</v>
      </c>
      <c r="J132" s="179" t="s">
        <v>486</v>
      </c>
      <c r="K132" s="174" t="s">
        <v>475</v>
      </c>
      <c r="L132" s="178">
        <v>9900000</v>
      </c>
      <c r="M132" s="178">
        <v>99.15625</v>
      </c>
      <c r="N132" s="178">
        <v>2.8478938714000002</v>
      </c>
      <c r="O132" s="178">
        <v>-9830758.1146408804</v>
      </c>
      <c r="P132" s="174" t="s">
        <v>337</v>
      </c>
      <c r="Q132" s="174" t="s">
        <v>476</v>
      </c>
      <c r="R132" s="174" t="s">
        <v>22</v>
      </c>
      <c r="S132" s="174" t="s">
        <v>129</v>
      </c>
      <c r="T132" s="175" t="str">
        <f>VLOOKUP($S132,Mapping!$C:$C,1,0)</f>
        <v>Omgeo</v>
      </c>
      <c r="U132" s="174" t="s">
        <v>911</v>
      </c>
      <c r="V132" s="174" t="s">
        <v>132</v>
      </c>
      <c r="W132" s="175"/>
      <c r="X132" s="175"/>
      <c r="Y132" s="174" t="s">
        <v>469</v>
      </c>
      <c r="Z132" s="174" t="s">
        <v>906</v>
      </c>
      <c r="AA132" s="174" t="s">
        <v>22</v>
      </c>
      <c r="AB132" s="174"/>
      <c r="AC132" s="175"/>
      <c r="AD132" s="174" t="s">
        <v>907</v>
      </c>
      <c r="AE132" s="176">
        <v>43164.338460648149</v>
      </c>
      <c r="AF132" s="174" t="s">
        <v>911</v>
      </c>
      <c r="AG132" s="176">
        <v>43164.332743055558</v>
      </c>
      <c r="AH132" s="176">
        <v>43164.332743055558</v>
      </c>
      <c r="AI132" s="175"/>
      <c r="AJ132" s="175"/>
      <c r="AK132" s="178">
        <v>1</v>
      </c>
    </row>
    <row r="133" spans="1:37" ht="15.95" customHeight="1" x14ac:dyDescent="0.25">
      <c r="A133" s="174" t="s">
        <v>461</v>
      </c>
      <c r="B133" s="174" t="s">
        <v>912</v>
      </c>
      <c r="C133" s="175"/>
      <c r="D133" s="174" t="s">
        <v>478</v>
      </c>
      <c r="E133" s="174" t="s">
        <v>903</v>
      </c>
      <c r="F133" s="176">
        <v>43164</v>
      </c>
      <c r="G133" s="176">
        <v>43165</v>
      </c>
      <c r="H133" s="174" t="s">
        <v>904</v>
      </c>
      <c r="I133" s="175" t="e">
        <f>VLOOKUP($H133,Mapping!$A:$A,1,0)</f>
        <v>#N/A</v>
      </c>
      <c r="J133" s="179" t="s">
        <v>486</v>
      </c>
      <c r="K133" s="174" t="s">
        <v>913</v>
      </c>
      <c r="L133" s="178">
        <v>14390000</v>
      </c>
      <c r="M133" s="178">
        <v>92.613281000000001</v>
      </c>
      <c r="N133" s="178">
        <v>3.1360232379999999</v>
      </c>
      <c r="O133" s="178">
        <v>-13347821.23258508</v>
      </c>
      <c r="P133" s="174" t="s">
        <v>337</v>
      </c>
      <c r="Q133" s="174" t="s">
        <v>914</v>
      </c>
      <c r="R133" s="174" t="s">
        <v>22</v>
      </c>
      <c r="S133" s="174" t="s">
        <v>129</v>
      </c>
      <c r="T133" s="175" t="str">
        <f>VLOOKUP($S133,Mapping!$C:$C,1,0)</f>
        <v>Omgeo</v>
      </c>
      <c r="U133" s="174" t="s">
        <v>915</v>
      </c>
      <c r="V133" s="174" t="s">
        <v>132</v>
      </c>
      <c r="W133" s="175"/>
      <c r="X133" s="175"/>
      <c r="Y133" s="174" t="s">
        <v>469</v>
      </c>
      <c r="Z133" s="174" t="s">
        <v>906</v>
      </c>
      <c r="AA133" s="174" t="s">
        <v>22</v>
      </c>
      <c r="AB133" s="174"/>
      <c r="AC133" s="175"/>
      <c r="AD133" s="174" t="s">
        <v>907</v>
      </c>
      <c r="AE133" s="176">
        <v>43164.331747685188</v>
      </c>
      <c r="AF133" s="174" t="s">
        <v>915</v>
      </c>
      <c r="AG133" s="176">
        <v>43164.332870370374</v>
      </c>
      <c r="AH133" s="176">
        <v>43164.332870370374</v>
      </c>
      <c r="AI133" s="175"/>
      <c r="AJ133" s="175"/>
      <c r="AK133" s="178">
        <v>1</v>
      </c>
    </row>
    <row r="134" spans="1:37" ht="15.95" customHeight="1" x14ac:dyDescent="0.25">
      <c r="A134" s="174" t="s">
        <v>461</v>
      </c>
      <c r="B134" s="174" t="s">
        <v>916</v>
      </c>
      <c r="C134" s="175"/>
      <c r="D134" s="174" t="s">
        <v>478</v>
      </c>
      <c r="E134" s="174" t="s">
        <v>903</v>
      </c>
      <c r="F134" s="176">
        <v>43164</v>
      </c>
      <c r="G134" s="176">
        <v>43165</v>
      </c>
      <c r="H134" s="174" t="s">
        <v>904</v>
      </c>
      <c r="I134" s="175" t="e">
        <f>VLOOKUP($H134,Mapping!$A:$A,1,0)</f>
        <v>#N/A</v>
      </c>
      <c r="J134" s="177" t="s">
        <v>466</v>
      </c>
      <c r="K134" s="174" t="s">
        <v>543</v>
      </c>
      <c r="L134" s="178">
        <v>13750000</v>
      </c>
      <c r="M134" s="178">
        <v>92.585937999999999</v>
      </c>
      <c r="N134" s="178">
        <v>3.1353828112</v>
      </c>
      <c r="O134" s="178">
        <v>12846510.881077351</v>
      </c>
      <c r="P134" s="174" t="s">
        <v>337</v>
      </c>
      <c r="Q134" s="174" t="s">
        <v>544</v>
      </c>
      <c r="R134" s="174" t="s">
        <v>22</v>
      </c>
      <c r="S134" s="174" t="s">
        <v>129</v>
      </c>
      <c r="T134" s="175" t="str">
        <f>VLOOKUP($S134,Mapping!$C:$C,1,0)</f>
        <v>Omgeo</v>
      </c>
      <c r="U134" s="174" t="s">
        <v>917</v>
      </c>
      <c r="V134" s="174" t="s">
        <v>132</v>
      </c>
      <c r="W134" s="175"/>
      <c r="X134" s="175"/>
      <c r="Y134" s="174" t="s">
        <v>469</v>
      </c>
      <c r="Z134" s="174" t="s">
        <v>906</v>
      </c>
      <c r="AA134" s="174" t="s">
        <v>22</v>
      </c>
      <c r="AB134" s="174"/>
      <c r="AC134" s="175"/>
      <c r="AD134" s="174" t="s">
        <v>907</v>
      </c>
      <c r="AE134" s="176">
        <v>43164.331747685188</v>
      </c>
      <c r="AF134" s="174" t="s">
        <v>917</v>
      </c>
      <c r="AG134" s="176">
        <v>43164.447939814818</v>
      </c>
      <c r="AH134" s="176">
        <v>43164.447939814818</v>
      </c>
      <c r="AI134" s="175"/>
      <c r="AJ134" s="175"/>
      <c r="AK134" s="178">
        <v>1</v>
      </c>
    </row>
    <row r="135" spans="1:37" ht="15.95" customHeight="1" x14ac:dyDescent="0.25">
      <c r="A135" s="174" t="s">
        <v>484</v>
      </c>
      <c r="B135" s="174" t="s">
        <v>918</v>
      </c>
      <c r="C135" s="175"/>
      <c r="D135" s="174" t="s">
        <v>478</v>
      </c>
      <c r="E135" s="174" t="s">
        <v>903</v>
      </c>
      <c r="F135" s="176">
        <v>43164</v>
      </c>
      <c r="G135" s="176">
        <v>43166</v>
      </c>
      <c r="H135" s="174" t="s">
        <v>904</v>
      </c>
      <c r="I135" s="175" t="e">
        <f>VLOOKUP($H135,Mapping!$A:$A,1,0)</f>
        <v>#N/A</v>
      </c>
      <c r="J135" s="177" t="s">
        <v>466</v>
      </c>
      <c r="K135" s="174" t="s">
        <v>919</v>
      </c>
      <c r="L135" s="178">
        <v>3000000</v>
      </c>
      <c r="M135" s="178">
        <v>98.477999999999994</v>
      </c>
      <c r="N135" s="178">
        <v>4.1390499636999998</v>
      </c>
      <c r="O135" s="178">
        <v>2954340</v>
      </c>
      <c r="P135" s="174" t="s">
        <v>337</v>
      </c>
      <c r="Q135" s="174" t="s">
        <v>920</v>
      </c>
      <c r="R135" s="174" t="s">
        <v>22</v>
      </c>
      <c r="S135" s="174" t="s">
        <v>129</v>
      </c>
      <c r="T135" s="175" t="str">
        <f>VLOOKUP($S135,Mapping!$C:$C,1,0)</f>
        <v>Omgeo</v>
      </c>
      <c r="U135" s="174" t="s">
        <v>921</v>
      </c>
      <c r="V135" s="174" t="s">
        <v>132</v>
      </c>
      <c r="W135" s="175"/>
      <c r="X135" s="175"/>
      <c r="Y135" s="174" t="s">
        <v>489</v>
      </c>
      <c r="Z135" s="174" t="s">
        <v>906</v>
      </c>
      <c r="AA135" s="174" t="s">
        <v>22</v>
      </c>
      <c r="AB135" s="174"/>
      <c r="AC135" s="175"/>
      <c r="AD135" s="174" t="s">
        <v>907</v>
      </c>
      <c r="AE135" s="176">
        <v>43164.551620370374</v>
      </c>
      <c r="AF135" s="174" t="s">
        <v>921</v>
      </c>
      <c r="AG135" s="176">
        <v>43164.546122685184</v>
      </c>
      <c r="AH135" s="176">
        <v>43164.546122685184</v>
      </c>
      <c r="AI135" s="175"/>
      <c r="AJ135" s="175"/>
      <c r="AK135" s="178">
        <v>1</v>
      </c>
    </row>
    <row r="136" spans="1:37" ht="15.95" customHeight="1" x14ac:dyDescent="0.25">
      <c r="A136" s="174" t="s">
        <v>461</v>
      </c>
      <c r="B136" s="174" t="s">
        <v>922</v>
      </c>
      <c r="C136" s="175"/>
      <c r="D136" s="174" t="s">
        <v>478</v>
      </c>
      <c r="E136" s="174" t="s">
        <v>903</v>
      </c>
      <c r="F136" s="176">
        <v>43164</v>
      </c>
      <c r="G136" s="176">
        <v>43165</v>
      </c>
      <c r="H136" s="174" t="s">
        <v>904</v>
      </c>
      <c r="I136" s="175" t="e">
        <f>VLOOKUP($H136,Mapping!$A:$A,1,0)</f>
        <v>#N/A</v>
      </c>
      <c r="J136" s="179" t="s">
        <v>486</v>
      </c>
      <c r="K136" s="174" t="s">
        <v>543</v>
      </c>
      <c r="L136" s="178">
        <v>2820000</v>
      </c>
      <c r="M136" s="178">
        <v>91.96875</v>
      </c>
      <c r="N136" s="178">
        <v>3.1692644617000001</v>
      </c>
      <c r="O136" s="178">
        <v>-2617297.8936464102</v>
      </c>
      <c r="P136" s="174" t="s">
        <v>337</v>
      </c>
      <c r="Q136" s="174" t="s">
        <v>544</v>
      </c>
      <c r="R136" s="174" t="s">
        <v>22</v>
      </c>
      <c r="S136" s="174" t="s">
        <v>129</v>
      </c>
      <c r="T136" s="175" t="str">
        <f>VLOOKUP($S136,Mapping!$C:$C,1,0)</f>
        <v>Omgeo</v>
      </c>
      <c r="U136" s="174" t="s">
        <v>923</v>
      </c>
      <c r="V136" s="174" t="s">
        <v>132</v>
      </c>
      <c r="W136" s="175"/>
      <c r="X136" s="175"/>
      <c r="Y136" s="174" t="s">
        <v>469</v>
      </c>
      <c r="Z136" s="174" t="s">
        <v>906</v>
      </c>
      <c r="AA136" s="174" t="s">
        <v>22</v>
      </c>
      <c r="AB136" s="174"/>
      <c r="AC136" s="175"/>
      <c r="AD136" s="174" t="s">
        <v>907</v>
      </c>
      <c r="AE136" s="176">
        <v>43164.551620370374</v>
      </c>
      <c r="AF136" s="174" t="s">
        <v>923</v>
      </c>
      <c r="AG136" s="176">
        <v>43164.546365740738</v>
      </c>
      <c r="AH136" s="176">
        <v>43164.546365740738</v>
      </c>
      <c r="AI136" s="175"/>
      <c r="AJ136" s="175"/>
      <c r="AK136" s="178">
        <v>1</v>
      </c>
    </row>
    <row r="137" spans="1:37" ht="15.95" customHeight="1" x14ac:dyDescent="0.25">
      <c r="A137" s="174" t="s">
        <v>461</v>
      </c>
      <c r="B137" s="174" t="s">
        <v>924</v>
      </c>
      <c r="C137" s="175"/>
      <c r="D137" s="174" t="s">
        <v>478</v>
      </c>
      <c r="E137" s="174" t="s">
        <v>498</v>
      </c>
      <c r="F137" s="176">
        <v>43164</v>
      </c>
      <c r="G137" s="176">
        <v>43165</v>
      </c>
      <c r="H137" s="174" t="s">
        <v>925</v>
      </c>
      <c r="I137" s="175" t="e">
        <f>VLOOKUP($H137,Mapping!$A:$A,1,0)</f>
        <v>#N/A</v>
      </c>
      <c r="J137" s="177" t="s">
        <v>466</v>
      </c>
      <c r="K137" s="174" t="s">
        <v>475</v>
      </c>
      <c r="L137" s="178">
        <v>2604000</v>
      </c>
      <c r="M137" s="178">
        <v>98.921875</v>
      </c>
      <c r="N137" s="178">
        <v>2.87528373</v>
      </c>
      <c r="O137" s="178">
        <v>2579684.1609116001</v>
      </c>
      <c r="P137" s="174" t="s">
        <v>337</v>
      </c>
      <c r="Q137" s="174" t="s">
        <v>476</v>
      </c>
      <c r="R137" s="174" t="s">
        <v>22</v>
      </c>
      <c r="S137" s="174" t="s">
        <v>129</v>
      </c>
      <c r="T137" s="175" t="str">
        <f>VLOOKUP($S137,Mapping!$C:$C,1,0)</f>
        <v>Omgeo</v>
      </c>
      <c r="U137" s="174" t="s">
        <v>926</v>
      </c>
      <c r="V137" s="174" t="s">
        <v>132</v>
      </c>
      <c r="W137" s="175"/>
      <c r="X137" s="175"/>
      <c r="Y137" s="174" t="s">
        <v>469</v>
      </c>
      <c r="Z137" s="174" t="s">
        <v>503</v>
      </c>
      <c r="AA137" s="174" t="s">
        <v>22</v>
      </c>
      <c r="AB137" s="174"/>
      <c r="AC137" s="175"/>
      <c r="AD137" s="174" t="s">
        <v>927</v>
      </c>
      <c r="AE137" s="176">
        <v>43164.493368055555</v>
      </c>
      <c r="AF137" s="174" t="s">
        <v>926</v>
      </c>
      <c r="AG137" s="176">
        <v>43164.489837962959</v>
      </c>
      <c r="AH137" s="176">
        <v>43164.489837962959</v>
      </c>
      <c r="AI137" s="175"/>
      <c r="AJ137" s="175"/>
      <c r="AK137" s="178">
        <v>1</v>
      </c>
    </row>
    <row r="138" spans="1:37" ht="15.95" customHeight="1" x14ac:dyDescent="0.25">
      <c r="A138" s="174" t="s">
        <v>461</v>
      </c>
      <c r="B138" s="174" t="s">
        <v>928</v>
      </c>
      <c r="C138" s="175"/>
      <c r="D138" s="174" t="s">
        <v>463</v>
      </c>
      <c r="E138" s="174" t="s">
        <v>553</v>
      </c>
      <c r="F138" s="176">
        <v>43164</v>
      </c>
      <c r="G138" s="176">
        <v>43165</v>
      </c>
      <c r="H138" s="174" t="s">
        <v>925</v>
      </c>
      <c r="I138" s="175" t="e">
        <f>VLOOKUP($H138,Mapping!$A:$A,1,0)</f>
        <v>#N/A</v>
      </c>
      <c r="J138" s="177" t="s">
        <v>466</v>
      </c>
      <c r="K138" s="174" t="s">
        <v>475</v>
      </c>
      <c r="L138" s="178">
        <v>114600000</v>
      </c>
      <c r="M138" s="178">
        <v>98.875</v>
      </c>
      <c r="N138" s="178">
        <v>2.8807705845</v>
      </c>
      <c r="O138" s="178">
        <v>113476160.22099449</v>
      </c>
      <c r="P138" s="174" t="s">
        <v>337</v>
      </c>
      <c r="Q138" s="174" t="s">
        <v>476</v>
      </c>
      <c r="R138" s="174" t="s">
        <v>22</v>
      </c>
      <c r="S138" s="174" t="s">
        <v>129</v>
      </c>
      <c r="T138" s="175" t="str">
        <f>VLOOKUP($S138,Mapping!$C:$C,1,0)</f>
        <v>Omgeo</v>
      </c>
      <c r="U138" s="174" t="s">
        <v>929</v>
      </c>
      <c r="V138" s="174" t="s">
        <v>132</v>
      </c>
      <c r="W138" s="175"/>
      <c r="X138" s="175"/>
      <c r="Y138" s="174" t="s">
        <v>469</v>
      </c>
      <c r="Z138" s="174" t="s">
        <v>555</v>
      </c>
      <c r="AA138" s="174" t="s">
        <v>22</v>
      </c>
      <c r="AB138" s="174"/>
      <c r="AC138" s="175"/>
      <c r="AD138" s="174" t="s">
        <v>556</v>
      </c>
      <c r="AE138" s="176">
        <v>43164.63009259259</v>
      </c>
      <c r="AF138" s="174" t="s">
        <v>929</v>
      </c>
      <c r="AG138" s="176">
        <v>43164.627002314817</v>
      </c>
      <c r="AH138" s="176">
        <v>43164.627002314817</v>
      </c>
      <c r="AI138" s="174" t="s">
        <v>473</v>
      </c>
      <c r="AJ138" s="175"/>
      <c r="AK138" s="178">
        <v>1</v>
      </c>
    </row>
    <row r="139" spans="1:37" ht="15.95" customHeight="1" x14ac:dyDescent="0.25">
      <c r="A139" s="174" t="s">
        <v>461</v>
      </c>
      <c r="B139" s="174" t="s">
        <v>930</v>
      </c>
      <c r="C139" s="175"/>
      <c r="D139" s="174" t="s">
        <v>463</v>
      </c>
      <c r="E139" s="174" t="s">
        <v>553</v>
      </c>
      <c r="F139" s="176">
        <v>43164</v>
      </c>
      <c r="G139" s="176">
        <v>43165</v>
      </c>
      <c r="H139" s="174" t="s">
        <v>925</v>
      </c>
      <c r="I139" s="175" t="e">
        <f>VLOOKUP($H139,Mapping!$A:$A,1,0)</f>
        <v>#N/A</v>
      </c>
      <c r="J139" s="179" t="s">
        <v>486</v>
      </c>
      <c r="K139" s="174" t="s">
        <v>754</v>
      </c>
      <c r="L139" s="178">
        <v>120300000</v>
      </c>
      <c r="M139" s="178">
        <v>94.515625</v>
      </c>
      <c r="N139" s="178">
        <v>2.9029597096000002</v>
      </c>
      <c r="O139" s="178">
        <v>-114532267.1788674</v>
      </c>
      <c r="P139" s="174" t="s">
        <v>337</v>
      </c>
      <c r="Q139" s="174" t="s">
        <v>755</v>
      </c>
      <c r="R139" s="174" t="s">
        <v>22</v>
      </c>
      <c r="S139" s="174" t="s">
        <v>129</v>
      </c>
      <c r="T139" s="175" t="str">
        <f>VLOOKUP($S139,Mapping!$C:$C,1,0)</f>
        <v>Omgeo</v>
      </c>
      <c r="U139" s="174" t="s">
        <v>931</v>
      </c>
      <c r="V139" s="174" t="s">
        <v>132</v>
      </c>
      <c r="W139" s="175"/>
      <c r="X139" s="175"/>
      <c r="Y139" s="174" t="s">
        <v>469</v>
      </c>
      <c r="Z139" s="174" t="s">
        <v>555</v>
      </c>
      <c r="AA139" s="174" t="s">
        <v>22</v>
      </c>
      <c r="AB139" s="174"/>
      <c r="AC139" s="175"/>
      <c r="AD139" s="174" t="s">
        <v>556</v>
      </c>
      <c r="AE139" s="176">
        <v>43164.63009259259</v>
      </c>
      <c r="AF139" s="174" t="s">
        <v>931</v>
      </c>
      <c r="AG139" s="176">
        <v>43164.627002314817</v>
      </c>
      <c r="AH139" s="176">
        <v>43164.627002314817</v>
      </c>
      <c r="AI139" s="174" t="s">
        <v>473</v>
      </c>
      <c r="AJ139" s="175"/>
      <c r="AK139" s="178">
        <v>1</v>
      </c>
    </row>
    <row r="140" spans="1:37" ht="15.95" customHeight="1" x14ac:dyDescent="0.25">
      <c r="A140" s="174" t="s">
        <v>461</v>
      </c>
      <c r="B140" s="174" t="s">
        <v>932</v>
      </c>
      <c r="C140" s="175"/>
      <c r="D140" s="174" t="s">
        <v>478</v>
      </c>
      <c r="E140" s="174" t="s">
        <v>498</v>
      </c>
      <c r="F140" s="176">
        <v>43164</v>
      </c>
      <c r="G140" s="176">
        <v>43165</v>
      </c>
      <c r="H140" s="174" t="s">
        <v>925</v>
      </c>
      <c r="I140" s="175" t="e">
        <f>VLOOKUP($H140,Mapping!$A:$A,1,0)</f>
        <v>#N/A</v>
      </c>
      <c r="J140" s="177" t="s">
        <v>466</v>
      </c>
      <c r="K140" s="174" t="s">
        <v>475</v>
      </c>
      <c r="L140" s="178">
        <v>1504000</v>
      </c>
      <c r="M140" s="178">
        <v>98.859375</v>
      </c>
      <c r="N140" s="178">
        <v>2.8826001954999998</v>
      </c>
      <c r="O140" s="178">
        <v>1489015.82872928</v>
      </c>
      <c r="P140" s="174" t="s">
        <v>337</v>
      </c>
      <c r="Q140" s="174" t="s">
        <v>476</v>
      </c>
      <c r="R140" s="174" t="s">
        <v>22</v>
      </c>
      <c r="S140" s="174" t="s">
        <v>129</v>
      </c>
      <c r="T140" s="175" t="str">
        <f>VLOOKUP($S140,Mapping!$C:$C,1,0)</f>
        <v>Omgeo</v>
      </c>
      <c r="U140" s="174" t="s">
        <v>933</v>
      </c>
      <c r="V140" s="174" t="s">
        <v>132</v>
      </c>
      <c r="W140" s="175"/>
      <c r="X140" s="175"/>
      <c r="Y140" s="174" t="s">
        <v>469</v>
      </c>
      <c r="Z140" s="174" t="s">
        <v>503</v>
      </c>
      <c r="AA140" s="174" t="s">
        <v>22</v>
      </c>
      <c r="AB140" s="174"/>
      <c r="AC140" s="175"/>
      <c r="AD140" s="174" t="s">
        <v>927</v>
      </c>
      <c r="AE140" s="176">
        <v>43164.636678240742</v>
      </c>
      <c r="AF140" s="174" t="s">
        <v>933</v>
      </c>
      <c r="AG140" s="176">
        <v>43164.629733796297</v>
      </c>
      <c r="AH140" s="176">
        <v>43164.629733796297</v>
      </c>
      <c r="AI140" s="175"/>
      <c r="AJ140" s="175"/>
      <c r="AK140" s="178">
        <v>1</v>
      </c>
    </row>
    <row r="141" spans="1:37" ht="15.95" customHeight="1" x14ac:dyDescent="0.25">
      <c r="A141" s="174" t="s">
        <v>461</v>
      </c>
      <c r="B141" s="174" t="s">
        <v>934</v>
      </c>
      <c r="C141" s="175"/>
      <c r="D141" s="174" t="s">
        <v>463</v>
      </c>
      <c r="E141" s="174" t="s">
        <v>935</v>
      </c>
      <c r="F141" s="176">
        <v>43164</v>
      </c>
      <c r="G141" s="176">
        <v>43165</v>
      </c>
      <c r="H141" s="174" t="s">
        <v>936</v>
      </c>
      <c r="I141" s="175" t="e">
        <f>VLOOKUP($H141,Mapping!$A:$A,1,0)</f>
        <v>#N/A</v>
      </c>
      <c r="J141" s="177" t="s">
        <v>466</v>
      </c>
      <c r="K141" s="174" t="s">
        <v>475</v>
      </c>
      <c r="L141" s="178">
        <v>4000000</v>
      </c>
      <c r="M141" s="178">
        <v>99.23828125</v>
      </c>
      <c r="N141" s="178">
        <v>2.8383248618999999</v>
      </c>
      <c r="O141" s="178">
        <v>3975304.7306629801</v>
      </c>
      <c r="P141" s="174" t="s">
        <v>337</v>
      </c>
      <c r="Q141" s="174" t="s">
        <v>476</v>
      </c>
      <c r="R141" s="174" t="s">
        <v>22</v>
      </c>
      <c r="S141" s="174" t="s">
        <v>129</v>
      </c>
      <c r="T141" s="175" t="str">
        <f>VLOOKUP($S141,Mapping!$C:$C,1,0)</f>
        <v>Omgeo</v>
      </c>
      <c r="U141" s="174" t="s">
        <v>937</v>
      </c>
      <c r="V141" s="174" t="s">
        <v>132</v>
      </c>
      <c r="W141" s="175"/>
      <c r="X141" s="175"/>
      <c r="Y141" s="174" t="s">
        <v>469</v>
      </c>
      <c r="Z141" s="174" t="s">
        <v>938</v>
      </c>
      <c r="AA141" s="174" t="s">
        <v>22</v>
      </c>
      <c r="AB141" s="174"/>
      <c r="AC141" s="175"/>
      <c r="AD141" s="174" t="s">
        <v>512</v>
      </c>
      <c r="AE141" s="176">
        <v>43164.351307870369</v>
      </c>
      <c r="AF141" s="174" t="s">
        <v>937</v>
      </c>
      <c r="AG141" s="176">
        <v>43164.349317129629</v>
      </c>
      <c r="AH141" s="176">
        <v>43164.349363425928</v>
      </c>
      <c r="AI141" s="174" t="s">
        <v>473</v>
      </c>
      <c r="AJ141" s="175"/>
      <c r="AK141" s="178">
        <v>1</v>
      </c>
    </row>
    <row r="142" spans="1:37" ht="15.95" customHeight="1" x14ac:dyDescent="0.25">
      <c r="A142" s="174" t="s">
        <v>484</v>
      </c>
      <c r="B142" s="174" t="s">
        <v>939</v>
      </c>
      <c r="C142" s="175"/>
      <c r="D142" s="174" t="s">
        <v>478</v>
      </c>
      <c r="E142" s="174" t="s">
        <v>535</v>
      </c>
      <c r="F142" s="176">
        <v>43164</v>
      </c>
      <c r="G142" s="176">
        <v>43166</v>
      </c>
      <c r="H142" s="174" t="s">
        <v>936</v>
      </c>
      <c r="I142" s="175" t="e">
        <f>VLOOKUP($H142,Mapping!$A:$A,1,0)</f>
        <v>#N/A</v>
      </c>
      <c r="J142" s="179" t="s">
        <v>486</v>
      </c>
      <c r="K142" s="174" t="s">
        <v>940</v>
      </c>
      <c r="L142" s="178">
        <v>2500000</v>
      </c>
      <c r="M142" s="178">
        <v>97.222999999999999</v>
      </c>
      <c r="N142" s="178">
        <v>4.7139793129000003</v>
      </c>
      <c r="O142" s="178">
        <v>-2439637.5</v>
      </c>
      <c r="P142" s="174" t="s">
        <v>337</v>
      </c>
      <c r="Q142" s="174" t="s">
        <v>941</v>
      </c>
      <c r="R142" s="174" t="s">
        <v>22</v>
      </c>
      <c r="S142" s="174" t="s">
        <v>129</v>
      </c>
      <c r="T142" s="175" t="str">
        <f>VLOOKUP($S142,Mapping!$C:$C,1,0)</f>
        <v>Omgeo</v>
      </c>
      <c r="U142" s="174" t="s">
        <v>942</v>
      </c>
      <c r="V142" s="174" t="s">
        <v>132</v>
      </c>
      <c r="W142" s="175"/>
      <c r="X142" s="175"/>
      <c r="Y142" s="174" t="s">
        <v>489</v>
      </c>
      <c r="Z142" s="174" t="s">
        <v>540</v>
      </c>
      <c r="AA142" s="174" t="s">
        <v>22</v>
      </c>
      <c r="AB142" s="174"/>
      <c r="AC142" s="175"/>
      <c r="AD142" s="174" t="s">
        <v>541</v>
      </c>
      <c r="AE142" s="176">
        <v>43164.370659722219</v>
      </c>
      <c r="AF142" s="174" t="s">
        <v>942</v>
      </c>
      <c r="AG142" s="176">
        <v>43164.376446759263</v>
      </c>
      <c r="AH142" s="176">
        <v>43164.376446759263</v>
      </c>
      <c r="AI142" s="175"/>
      <c r="AJ142" s="175"/>
      <c r="AK142" s="178">
        <v>1</v>
      </c>
    </row>
    <row r="143" spans="1:37" ht="15.95" customHeight="1" x14ac:dyDescent="0.25">
      <c r="A143" s="174" t="s">
        <v>461</v>
      </c>
      <c r="B143" s="174" t="s">
        <v>943</v>
      </c>
      <c r="C143" s="175"/>
      <c r="D143" s="174" t="s">
        <v>478</v>
      </c>
      <c r="E143" s="174" t="s">
        <v>535</v>
      </c>
      <c r="F143" s="176">
        <v>43164</v>
      </c>
      <c r="G143" s="176">
        <v>43165</v>
      </c>
      <c r="H143" s="174" t="s">
        <v>936</v>
      </c>
      <c r="I143" s="175" t="e">
        <f>VLOOKUP($H143,Mapping!$A:$A,1,0)</f>
        <v>#N/A</v>
      </c>
      <c r="J143" s="177" t="s">
        <v>466</v>
      </c>
      <c r="K143" s="174" t="s">
        <v>543</v>
      </c>
      <c r="L143" s="178">
        <v>1700000</v>
      </c>
      <c r="M143" s="178">
        <v>92.796875</v>
      </c>
      <c r="N143" s="178">
        <v>3.1238701800999999</v>
      </c>
      <c r="O143" s="178">
        <v>1591881.81975138</v>
      </c>
      <c r="P143" s="174" t="s">
        <v>337</v>
      </c>
      <c r="Q143" s="174" t="s">
        <v>544</v>
      </c>
      <c r="R143" s="174" t="s">
        <v>22</v>
      </c>
      <c r="S143" s="174" t="s">
        <v>129</v>
      </c>
      <c r="T143" s="175" t="str">
        <f>VLOOKUP($S143,Mapping!$C:$C,1,0)</f>
        <v>Omgeo</v>
      </c>
      <c r="U143" s="174" t="s">
        <v>944</v>
      </c>
      <c r="V143" s="174" t="s">
        <v>132</v>
      </c>
      <c r="W143" s="175"/>
      <c r="X143" s="175"/>
      <c r="Y143" s="174" t="s">
        <v>469</v>
      </c>
      <c r="Z143" s="174" t="s">
        <v>540</v>
      </c>
      <c r="AA143" s="174" t="s">
        <v>22</v>
      </c>
      <c r="AB143" s="174"/>
      <c r="AC143" s="175"/>
      <c r="AD143" s="174" t="s">
        <v>541</v>
      </c>
      <c r="AE143" s="176">
        <v>43164.370659722219</v>
      </c>
      <c r="AF143" s="174" t="s">
        <v>944</v>
      </c>
      <c r="AG143" s="176">
        <v>43164.376643518517</v>
      </c>
      <c r="AH143" s="176">
        <v>43164.376643518517</v>
      </c>
      <c r="AI143" s="175"/>
      <c r="AJ143" s="175"/>
      <c r="AK143" s="178">
        <v>1</v>
      </c>
    </row>
    <row r="144" spans="1:37" ht="15.95" customHeight="1" x14ac:dyDescent="0.25">
      <c r="A144" s="174" t="s">
        <v>461</v>
      </c>
      <c r="B144" s="174" t="s">
        <v>945</v>
      </c>
      <c r="C144" s="175"/>
      <c r="D144" s="174" t="s">
        <v>566</v>
      </c>
      <c r="E144" s="174" t="s">
        <v>946</v>
      </c>
      <c r="F144" s="176">
        <v>43164</v>
      </c>
      <c r="G144" s="176">
        <v>43166</v>
      </c>
      <c r="H144" s="174" t="s">
        <v>936</v>
      </c>
      <c r="I144" s="175" t="e">
        <f>VLOOKUP($H144,Mapping!$A:$A,1,0)</f>
        <v>#N/A</v>
      </c>
      <c r="J144" s="177" t="s">
        <v>466</v>
      </c>
      <c r="K144" s="174" t="s">
        <v>947</v>
      </c>
      <c r="L144" s="178">
        <v>5000000</v>
      </c>
      <c r="M144" s="178">
        <v>95.2</v>
      </c>
      <c r="N144" s="178">
        <v>4.3562568245</v>
      </c>
      <c r="O144" s="178">
        <v>4778493.1506849499</v>
      </c>
      <c r="P144" s="174" t="s">
        <v>386</v>
      </c>
      <c r="Q144" s="174" t="s">
        <v>948</v>
      </c>
      <c r="R144" s="174" t="s">
        <v>22</v>
      </c>
      <c r="S144" s="174" t="s">
        <v>129</v>
      </c>
      <c r="T144" s="175" t="str">
        <f>VLOOKUP($S144,Mapping!$C:$C,1,0)</f>
        <v>Omgeo</v>
      </c>
      <c r="U144" s="174" t="s">
        <v>949</v>
      </c>
      <c r="V144" s="174" t="s">
        <v>132</v>
      </c>
      <c r="W144" s="175"/>
      <c r="X144" s="175"/>
      <c r="Y144" s="174" t="s">
        <v>950</v>
      </c>
      <c r="Z144" s="174" t="s">
        <v>951</v>
      </c>
      <c r="AA144" s="174" t="s">
        <v>22</v>
      </c>
      <c r="AB144" s="174"/>
      <c r="AC144" s="175"/>
      <c r="AD144" s="174" t="s">
        <v>952</v>
      </c>
      <c r="AE144" s="176">
        <v>43164.415682870371</v>
      </c>
      <c r="AF144" s="174" t="s">
        <v>949</v>
      </c>
      <c r="AG144" s="176">
        <v>43164.408645833333</v>
      </c>
      <c r="AH144" s="176">
        <v>43164.408645833333</v>
      </c>
      <c r="AI144" s="175"/>
      <c r="AJ144" s="175"/>
      <c r="AK144" s="178">
        <v>1</v>
      </c>
    </row>
    <row r="145" spans="1:37" ht="15.95" customHeight="1" x14ac:dyDescent="0.25">
      <c r="A145" s="174" t="s">
        <v>461</v>
      </c>
      <c r="B145" s="174" t="s">
        <v>953</v>
      </c>
      <c r="C145" s="175"/>
      <c r="D145" s="174" t="s">
        <v>463</v>
      </c>
      <c r="E145" s="174" t="s">
        <v>506</v>
      </c>
      <c r="F145" s="176">
        <v>43164</v>
      </c>
      <c r="G145" s="176">
        <v>43165</v>
      </c>
      <c r="H145" s="174" t="s">
        <v>936</v>
      </c>
      <c r="I145" s="175" t="e">
        <f>VLOOKUP($H145,Mapping!$A:$A,1,0)</f>
        <v>#N/A</v>
      </c>
      <c r="J145" s="179" t="s">
        <v>486</v>
      </c>
      <c r="K145" s="174" t="s">
        <v>954</v>
      </c>
      <c r="L145" s="178">
        <v>220000000</v>
      </c>
      <c r="M145" s="178">
        <v>95.5078125</v>
      </c>
      <c r="N145" s="178">
        <v>2.7894993473</v>
      </c>
      <c r="O145" s="178">
        <v>-211277627.06043956</v>
      </c>
      <c r="P145" s="174" t="s">
        <v>337</v>
      </c>
      <c r="Q145" s="174" t="s">
        <v>955</v>
      </c>
      <c r="R145" s="174" t="s">
        <v>22</v>
      </c>
      <c r="S145" s="174" t="s">
        <v>129</v>
      </c>
      <c r="T145" s="175" t="str">
        <f>VLOOKUP($S145,Mapping!$C:$C,1,0)</f>
        <v>Omgeo</v>
      </c>
      <c r="U145" s="174" t="s">
        <v>956</v>
      </c>
      <c r="V145" s="174" t="s">
        <v>132</v>
      </c>
      <c r="W145" s="175"/>
      <c r="X145" s="175"/>
      <c r="Y145" s="174" t="s">
        <v>469</v>
      </c>
      <c r="Z145" s="174" t="s">
        <v>511</v>
      </c>
      <c r="AA145" s="174" t="s">
        <v>22</v>
      </c>
      <c r="AB145" s="174"/>
      <c r="AC145" s="175"/>
      <c r="AD145" s="174" t="s">
        <v>512</v>
      </c>
      <c r="AE145" s="176">
        <v>43164.448148148149</v>
      </c>
      <c r="AF145" s="174" t="s">
        <v>956</v>
      </c>
      <c r="AG145" s="176">
        <v>43164.442453703705</v>
      </c>
      <c r="AH145" s="176">
        <v>43164.442511574074</v>
      </c>
      <c r="AI145" s="174" t="s">
        <v>473</v>
      </c>
      <c r="AJ145" s="175"/>
      <c r="AK145" s="178">
        <v>1</v>
      </c>
    </row>
    <row r="146" spans="1:37" ht="15.95" customHeight="1" x14ac:dyDescent="0.25">
      <c r="A146" s="174" t="s">
        <v>461</v>
      </c>
      <c r="B146" s="174" t="s">
        <v>957</v>
      </c>
      <c r="C146" s="175"/>
      <c r="D146" s="174" t="s">
        <v>463</v>
      </c>
      <c r="E146" s="174" t="s">
        <v>506</v>
      </c>
      <c r="F146" s="176">
        <v>43164</v>
      </c>
      <c r="G146" s="176">
        <v>43165</v>
      </c>
      <c r="H146" s="174" t="s">
        <v>936</v>
      </c>
      <c r="I146" s="175" t="e">
        <f>VLOOKUP($H146,Mapping!$A:$A,1,0)</f>
        <v>#N/A</v>
      </c>
      <c r="J146" s="177" t="s">
        <v>466</v>
      </c>
      <c r="K146" s="174" t="s">
        <v>508</v>
      </c>
      <c r="L146" s="178">
        <v>194000000</v>
      </c>
      <c r="M146" s="178">
        <v>99.5</v>
      </c>
      <c r="N146" s="178">
        <v>2.8293568444999999</v>
      </c>
      <c r="O146" s="178">
        <v>193116983.69565216</v>
      </c>
      <c r="P146" s="174" t="s">
        <v>337</v>
      </c>
      <c r="Q146" s="174" t="s">
        <v>509</v>
      </c>
      <c r="R146" s="174" t="s">
        <v>22</v>
      </c>
      <c r="S146" s="174" t="s">
        <v>129</v>
      </c>
      <c r="T146" s="175" t="str">
        <f>VLOOKUP($S146,Mapping!$C:$C,1,0)</f>
        <v>Omgeo</v>
      </c>
      <c r="U146" s="174" t="s">
        <v>958</v>
      </c>
      <c r="V146" s="174" t="s">
        <v>132</v>
      </c>
      <c r="W146" s="175"/>
      <c r="X146" s="175"/>
      <c r="Y146" s="174" t="s">
        <v>469</v>
      </c>
      <c r="Z146" s="174" t="s">
        <v>511</v>
      </c>
      <c r="AA146" s="174" t="s">
        <v>22</v>
      </c>
      <c r="AB146" s="174"/>
      <c r="AC146" s="175"/>
      <c r="AD146" s="174" t="s">
        <v>512</v>
      </c>
      <c r="AE146" s="176">
        <v>43164.448148148149</v>
      </c>
      <c r="AF146" s="174" t="s">
        <v>958</v>
      </c>
      <c r="AG146" s="176">
        <v>43164.442465277774</v>
      </c>
      <c r="AH146" s="176">
        <v>43164.442523148151</v>
      </c>
      <c r="AI146" s="174" t="s">
        <v>473</v>
      </c>
      <c r="AJ146" s="175"/>
      <c r="AK146" s="178">
        <v>1</v>
      </c>
    </row>
    <row r="147" spans="1:37" ht="15.95" customHeight="1" x14ac:dyDescent="0.25">
      <c r="A147" s="174" t="s">
        <v>461</v>
      </c>
      <c r="B147" s="174" t="s">
        <v>959</v>
      </c>
      <c r="C147" s="175"/>
      <c r="D147" s="174" t="s">
        <v>478</v>
      </c>
      <c r="E147" s="174" t="s">
        <v>479</v>
      </c>
      <c r="F147" s="176">
        <v>43164</v>
      </c>
      <c r="G147" s="176">
        <v>43165</v>
      </c>
      <c r="H147" s="174" t="s">
        <v>936</v>
      </c>
      <c r="I147" s="175" t="e">
        <f>VLOOKUP($H147,Mapping!$A:$A,1,0)</f>
        <v>#N/A</v>
      </c>
      <c r="J147" s="179" t="s">
        <v>486</v>
      </c>
      <c r="K147" s="174" t="s">
        <v>475</v>
      </c>
      <c r="L147" s="178">
        <v>8152000</v>
      </c>
      <c r="M147" s="178">
        <v>99.203125</v>
      </c>
      <c r="N147" s="178">
        <v>2.8424247609000002</v>
      </c>
      <c r="O147" s="178">
        <v>-8098805.1035911599</v>
      </c>
      <c r="P147" s="174" t="s">
        <v>337</v>
      </c>
      <c r="Q147" s="174" t="s">
        <v>476</v>
      </c>
      <c r="R147" s="174" t="s">
        <v>22</v>
      </c>
      <c r="S147" s="174" t="s">
        <v>129</v>
      </c>
      <c r="T147" s="175" t="str">
        <f>VLOOKUP($S147,Mapping!$C:$C,1,0)</f>
        <v>Omgeo</v>
      </c>
      <c r="U147" s="174" t="s">
        <v>960</v>
      </c>
      <c r="V147" s="174" t="s">
        <v>132</v>
      </c>
      <c r="W147" s="175"/>
      <c r="X147" s="175"/>
      <c r="Y147" s="174" t="s">
        <v>469</v>
      </c>
      <c r="Z147" s="174" t="s">
        <v>481</v>
      </c>
      <c r="AA147" s="174" t="s">
        <v>22</v>
      </c>
      <c r="AB147" s="174"/>
      <c r="AC147" s="175"/>
      <c r="AD147" s="174" t="s">
        <v>512</v>
      </c>
      <c r="AE147" s="176">
        <v>43164.448148148149</v>
      </c>
      <c r="AF147" s="174" t="s">
        <v>960</v>
      </c>
      <c r="AG147" s="176">
        <v>43164.44462962963</v>
      </c>
      <c r="AH147" s="176">
        <v>43164.444687499999</v>
      </c>
      <c r="AI147" s="175"/>
      <c r="AJ147" s="175"/>
      <c r="AK147" s="178">
        <v>1</v>
      </c>
    </row>
    <row r="148" spans="1:37" ht="15.95" customHeight="1" x14ac:dyDescent="0.25">
      <c r="A148" s="174" t="s">
        <v>484</v>
      </c>
      <c r="B148" s="174" t="s">
        <v>961</v>
      </c>
      <c r="C148" s="175"/>
      <c r="D148" s="174" t="s">
        <v>478</v>
      </c>
      <c r="E148" s="174" t="s">
        <v>479</v>
      </c>
      <c r="F148" s="176">
        <v>43164</v>
      </c>
      <c r="G148" s="176">
        <v>43166</v>
      </c>
      <c r="H148" s="174" t="s">
        <v>936</v>
      </c>
      <c r="I148" s="175" t="e">
        <f>VLOOKUP($H148,Mapping!$A:$A,1,0)</f>
        <v>#N/A</v>
      </c>
      <c r="J148" s="177" t="s">
        <v>466</v>
      </c>
      <c r="K148" s="174" t="s">
        <v>962</v>
      </c>
      <c r="L148" s="178">
        <v>8923000</v>
      </c>
      <c r="M148" s="178">
        <v>94.040999999999997</v>
      </c>
      <c r="N148" s="178">
        <v>4.2320035920999999</v>
      </c>
      <c r="O148" s="178">
        <v>8522273.0272222199</v>
      </c>
      <c r="P148" s="174" t="s">
        <v>337</v>
      </c>
      <c r="Q148" s="174" t="s">
        <v>963</v>
      </c>
      <c r="R148" s="174" t="s">
        <v>22</v>
      </c>
      <c r="S148" s="174" t="s">
        <v>129</v>
      </c>
      <c r="T148" s="175" t="str">
        <f>VLOOKUP($S148,Mapping!$C:$C,1,0)</f>
        <v>Omgeo</v>
      </c>
      <c r="U148" s="174" t="s">
        <v>964</v>
      </c>
      <c r="V148" s="174" t="s">
        <v>132</v>
      </c>
      <c r="W148" s="175"/>
      <c r="X148" s="175"/>
      <c r="Y148" s="174" t="s">
        <v>640</v>
      </c>
      <c r="Z148" s="174" t="s">
        <v>481</v>
      </c>
      <c r="AA148" s="174" t="s">
        <v>22</v>
      </c>
      <c r="AB148" s="174"/>
      <c r="AC148" s="175"/>
      <c r="AD148" s="174" t="s">
        <v>512</v>
      </c>
      <c r="AE148" s="176">
        <v>43164.448148148149</v>
      </c>
      <c r="AF148" s="174" t="s">
        <v>964</v>
      </c>
      <c r="AG148" s="176">
        <v>43164.44462962963</v>
      </c>
      <c r="AH148" s="176">
        <v>43164.444699074076</v>
      </c>
      <c r="AI148" s="175"/>
      <c r="AJ148" s="175"/>
      <c r="AK148" s="178">
        <v>1</v>
      </c>
    </row>
    <row r="149" spans="1:37" ht="15.95" customHeight="1" x14ac:dyDescent="0.25">
      <c r="A149" s="174" t="s">
        <v>461</v>
      </c>
      <c r="B149" s="174" t="s">
        <v>965</v>
      </c>
      <c r="C149" s="175"/>
      <c r="D149" s="174" t="s">
        <v>463</v>
      </c>
      <c r="E149" s="174" t="s">
        <v>506</v>
      </c>
      <c r="F149" s="176">
        <v>43164</v>
      </c>
      <c r="G149" s="176">
        <v>43165</v>
      </c>
      <c r="H149" s="174" t="s">
        <v>936</v>
      </c>
      <c r="I149" s="175" t="e">
        <f>VLOOKUP($H149,Mapping!$A:$A,1,0)</f>
        <v>#N/A</v>
      </c>
      <c r="J149" s="179" t="s">
        <v>486</v>
      </c>
      <c r="K149" s="174" t="s">
        <v>508</v>
      </c>
      <c r="L149" s="178">
        <v>194000000</v>
      </c>
      <c r="M149" s="178">
        <v>99.921875</v>
      </c>
      <c r="N149" s="178">
        <v>2.7623302873000002</v>
      </c>
      <c r="O149" s="178">
        <v>-193935421.19565216</v>
      </c>
      <c r="P149" s="174" t="s">
        <v>337</v>
      </c>
      <c r="Q149" s="174" t="s">
        <v>509</v>
      </c>
      <c r="R149" s="174" t="s">
        <v>22</v>
      </c>
      <c r="S149" s="174" t="s">
        <v>129</v>
      </c>
      <c r="T149" s="175" t="str">
        <f>VLOOKUP($S149,Mapping!$C:$C,1,0)</f>
        <v>Omgeo</v>
      </c>
      <c r="U149" s="174" t="s">
        <v>966</v>
      </c>
      <c r="V149" s="174" t="s">
        <v>132</v>
      </c>
      <c r="W149" s="175"/>
      <c r="X149" s="175"/>
      <c r="Y149" s="174" t="s">
        <v>469</v>
      </c>
      <c r="Z149" s="174" t="s">
        <v>511</v>
      </c>
      <c r="AA149" s="174" t="s">
        <v>22</v>
      </c>
      <c r="AB149" s="174"/>
      <c r="AC149" s="175"/>
      <c r="AD149" s="174" t="s">
        <v>512</v>
      </c>
      <c r="AE149" s="176">
        <v>43164.448148148149</v>
      </c>
      <c r="AF149" s="174" t="s">
        <v>966</v>
      </c>
      <c r="AG149" s="176">
        <v>43164.446296296293</v>
      </c>
      <c r="AH149" s="176">
        <v>43164.446388888886</v>
      </c>
      <c r="AI149" s="174" t="s">
        <v>473</v>
      </c>
      <c r="AJ149" s="175"/>
      <c r="AK149" s="178">
        <v>1</v>
      </c>
    </row>
    <row r="150" spans="1:37" ht="15.95" customHeight="1" x14ac:dyDescent="0.25">
      <c r="A150" s="174" t="s">
        <v>461</v>
      </c>
      <c r="B150" s="174" t="s">
        <v>967</v>
      </c>
      <c r="C150" s="175"/>
      <c r="D150" s="174" t="s">
        <v>478</v>
      </c>
      <c r="E150" s="174" t="s">
        <v>600</v>
      </c>
      <c r="F150" s="176">
        <v>43164</v>
      </c>
      <c r="G150" s="176">
        <v>43165</v>
      </c>
      <c r="H150" s="174" t="s">
        <v>936</v>
      </c>
      <c r="I150" s="175" t="e">
        <f>VLOOKUP($H150,Mapping!$A:$A,1,0)</f>
        <v>#N/A</v>
      </c>
      <c r="J150" s="177" t="s">
        <v>466</v>
      </c>
      <c r="K150" s="174" t="s">
        <v>475</v>
      </c>
      <c r="L150" s="178">
        <v>25000000</v>
      </c>
      <c r="M150" s="178">
        <v>99.1953125</v>
      </c>
      <c r="N150" s="178">
        <v>2.8433360745999998</v>
      </c>
      <c r="O150" s="178">
        <v>24834912.379143652</v>
      </c>
      <c r="P150" s="174" t="s">
        <v>337</v>
      </c>
      <c r="Q150" s="174" t="s">
        <v>476</v>
      </c>
      <c r="R150" s="174" t="s">
        <v>22</v>
      </c>
      <c r="S150" s="174" t="s">
        <v>129</v>
      </c>
      <c r="T150" s="175" t="str">
        <f>VLOOKUP($S150,Mapping!$C:$C,1,0)</f>
        <v>Omgeo</v>
      </c>
      <c r="U150" s="174" t="s">
        <v>968</v>
      </c>
      <c r="V150" s="174" t="s">
        <v>132</v>
      </c>
      <c r="W150" s="175"/>
      <c r="X150" s="175"/>
      <c r="Y150" s="174" t="s">
        <v>469</v>
      </c>
      <c r="Z150" s="174" t="s">
        <v>604</v>
      </c>
      <c r="AA150" s="174" t="s">
        <v>22</v>
      </c>
      <c r="AB150" s="174"/>
      <c r="AC150" s="175"/>
      <c r="AD150" s="174" t="s">
        <v>969</v>
      </c>
      <c r="AE150" s="176">
        <v>43164.44158564815</v>
      </c>
      <c r="AF150" s="174" t="s">
        <v>968</v>
      </c>
      <c r="AG150" s="176">
        <v>43164.480196759258</v>
      </c>
      <c r="AH150" s="176">
        <v>43164.480196759258</v>
      </c>
      <c r="AI150" s="175"/>
      <c r="AJ150" s="175"/>
      <c r="AK150" s="178">
        <v>1</v>
      </c>
    </row>
    <row r="151" spans="1:37" ht="15.95" customHeight="1" x14ac:dyDescent="0.25">
      <c r="A151" s="174" t="s">
        <v>461</v>
      </c>
      <c r="B151" s="174" t="s">
        <v>970</v>
      </c>
      <c r="C151" s="175"/>
      <c r="D151" s="174" t="s">
        <v>478</v>
      </c>
      <c r="E151" s="174" t="s">
        <v>600</v>
      </c>
      <c r="F151" s="176">
        <v>43164</v>
      </c>
      <c r="G151" s="176">
        <v>43165</v>
      </c>
      <c r="H151" s="174" t="s">
        <v>936</v>
      </c>
      <c r="I151" s="175" t="e">
        <f>VLOOKUP($H151,Mapping!$A:$A,1,0)</f>
        <v>#N/A</v>
      </c>
      <c r="J151" s="177" t="s">
        <v>466</v>
      </c>
      <c r="K151" s="174" t="s">
        <v>475</v>
      </c>
      <c r="L151" s="178">
        <v>7340000</v>
      </c>
      <c r="M151" s="178">
        <v>99.11328125</v>
      </c>
      <c r="N151" s="178">
        <v>2.8529098138000002</v>
      </c>
      <c r="O151" s="178">
        <v>7285509.1807665704</v>
      </c>
      <c r="P151" s="174" t="s">
        <v>337</v>
      </c>
      <c r="Q151" s="174" t="s">
        <v>476</v>
      </c>
      <c r="R151" s="174" t="s">
        <v>22</v>
      </c>
      <c r="S151" s="174" t="s">
        <v>129</v>
      </c>
      <c r="T151" s="175" t="str">
        <f>VLOOKUP($S151,Mapping!$C:$C,1,0)</f>
        <v>Omgeo</v>
      </c>
      <c r="U151" s="174" t="s">
        <v>971</v>
      </c>
      <c r="V151" s="174" t="s">
        <v>132</v>
      </c>
      <c r="W151" s="175"/>
      <c r="X151" s="175"/>
      <c r="Y151" s="174" t="s">
        <v>469</v>
      </c>
      <c r="Z151" s="174" t="s">
        <v>604</v>
      </c>
      <c r="AA151" s="174" t="s">
        <v>22</v>
      </c>
      <c r="AB151" s="174"/>
      <c r="AC151" s="175"/>
      <c r="AD151" s="174" t="s">
        <v>969</v>
      </c>
      <c r="AE151" s="176">
        <v>43164.467534722222</v>
      </c>
      <c r="AF151" s="174" t="s">
        <v>971</v>
      </c>
      <c r="AG151" s="176">
        <v>43164.480312500003</v>
      </c>
      <c r="AH151" s="176">
        <v>43164.480312500003</v>
      </c>
      <c r="AI151" s="175"/>
      <c r="AJ151" s="175"/>
      <c r="AK151" s="178">
        <v>1</v>
      </c>
    </row>
    <row r="152" spans="1:37" ht="15.95" customHeight="1" x14ac:dyDescent="0.25">
      <c r="A152" s="174" t="s">
        <v>484</v>
      </c>
      <c r="B152" s="174" t="s">
        <v>972</v>
      </c>
      <c r="C152" s="175"/>
      <c r="D152" s="174" t="s">
        <v>478</v>
      </c>
      <c r="E152" s="174" t="s">
        <v>582</v>
      </c>
      <c r="F152" s="176">
        <v>43164</v>
      </c>
      <c r="G152" s="176">
        <v>43166</v>
      </c>
      <c r="H152" s="174" t="s">
        <v>936</v>
      </c>
      <c r="I152" s="175" t="e">
        <f>VLOOKUP($H152,Mapping!$A:$A,1,0)</f>
        <v>#N/A</v>
      </c>
      <c r="J152" s="179" t="s">
        <v>486</v>
      </c>
      <c r="K152" s="174" t="s">
        <v>583</v>
      </c>
      <c r="L152" s="178">
        <v>4550000</v>
      </c>
      <c r="M152" s="178">
        <v>99.049000000000007</v>
      </c>
      <c r="N152" s="178">
        <v>3.7900239821000001</v>
      </c>
      <c r="O152" s="178">
        <v>-4523337</v>
      </c>
      <c r="P152" s="174" t="s">
        <v>337</v>
      </c>
      <c r="Q152" s="174" t="s">
        <v>584</v>
      </c>
      <c r="R152" s="174" t="s">
        <v>22</v>
      </c>
      <c r="S152" s="174" t="s">
        <v>129</v>
      </c>
      <c r="T152" s="175" t="str">
        <f>VLOOKUP($S152,Mapping!$C:$C,1,0)</f>
        <v>Omgeo</v>
      </c>
      <c r="U152" s="174" t="s">
        <v>973</v>
      </c>
      <c r="V152" s="174" t="s">
        <v>132</v>
      </c>
      <c r="W152" s="175"/>
      <c r="X152" s="175"/>
      <c r="Y152" s="174" t="s">
        <v>489</v>
      </c>
      <c r="Z152" s="174" t="s">
        <v>586</v>
      </c>
      <c r="AA152" s="174" t="s">
        <v>22</v>
      </c>
      <c r="AB152" s="174"/>
      <c r="AC152" s="175"/>
      <c r="AD152" s="174" t="s">
        <v>512</v>
      </c>
      <c r="AE152" s="176">
        <v>43164.506192129629</v>
      </c>
      <c r="AF152" s="174" t="s">
        <v>973</v>
      </c>
      <c r="AG152" s="176">
        <v>43164.502280092594</v>
      </c>
      <c r="AH152" s="176">
        <v>43164.502349537041</v>
      </c>
      <c r="AI152" s="175"/>
      <c r="AJ152" s="175"/>
      <c r="AK152" s="178">
        <v>1</v>
      </c>
    </row>
    <row r="153" spans="1:37" ht="15.95" customHeight="1" x14ac:dyDescent="0.25">
      <c r="A153" s="174" t="s">
        <v>461</v>
      </c>
      <c r="B153" s="174" t="s">
        <v>974</v>
      </c>
      <c r="C153" s="175"/>
      <c r="D153" s="174" t="s">
        <v>478</v>
      </c>
      <c r="E153" s="174" t="s">
        <v>582</v>
      </c>
      <c r="F153" s="176">
        <v>43164</v>
      </c>
      <c r="G153" s="176">
        <v>43165</v>
      </c>
      <c r="H153" s="174" t="s">
        <v>936</v>
      </c>
      <c r="I153" s="175" t="e">
        <f>VLOOKUP($H153,Mapping!$A:$A,1,0)</f>
        <v>#N/A</v>
      </c>
      <c r="J153" s="177" t="s">
        <v>466</v>
      </c>
      <c r="K153" s="174" t="s">
        <v>475</v>
      </c>
      <c r="L153" s="178">
        <v>3595000</v>
      </c>
      <c r="M153" s="178">
        <v>98.96875</v>
      </c>
      <c r="N153" s="178">
        <v>2.8697998404999998</v>
      </c>
      <c r="O153" s="178">
        <v>3563115.47824586</v>
      </c>
      <c r="P153" s="174" t="s">
        <v>337</v>
      </c>
      <c r="Q153" s="174" t="s">
        <v>476</v>
      </c>
      <c r="R153" s="174" t="s">
        <v>22</v>
      </c>
      <c r="S153" s="174" t="s">
        <v>129</v>
      </c>
      <c r="T153" s="175" t="str">
        <f>VLOOKUP($S153,Mapping!$C:$C,1,0)</f>
        <v>Omgeo</v>
      </c>
      <c r="U153" s="174" t="s">
        <v>975</v>
      </c>
      <c r="V153" s="174" t="s">
        <v>132</v>
      </c>
      <c r="W153" s="175"/>
      <c r="X153" s="175"/>
      <c r="Y153" s="174" t="s">
        <v>469</v>
      </c>
      <c r="Z153" s="174" t="s">
        <v>586</v>
      </c>
      <c r="AA153" s="174" t="s">
        <v>22</v>
      </c>
      <c r="AB153" s="174"/>
      <c r="AC153" s="175"/>
      <c r="AD153" s="174" t="s">
        <v>512</v>
      </c>
      <c r="AE153" s="176">
        <v>43164.506192129629</v>
      </c>
      <c r="AF153" s="174" t="s">
        <v>975</v>
      </c>
      <c r="AG153" s="176">
        <v>43164.502291666664</v>
      </c>
      <c r="AH153" s="176">
        <v>43164.50236111111</v>
      </c>
      <c r="AI153" s="175"/>
      <c r="AJ153" s="175"/>
      <c r="AK153" s="178">
        <v>1</v>
      </c>
    </row>
    <row r="154" spans="1:37" ht="15.95" customHeight="1" x14ac:dyDescent="0.25">
      <c r="A154" s="174" t="s">
        <v>484</v>
      </c>
      <c r="B154" s="174" t="s">
        <v>976</v>
      </c>
      <c r="C154" s="175"/>
      <c r="D154" s="174" t="s">
        <v>478</v>
      </c>
      <c r="E154" s="174" t="s">
        <v>768</v>
      </c>
      <c r="F154" s="176">
        <v>43164</v>
      </c>
      <c r="G154" s="176">
        <v>43166</v>
      </c>
      <c r="H154" s="174" t="s">
        <v>936</v>
      </c>
      <c r="I154" s="175" t="e">
        <f>VLOOKUP($H154,Mapping!$A:$A,1,0)</f>
        <v>#N/A</v>
      </c>
      <c r="J154" s="179" t="s">
        <v>486</v>
      </c>
      <c r="K154" s="174" t="s">
        <v>977</v>
      </c>
      <c r="L154" s="178">
        <v>16500000</v>
      </c>
      <c r="M154" s="178">
        <v>97.58</v>
      </c>
      <c r="N154" s="178">
        <v>4.4029666023000003</v>
      </c>
      <c r="O154" s="178">
        <v>-16142041.66666667</v>
      </c>
      <c r="P154" s="174" t="s">
        <v>337</v>
      </c>
      <c r="Q154" s="174" t="s">
        <v>978</v>
      </c>
      <c r="R154" s="174" t="s">
        <v>22</v>
      </c>
      <c r="S154" s="174" t="s">
        <v>129</v>
      </c>
      <c r="T154" s="175" t="str">
        <f>VLOOKUP($S154,Mapping!$C:$C,1,0)</f>
        <v>Omgeo</v>
      </c>
      <c r="U154" s="174" t="s">
        <v>979</v>
      </c>
      <c r="V154" s="174" t="s">
        <v>132</v>
      </c>
      <c r="W154" s="175"/>
      <c r="X154" s="175"/>
      <c r="Y154" s="174" t="s">
        <v>489</v>
      </c>
      <c r="Z154" s="174" t="s">
        <v>770</v>
      </c>
      <c r="AA154" s="174" t="s">
        <v>22</v>
      </c>
      <c r="AB154" s="174"/>
      <c r="AC154" s="175"/>
      <c r="AD154" s="174" t="s">
        <v>512</v>
      </c>
      <c r="AE154" s="176">
        <v>43164.506192129629</v>
      </c>
      <c r="AF154" s="174" t="s">
        <v>979</v>
      </c>
      <c r="AG154" s="176">
        <v>43164.503125000003</v>
      </c>
      <c r="AH154" s="176">
        <v>43164.503182870372</v>
      </c>
      <c r="AI154" s="175"/>
      <c r="AJ154" s="175"/>
      <c r="AK154" s="178">
        <v>1</v>
      </c>
    </row>
    <row r="155" spans="1:37" ht="15.95" customHeight="1" x14ac:dyDescent="0.25">
      <c r="A155" s="174" t="s">
        <v>461</v>
      </c>
      <c r="B155" s="174" t="s">
        <v>980</v>
      </c>
      <c r="C155" s="175"/>
      <c r="D155" s="174" t="s">
        <v>478</v>
      </c>
      <c r="E155" s="174" t="s">
        <v>768</v>
      </c>
      <c r="F155" s="176">
        <v>43164</v>
      </c>
      <c r="G155" s="176">
        <v>43165</v>
      </c>
      <c r="H155" s="174" t="s">
        <v>936</v>
      </c>
      <c r="I155" s="175" t="e">
        <f>VLOOKUP($H155,Mapping!$A:$A,1,0)</f>
        <v>#N/A</v>
      </c>
      <c r="J155" s="177" t="s">
        <v>466</v>
      </c>
      <c r="K155" s="174" t="s">
        <v>475</v>
      </c>
      <c r="L155" s="178">
        <v>15200000</v>
      </c>
      <c r="M155" s="178">
        <v>98.9375</v>
      </c>
      <c r="N155" s="178">
        <v>2.8734554375000001</v>
      </c>
      <c r="O155" s="178">
        <v>15060439.226519339</v>
      </c>
      <c r="P155" s="174" t="s">
        <v>337</v>
      </c>
      <c r="Q155" s="174" t="s">
        <v>476</v>
      </c>
      <c r="R155" s="174" t="s">
        <v>22</v>
      </c>
      <c r="S155" s="174" t="s">
        <v>129</v>
      </c>
      <c r="T155" s="175" t="str">
        <f>VLOOKUP($S155,Mapping!$C:$C,1,0)</f>
        <v>Omgeo</v>
      </c>
      <c r="U155" s="174" t="s">
        <v>981</v>
      </c>
      <c r="V155" s="174" t="s">
        <v>132</v>
      </c>
      <c r="W155" s="175"/>
      <c r="X155" s="175"/>
      <c r="Y155" s="174" t="s">
        <v>469</v>
      </c>
      <c r="Z155" s="174" t="s">
        <v>770</v>
      </c>
      <c r="AA155" s="174" t="s">
        <v>22</v>
      </c>
      <c r="AB155" s="174"/>
      <c r="AC155" s="175"/>
      <c r="AD155" s="174" t="s">
        <v>512</v>
      </c>
      <c r="AE155" s="176">
        <v>43164.506192129629</v>
      </c>
      <c r="AF155" s="174" t="s">
        <v>981</v>
      </c>
      <c r="AG155" s="176">
        <v>43164.503125000003</v>
      </c>
      <c r="AH155" s="176">
        <v>43164.503194444442</v>
      </c>
      <c r="AI155" s="175"/>
      <c r="AJ155" s="175"/>
      <c r="AK155" s="178">
        <v>1</v>
      </c>
    </row>
    <row r="156" spans="1:37" ht="15.95" customHeight="1" x14ac:dyDescent="0.25">
      <c r="A156" s="174" t="s">
        <v>461</v>
      </c>
      <c r="B156" s="174" t="s">
        <v>982</v>
      </c>
      <c r="C156" s="175"/>
      <c r="D156" s="174" t="s">
        <v>478</v>
      </c>
      <c r="E156" s="174" t="s">
        <v>600</v>
      </c>
      <c r="F156" s="176">
        <v>43164</v>
      </c>
      <c r="G156" s="176">
        <v>43165</v>
      </c>
      <c r="H156" s="174" t="s">
        <v>936</v>
      </c>
      <c r="I156" s="175" t="e">
        <f>VLOOKUP($H156,Mapping!$A:$A,1,0)</f>
        <v>#N/A</v>
      </c>
      <c r="J156" s="177" t="s">
        <v>466</v>
      </c>
      <c r="K156" s="174" t="s">
        <v>475</v>
      </c>
      <c r="L156" s="178">
        <v>5000000</v>
      </c>
      <c r="M156" s="178">
        <v>98.96875</v>
      </c>
      <c r="N156" s="178">
        <v>2.8697998404999998</v>
      </c>
      <c r="O156" s="178">
        <v>4955654.3508287305</v>
      </c>
      <c r="P156" s="174" t="s">
        <v>337</v>
      </c>
      <c r="Q156" s="174" t="s">
        <v>476</v>
      </c>
      <c r="R156" s="174" t="s">
        <v>22</v>
      </c>
      <c r="S156" s="174" t="s">
        <v>129</v>
      </c>
      <c r="T156" s="175" t="str">
        <f>VLOOKUP($S156,Mapping!$C:$C,1,0)</f>
        <v>Omgeo</v>
      </c>
      <c r="U156" s="174" t="s">
        <v>983</v>
      </c>
      <c r="V156" s="174" t="s">
        <v>132</v>
      </c>
      <c r="W156" s="175"/>
      <c r="X156" s="175"/>
      <c r="Y156" s="174" t="s">
        <v>469</v>
      </c>
      <c r="Z156" s="174" t="s">
        <v>604</v>
      </c>
      <c r="AA156" s="174" t="s">
        <v>22</v>
      </c>
      <c r="AB156" s="174"/>
      <c r="AC156" s="175"/>
      <c r="AD156" s="174" t="s">
        <v>969</v>
      </c>
      <c r="AE156" s="176">
        <v>43164.493368055555</v>
      </c>
      <c r="AF156" s="174" t="s">
        <v>983</v>
      </c>
      <c r="AG156" s="176">
        <v>43164.509340277778</v>
      </c>
      <c r="AH156" s="176">
        <v>43164.509340277778</v>
      </c>
      <c r="AI156" s="175"/>
      <c r="AJ156" s="175"/>
      <c r="AK156" s="178">
        <v>1</v>
      </c>
    </row>
    <row r="157" spans="1:37" ht="15.95" customHeight="1" x14ac:dyDescent="0.25">
      <c r="A157" s="174" t="s">
        <v>461</v>
      </c>
      <c r="B157" s="174" t="s">
        <v>984</v>
      </c>
      <c r="C157" s="175"/>
      <c r="D157" s="174" t="s">
        <v>478</v>
      </c>
      <c r="E157" s="174" t="s">
        <v>600</v>
      </c>
      <c r="F157" s="176">
        <v>43164</v>
      </c>
      <c r="G157" s="176">
        <v>43165</v>
      </c>
      <c r="H157" s="174" t="s">
        <v>936</v>
      </c>
      <c r="I157" s="175" t="e">
        <f>VLOOKUP($H157,Mapping!$A:$A,1,0)</f>
        <v>#N/A</v>
      </c>
      <c r="J157" s="177" t="s">
        <v>466</v>
      </c>
      <c r="K157" s="174" t="s">
        <v>475</v>
      </c>
      <c r="L157" s="178">
        <v>29000000</v>
      </c>
      <c r="M157" s="178">
        <v>98.765625</v>
      </c>
      <c r="N157" s="178">
        <v>2.8935847932000001</v>
      </c>
      <c r="O157" s="178">
        <v>28683888.984806631</v>
      </c>
      <c r="P157" s="174" t="s">
        <v>337</v>
      </c>
      <c r="Q157" s="174" t="s">
        <v>476</v>
      </c>
      <c r="R157" s="174" t="s">
        <v>22</v>
      </c>
      <c r="S157" s="174" t="s">
        <v>129</v>
      </c>
      <c r="T157" s="175" t="str">
        <f>VLOOKUP($S157,Mapping!$C:$C,1,0)</f>
        <v>Omgeo</v>
      </c>
      <c r="U157" s="174" t="s">
        <v>985</v>
      </c>
      <c r="V157" s="174" t="s">
        <v>132</v>
      </c>
      <c r="W157" s="175"/>
      <c r="X157" s="175"/>
      <c r="Y157" s="174" t="s">
        <v>469</v>
      </c>
      <c r="Z157" s="174" t="s">
        <v>604</v>
      </c>
      <c r="AA157" s="174" t="s">
        <v>22</v>
      </c>
      <c r="AB157" s="174"/>
      <c r="AC157" s="175"/>
      <c r="AD157" s="174" t="s">
        <v>969</v>
      </c>
      <c r="AE157" s="176">
        <v>43164.545046296298</v>
      </c>
      <c r="AF157" s="174" t="s">
        <v>985</v>
      </c>
      <c r="AG157" s="176">
        <v>43164.545219907406</v>
      </c>
      <c r="AH157" s="176">
        <v>43164.545219907406</v>
      </c>
      <c r="AI157" s="175"/>
      <c r="AJ157" s="175"/>
      <c r="AK157" s="178">
        <v>1</v>
      </c>
    </row>
    <row r="158" spans="1:37" ht="15.95" customHeight="1" x14ac:dyDescent="0.25">
      <c r="A158" s="174" t="s">
        <v>461</v>
      </c>
      <c r="B158" s="174" t="s">
        <v>986</v>
      </c>
      <c r="C158" s="175"/>
      <c r="D158" s="174" t="s">
        <v>478</v>
      </c>
      <c r="E158" s="174" t="s">
        <v>600</v>
      </c>
      <c r="F158" s="176">
        <v>43164</v>
      </c>
      <c r="G158" s="176">
        <v>43165</v>
      </c>
      <c r="H158" s="174" t="s">
        <v>936</v>
      </c>
      <c r="I158" s="175" t="e">
        <f>VLOOKUP($H158,Mapping!$A:$A,1,0)</f>
        <v>#N/A</v>
      </c>
      <c r="J158" s="177" t="s">
        <v>466</v>
      </c>
      <c r="K158" s="174" t="s">
        <v>475</v>
      </c>
      <c r="L158" s="178">
        <v>25000000</v>
      </c>
      <c r="M158" s="178">
        <v>98.87890625</v>
      </c>
      <c r="N158" s="178">
        <v>2.8803132332999999</v>
      </c>
      <c r="O158" s="178">
        <v>24755810.816643648</v>
      </c>
      <c r="P158" s="174" t="s">
        <v>337</v>
      </c>
      <c r="Q158" s="174" t="s">
        <v>476</v>
      </c>
      <c r="R158" s="174" t="s">
        <v>22</v>
      </c>
      <c r="S158" s="174" t="s">
        <v>129</v>
      </c>
      <c r="T158" s="175" t="str">
        <f>VLOOKUP($S158,Mapping!$C:$C,1,0)</f>
        <v>Omgeo</v>
      </c>
      <c r="U158" s="174" t="s">
        <v>987</v>
      </c>
      <c r="V158" s="174" t="s">
        <v>132</v>
      </c>
      <c r="W158" s="175"/>
      <c r="X158" s="175"/>
      <c r="Y158" s="174" t="s">
        <v>469</v>
      </c>
      <c r="Z158" s="174" t="s">
        <v>604</v>
      </c>
      <c r="AA158" s="174" t="s">
        <v>22</v>
      </c>
      <c r="AB158" s="174"/>
      <c r="AC158" s="175"/>
      <c r="AD158" s="174" t="s">
        <v>969</v>
      </c>
      <c r="AE158" s="176">
        <v>43164.532129629632</v>
      </c>
      <c r="AF158" s="174" t="s">
        <v>987</v>
      </c>
      <c r="AG158" s="176">
        <v>43164.545219907406</v>
      </c>
      <c r="AH158" s="176">
        <v>43164.545219907406</v>
      </c>
      <c r="AI158" s="175"/>
      <c r="AJ158" s="175"/>
      <c r="AK158" s="178">
        <v>1</v>
      </c>
    </row>
    <row r="159" spans="1:37" ht="15.95" customHeight="1" x14ac:dyDescent="0.25">
      <c r="A159" s="174" t="s">
        <v>484</v>
      </c>
      <c r="B159" s="174" t="s">
        <v>988</v>
      </c>
      <c r="C159" s="175"/>
      <c r="D159" s="174" t="s">
        <v>478</v>
      </c>
      <c r="E159" s="174" t="s">
        <v>596</v>
      </c>
      <c r="F159" s="176">
        <v>43164</v>
      </c>
      <c r="G159" s="176">
        <v>43168</v>
      </c>
      <c r="H159" s="174" t="s">
        <v>936</v>
      </c>
      <c r="I159" s="175" t="e">
        <f>VLOOKUP($H159,Mapping!$A:$A,1,0)</f>
        <v>#N/A</v>
      </c>
      <c r="J159" s="179" t="s">
        <v>486</v>
      </c>
      <c r="K159" s="174" t="s">
        <v>989</v>
      </c>
      <c r="L159" s="178">
        <v>2000000</v>
      </c>
      <c r="M159" s="178">
        <v>98.77</v>
      </c>
      <c r="N159" s="178">
        <v>6.6267826858000003</v>
      </c>
      <c r="O159" s="178">
        <v>-1975400</v>
      </c>
      <c r="P159" s="174" t="s">
        <v>337</v>
      </c>
      <c r="Q159" s="174" t="s">
        <v>990</v>
      </c>
      <c r="R159" s="174" t="s">
        <v>22</v>
      </c>
      <c r="S159" s="174" t="s">
        <v>129</v>
      </c>
      <c r="T159" s="175" t="str">
        <f>VLOOKUP($S159,Mapping!$C:$C,1,0)</f>
        <v>Omgeo</v>
      </c>
      <c r="U159" s="174" t="s">
        <v>991</v>
      </c>
      <c r="V159" s="174" t="s">
        <v>132</v>
      </c>
      <c r="W159" s="175"/>
      <c r="X159" s="175"/>
      <c r="Y159" s="174" t="s">
        <v>489</v>
      </c>
      <c r="Z159" s="174" t="s">
        <v>598</v>
      </c>
      <c r="AA159" s="174" t="s">
        <v>22</v>
      </c>
      <c r="AB159" s="174"/>
      <c r="AC159" s="175"/>
      <c r="AD159" s="174" t="s">
        <v>512</v>
      </c>
      <c r="AE159" s="176">
        <v>43164.584733796299</v>
      </c>
      <c r="AF159" s="174" t="s">
        <v>991</v>
      </c>
      <c r="AG159" s="176">
        <v>43164.578310185185</v>
      </c>
      <c r="AH159" s="176">
        <v>43164.578368055554</v>
      </c>
      <c r="AI159" s="175"/>
      <c r="AJ159" s="175"/>
      <c r="AK159" s="178">
        <v>1</v>
      </c>
    </row>
    <row r="160" spans="1:37" ht="15.95" customHeight="1" x14ac:dyDescent="0.25">
      <c r="A160" s="174" t="s">
        <v>484</v>
      </c>
      <c r="B160" s="174" t="s">
        <v>992</v>
      </c>
      <c r="C160" s="175"/>
      <c r="D160" s="174" t="s">
        <v>478</v>
      </c>
      <c r="E160" s="174" t="s">
        <v>846</v>
      </c>
      <c r="F160" s="176">
        <v>43164</v>
      </c>
      <c r="G160" s="176">
        <v>43167</v>
      </c>
      <c r="H160" s="174" t="s">
        <v>936</v>
      </c>
      <c r="I160" s="175" t="e">
        <f>VLOOKUP($H160,Mapping!$A:$A,1,0)</f>
        <v>#N/A</v>
      </c>
      <c r="J160" s="179" t="s">
        <v>486</v>
      </c>
      <c r="K160" s="174" t="s">
        <v>619</v>
      </c>
      <c r="L160" s="178">
        <v>3500000</v>
      </c>
      <c r="M160" s="178">
        <v>99.55</v>
      </c>
      <c r="N160" s="178">
        <v>4.353572904</v>
      </c>
      <c r="O160" s="178">
        <v>-3484250</v>
      </c>
      <c r="P160" s="174" t="s">
        <v>337</v>
      </c>
      <c r="Q160" s="174" t="s">
        <v>620</v>
      </c>
      <c r="R160" s="174" t="s">
        <v>22</v>
      </c>
      <c r="S160" s="174" t="s">
        <v>129</v>
      </c>
      <c r="T160" s="175" t="str">
        <f>VLOOKUP($S160,Mapping!$C:$C,1,0)</f>
        <v>Omgeo</v>
      </c>
      <c r="U160" s="174" t="s">
        <v>993</v>
      </c>
      <c r="V160" s="174" t="s">
        <v>132</v>
      </c>
      <c r="W160" s="175"/>
      <c r="X160" s="175"/>
      <c r="Y160" s="174" t="s">
        <v>489</v>
      </c>
      <c r="Z160" s="174" t="s">
        <v>851</v>
      </c>
      <c r="AA160" s="174" t="s">
        <v>22</v>
      </c>
      <c r="AB160" s="174"/>
      <c r="AC160" s="175"/>
      <c r="AD160" s="174" t="s">
        <v>742</v>
      </c>
      <c r="AE160" s="176">
        <v>43164.604398148149</v>
      </c>
      <c r="AF160" s="174" t="s">
        <v>993</v>
      </c>
      <c r="AG160" s="176">
        <v>43164.600497685184</v>
      </c>
      <c r="AH160" s="176">
        <v>43164.600497685184</v>
      </c>
      <c r="AI160" s="175"/>
      <c r="AJ160" s="175"/>
      <c r="AK160" s="178">
        <v>1</v>
      </c>
    </row>
    <row r="161" spans="1:37" ht="15.95" customHeight="1" x14ac:dyDescent="0.25">
      <c r="A161" s="174" t="s">
        <v>461</v>
      </c>
      <c r="B161" s="174" t="s">
        <v>994</v>
      </c>
      <c r="C161" s="175"/>
      <c r="D161" s="174" t="s">
        <v>478</v>
      </c>
      <c r="E161" s="174" t="s">
        <v>846</v>
      </c>
      <c r="F161" s="176">
        <v>43164</v>
      </c>
      <c r="G161" s="176">
        <v>43165</v>
      </c>
      <c r="H161" s="174" t="s">
        <v>936</v>
      </c>
      <c r="I161" s="175" t="e">
        <f>VLOOKUP($H161,Mapping!$A:$A,1,0)</f>
        <v>#N/A</v>
      </c>
      <c r="J161" s="177" t="s">
        <v>466</v>
      </c>
      <c r="K161" s="174" t="s">
        <v>475</v>
      </c>
      <c r="L161" s="178">
        <v>3300000</v>
      </c>
      <c r="M161" s="178">
        <v>98.8125</v>
      </c>
      <c r="N161" s="178">
        <v>2.8880910082</v>
      </c>
      <c r="O161" s="178">
        <v>3265575.62154696</v>
      </c>
      <c r="P161" s="174" t="s">
        <v>337</v>
      </c>
      <c r="Q161" s="174" t="s">
        <v>476</v>
      </c>
      <c r="R161" s="174" t="s">
        <v>22</v>
      </c>
      <c r="S161" s="174" t="s">
        <v>129</v>
      </c>
      <c r="T161" s="175" t="str">
        <f>VLOOKUP($S161,Mapping!$C:$C,1,0)</f>
        <v>Omgeo</v>
      </c>
      <c r="U161" s="174" t="s">
        <v>995</v>
      </c>
      <c r="V161" s="174" t="s">
        <v>132</v>
      </c>
      <c r="W161" s="175"/>
      <c r="X161" s="175"/>
      <c r="Y161" s="174" t="s">
        <v>469</v>
      </c>
      <c r="Z161" s="174" t="s">
        <v>851</v>
      </c>
      <c r="AA161" s="174" t="s">
        <v>22</v>
      </c>
      <c r="AB161" s="174"/>
      <c r="AC161" s="175"/>
      <c r="AD161" s="174" t="s">
        <v>742</v>
      </c>
      <c r="AE161" s="176">
        <v>43164.604398148149</v>
      </c>
      <c r="AF161" s="174" t="s">
        <v>995</v>
      </c>
      <c r="AG161" s="176">
        <v>43164.60056712963</v>
      </c>
      <c r="AH161" s="176">
        <v>43164.60056712963</v>
      </c>
      <c r="AI161" s="175"/>
      <c r="AJ161" s="175"/>
      <c r="AK161" s="178">
        <v>1</v>
      </c>
    </row>
    <row r="162" spans="1:37" ht="15.95" customHeight="1" x14ac:dyDescent="0.25">
      <c r="A162" s="174" t="s">
        <v>461</v>
      </c>
      <c r="B162" s="174" t="s">
        <v>996</v>
      </c>
      <c r="C162" s="175"/>
      <c r="D162" s="174" t="s">
        <v>497</v>
      </c>
      <c r="E162" s="174" t="s">
        <v>753</v>
      </c>
      <c r="F162" s="176">
        <v>43164</v>
      </c>
      <c r="G162" s="176">
        <v>43165</v>
      </c>
      <c r="H162" s="174" t="s">
        <v>936</v>
      </c>
      <c r="I162" s="175" t="e">
        <f>VLOOKUP($H162,Mapping!$A:$A,1,0)</f>
        <v>#N/A</v>
      </c>
      <c r="J162" s="179" t="s">
        <v>486</v>
      </c>
      <c r="K162" s="174" t="s">
        <v>997</v>
      </c>
      <c r="L162" s="178">
        <v>6300000</v>
      </c>
      <c r="M162" s="178">
        <v>125.012</v>
      </c>
      <c r="N162" s="178">
        <v>1.4860616909</v>
      </c>
      <c r="O162" s="178">
        <v>-7941222.3461538497</v>
      </c>
      <c r="P162" s="174" t="s">
        <v>998</v>
      </c>
      <c r="Q162" s="174" t="s">
        <v>999</v>
      </c>
      <c r="R162" s="174" t="s">
        <v>22</v>
      </c>
      <c r="S162" s="174" t="s">
        <v>129</v>
      </c>
      <c r="T162" s="175" t="str">
        <f>VLOOKUP($S162,Mapping!$C:$C,1,0)</f>
        <v>Omgeo</v>
      </c>
      <c r="U162" s="174" t="s">
        <v>1000</v>
      </c>
      <c r="V162" s="174" t="s">
        <v>132</v>
      </c>
      <c r="W162" s="175"/>
      <c r="X162" s="175"/>
      <c r="Y162" s="174" t="s">
        <v>1001</v>
      </c>
      <c r="Z162" s="174" t="s">
        <v>757</v>
      </c>
      <c r="AA162" s="174" t="s">
        <v>22</v>
      </c>
      <c r="AB162" s="174"/>
      <c r="AC162" s="175"/>
      <c r="AD162" s="174" t="s">
        <v>512</v>
      </c>
      <c r="AE162" s="176">
        <v>43164.610729166663</v>
      </c>
      <c r="AF162" s="174" t="s">
        <v>1000</v>
      </c>
      <c r="AG162" s="176">
        <v>43164.607303240744</v>
      </c>
      <c r="AH162" s="176">
        <v>43164.607349537036</v>
      </c>
      <c r="AI162" s="175"/>
      <c r="AJ162" s="175"/>
      <c r="AK162" s="178">
        <v>1</v>
      </c>
    </row>
    <row r="163" spans="1:37" ht="15.95" customHeight="1" x14ac:dyDescent="0.25">
      <c r="A163" s="174" t="s">
        <v>461</v>
      </c>
      <c r="B163" s="174" t="s">
        <v>1002</v>
      </c>
      <c r="C163" s="175"/>
      <c r="D163" s="174" t="s">
        <v>497</v>
      </c>
      <c r="E163" s="174" t="s">
        <v>753</v>
      </c>
      <c r="F163" s="176">
        <v>43164</v>
      </c>
      <c r="G163" s="176">
        <v>43165</v>
      </c>
      <c r="H163" s="174" t="s">
        <v>936</v>
      </c>
      <c r="I163" s="175" t="e">
        <f>VLOOKUP($H163,Mapping!$A:$A,1,0)</f>
        <v>#N/A</v>
      </c>
      <c r="J163" s="177" t="s">
        <v>466</v>
      </c>
      <c r="K163" s="174" t="s">
        <v>1003</v>
      </c>
      <c r="L163" s="178">
        <v>7500000</v>
      </c>
      <c r="M163" s="178">
        <v>97.719848999999996</v>
      </c>
      <c r="N163" s="178">
        <v>1.5115619902999999</v>
      </c>
      <c r="O163" s="178">
        <v>7340124.72472376</v>
      </c>
      <c r="P163" s="174" t="s">
        <v>998</v>
      </c>
      <c r="Q163" s="174" t="s">
        <v>1004</v>
      </c>
      <c r="R163" s="174" t="s">
        <v>22</v>
      </c>
      <c r="S163" s="174" t="s">
        <v>129</v>
      </c>
      <c r="T163" s="175" t="str">
        <f>VLOOKUP($S163,Mapping!$C:$C,1,0)</f>
        <v>Omgeo</v>
      </c>
      <c r="U163" s="174" t="s">
        <v>1005</v>
      </c>
      <c r="V163" s="174" t="s">
        <v>132</v>
      </c>
      <c r="W163" s="175"/>
      <c r="X163" s="175"/>
      <c r="Y163" s="174" t="s">
        <v>1001</v>
      </c>
      <c r="Z163" s="174" t="s">
        <v>757</v>
      </c>
      <c r="AA163" s="174" t="s">
        <v>22</v>
      </c>
      <c r="AB163" s="174"/>
      <c r="AC163" s="175"/>
      <c r="AD163" s="174" t="s">
        <v>512</v>
      </c>
      <c r="AE163" s="176">
        <v>43164.610729166663</v>
      </c>
      <c r="AF163" s="174" t="s">
        <v>1005</v>
      </c>
      <c r="AG163" s="176">
        <v>43164.607303240744</v>
      </c>
      <c r="AH163" s="176">
        <v>43164.607407407406</v>
      </c>
      <c r="AI163" s="175"/>
      <c r="AJ163" s="175"/>
      <c r="AK163" s="178">
        <v>1</v>
      </c>
    </row>
    <row r="164" spans="1:37" ht="15.95" customHeight="1" x14ac:dyDescent="0.25">
      <c r="A164" s="174" t="s">
        <v>461</v>
      </c>
      <c r="B164" s="174" t="s">
        <v>1006</v>
      </c>
      <c r="C164" s="175"/>
      <c r="D164" s="174" t="s">
        <v>478</v>
      </c>
      <c r="E164" s="174" t="s">
        <v>768</v>
      </c>
      <c r="F164" s="176">
        <v>43164</v>
      </c>
      <c r="G164" s="176">
        <v>43165</v>
      </c>
      <c r="H164" s="174" t="s">
        <v>936</v>
      </c>
      <c r="I164" s="175" t="e">
        <f>VLOOKUP($H164,Mapping!$A:$A,1,0)</f>
        <v>#N/A</v>
      </c>
      <c r="J164" s="179" t="s">
        <v>486</v>
      </c>
      <c r="K164" s="174" t="s">
        <v>543</v>
      </c>
      <c r="L164" s="178">
        <v>8300000</v>
      </c>
      <c r="M164" s="178">
        <v>92.109375</v>
      </c>
      <c r="N164" s="178">
        <v>3.1615186828000001</v>
      </c>
      <c r="O164" s="178">
        <v>-7715066.3846685104</v>
      </c>
      <c r="P164" s="174" t="s">
        <v>337</v>
      </c>
      <c r="Q164" s="174" t="s">
        <v>544</v>
      </c>
      <c r="R164" s="174" t="s">
        <v>22</v>
      </c>
      <c r="S164" s="174" t="s">
        <v>129</v>
      </c>
      <c r="T164" s="175" t="str">
        <f>VLOOKUP($S164,Mapping!$C:$C,1,0)</f>
        <v>Omgeo</v>
      </c>
      <c r="U164" s="174" t="s">
        <v>1007</v>
      </c>
      <c r="V164" s="174" t="s">
        <v>132</v>
      </c>
      <c r="W164" s="175"/>
      <c r="X164" s="175"/>
      <c r="Y164" s="174" t="s">
        <v>469</v>
      </c>
      <c r="Z164" s="174" t="s">
        <v>770</v>
      </c>
      <c r="AA164" s="174" t="s">
        <v>22</v>
      </c>
      <c r="AB164" s="174"/>
      <c r="AC164" s="175"/>
      <c r="AD164" s="174" t="s">
        <v>512</v>
      </c>
      <c r="AE164" s="176">
        <v>43164.695775462962</v>
      </c>
      <c r="AF164" s="174" t="s">
        <v>1007</v>
      </c>
      <c r="AG164" s="176">
        <v>43164.692418981482</v>
      </c>
      <c r="AH164" s="176">
        <v>43164.692465277774</v>
      </c>
      <c r="AI164" s="175"/>
      <c r="AJ164" s="175"/>
      <c r="AK164" s="178">
        <v>1</v>
      </c>
    </row>
    <row r="165" spans="1:37" ht="15.95" customHeight="1" x14ac:dyDescent="0.25">
      <c r="A165" s="174" t="s">
        <v>484</v>
      </c>
      <c r="B165" s="174" t="s">
        <v>1008</v>
      </c>
      <c r="C165" s="175"/>
      <c r="D165" s="174" t="s">
        <v>478</v>
      </c>
      <c r="E165" s="174" t="s">
        <v>768</v>
      </c>
      <c r="F165" s="176">
        <v>43164</v>
      </c>
      <c r="G165" s="176">
        <v>43166</v>
      </c>
      <c r="H165" s="174" t="s">
        <v>936</v>
      </c>
      <c r="I165" s="175" t="e">
        <f>VLOOKUP($H165,Mapping!$A:$A,1,0)</f>
        <v>#N/A</v>
      </c>
      <c r="J165" s="177" t="s">
        <v>466</v>
      </c>
      <c r="K165" s="174" t="s">
        <v>1009</v>
      </c>
      <c r="L165" s="178">
        <v>10000000</v>
      </c>
      <c r="M165" s="178">
        <v>103.002</v>
      </c>
      <c r="N165" s="178">
        <v>4.9237310364000004</v>
      </c>
      <c r="O165" s="178">
        <v>10367109.72222222</v>
      </c>
      <c r="P165" s="174" t="s">
        <v>337</v>
      </c>
      <c r="Q165" s="174" t="s">
        <v>1010</v>
      </c>
      <c r="R165" s="174" t="s">
        <v>22</v>
      </c>
      <c r="S165" s="174" t="s">
        <v>129</v>
      </c>
      <c r="T165" s="175" t="str">
        <f>VLOOKUP($S165,Mapping!$C:$C,1,0)</f>
        <v>Omgeo</v>
      </c>
      <c r="U165" s="174" t="s">
        <v>1011</v>
      </c>
      <c r="V165" s="174" t="s">
        <v>132</v>
      </c>
      <c r="W165" s="175"/>
      <c r="X165" s="175"/>
      <c r="Y165" s="174" t="s">
        <v>489</v>
      </c>
      <c r="Z165" s="174" t="s">
        <v>770</v>
      </c>
      <c r="AA165" s="174" t="s">
        <v>22</v>
      </c>
      <c r="AB165" s="174"/>
      <c r="AC165" s="175"/>
      <c r="AD165" s="174" t="s">
        <v>512</v>
      </c>
      <c r="AE165" s="176">
        <v>43164.695775462962</v>
      </c>
      <c r="AF165" s="174" t="s">
        <v>1011</v>
      </c>
      <c r="AG165" s="176">
        <v>43164.692418981482</v>
      </c>
      <c r="AH165" s="176">
        <v>43164.692511574074</v>
      </c>
      <c r="AI165" s="175"/>
      <c r="AJ165" s="175"/>
      <c r="AK165" s="178">
        <v>1</v>
      </c>
    </row>
    <row r="166" spans="1:37" ht="15.95" customHeight="1" x14ac:dyDescent="0.25">
      <c r="A166" s="174" t="s">
        <v>484</v>
      </c>
      <c r="B166" s="174" t="s">
        <v>1012</v>
      </c>
      <c r="C166" s="175"/>
      <c r="D166" s="174" t="s">
        <v>478</v>
      </c>
      <c r="E166" s="174" t="s">
        <v>1013</v>
      </c>
      <c r="F166" s="176">
        <v>43164</v>
      </c>
      <c r="G166" s="176">
        <v>43166</v>
      </c>
      <c r="H166" s="174" t="s">
        <v>936</v>
      </c>
      <c r="I166" s="175" t="e">
        <f>VLOOKUP($H166,Mapping!$A:$A,1,0)</f>
        <v>#N/A</v>
      </c>
      <c r="J166" s="179" t="s">
        <v>486</v>
      </c>
      <c r="K166" s="174" t="s">
        <v>1014</v>
      </c>
      <c r="L166" s="178">
        <v>3000000</v>
      </c>
      <c r="M166" s="178">
        <v>98.441999999999993</v>
      </c>
      <c r="N166" s="178">
        <v>4.1910138321000003</v>
      </c>
      <c r="O166" s="178">
        <v>-2962926.6666666702</v>
      </c>
      <c r="P166" s="174" t="s">
        <v>337</v>
      </c>
      <c r="Q166" s="174" t="s">
        <v>1015</v>
      </c>
      <c r="R166" s="174" t="s">
        <v>22</v>
      </c>
      <c r="S166" s="174" t="s">
        <v>129</v>
      </c>
      <c r="T166" s="175" t="str">
        <f>VLOOKUP($S166,Mapping!$C:$C,1,0)</f>
        <v>Omgeo</v>
      </c>
      <c r="U166" s="174" t="s">
        <v>1016</v>
      </c>
      <c r="V166" s="174" t="s">
        <v>132</v>
      </c>
      <c r="W166" s="175"/>
      <c r="X166" s="175"/>
      <c r="Y166" s="174" t="s">
        <v>489</v>
      </c>
      <c r="Z166" s="174" t="s">
        <v>1017</v>
      </c>
      <c r="AA166" s="174" t="s">
        <v>22</v>
      </c>
      <c r="AB166" s="174"/>
      <c r="AC166" s="175"/>
      <c r="AD166" s="174" t="s">
        <v>927</v>
      </c>
      <c r="AE166" s="176">
        <v>43164.702523148146</v>
      </c>
      <c r="AF166" s="174" t="s">
        <v>1016</v>
      </c>
      <c r="AG166" s="176">
        <v>43164.694490740738</v>
      </c>
      <c r="AH166" s="176">
        <v>43164.694490740738</v>
      </c>
      <c r="AI166" s="175"/>
      <c r="AJ166" s="175"/>
      <c r="AK166" s="178">
        <v>1</v>
      </c>
    </row>
    <row r="167" spans="1:37" ht="15.95" customHeight="1" x14ac:dyDescent="0.25">
      <c r="A167" s="174" t="s">
        <v>461</v>
      </c>
      <c r="B167" s="174" t="s">
        <v>1018</v>
      </c>
      <c r="C167" s="175"/>
      <c r="D167" s="174" t="s">
        <v>478</v>
      </c>
      <c r="E167" s="174" t="s">
        <v>1013</v>
      </c>
      <c r="F167" s="176">
        <v>43164</v>
      </c>
      <c r="G167" s="176">
        <v>43165</v>
      </c>
      <c r="H167" s="174" t="s">
        <v>936</v>
      </c>
      <c r="I167" s="175" t="e">
        <f>VLOOKUP($H167,Mapping!$A:$A,1,0)</f>
        <v>#N/A</v>
      </c>
      <c r="J167" s="177" t="s">
        <v>466</v>
      </c>
      <c r="K167" s="174" t="s">
        <v>475</v>
      </c>
      <c r="L167" s="178">
        <v>2800000</v>
      </c>
      <c r="M167" s="178">
        <v>98.875</v>
      </c>
      <c r="N167" s="178">
        <v>2.8807705845</v>
      </c>
      <c r="O167" s="178">
        <v>2772541.4364640899</v>
      </c>
      <c r="P167" s="174" t="s">
        <v>337</v>
      </c>
      <c r="Q167" s="174" t="s">
        <v>476</v>
      </c>
      <c r="R167" s="174" t="s">
        <v>22</v>
      </c>
      <c r="S167" s="174" t="s">
        <v>129</v>
      </c>
      <c r="T167" s="175" t="str">
        <f>VLOOKUP($S167,Mapping!$C:$C,1,0)</f>
        <v>Omgeo</v>
      </c>
      <c r="U167" s="174" t="s">
        <v>1019</v>
      </c>
      <c r="V167" s="174" t="s">
        <v>132</v>
      </c>
      <c r="W167" s="175"/>
      <c r="X167" s="175"/>
      <c r="Y167" s="174" t="s">
        <v>469</v>
      </c>
      <c r="Z167" s="174" t="s">
        <v>1017</v>
      </c>
      <c r="AA167" s="174" t="s">
        <v>22</v>
      </c>
      <c r="AB167" s="174"/>
      <c r="AC167" s="175"/>
      <c r="AD167" s="174" t="s">
        <v>927</v>
      </c>
      <c r="AE167" s="176">
        <v>43164.702523148146</v>
      </c>
      <c r="AF167" s="174" t="s">
        <v>1019</v>
      </c>
      <c r="AG167" s="176">
        <v>43164.694606481484</v>
      </c>
      <c r="AH167" s="176">
        <v>43164.694606481484</v>
      </c>
      <c r="AI167" s="175"/>
      <c r="AJ167" s="175"/>
      <c r="AK167" s="178">
        <v>1</v>
      </c>
    </row>
    <row r="168" spans="1:37" ht="15.95" customHeight="1" x14ac:dyDescent="0.25">
      <c r="A168" s="174" t="s">
        <v>484</v>
      </c>
      <c r="B168" s="174" t="s">
        <v>1020</v>
      </c>
      <c r="C168" s="175"/>
      <c r="D168" s="174" t="s">
        <v>478</v>
      </c>
      <c r="E168" s="174" t="s">
        <v>1021</v>
      </c>
      <c r="F168" s="176">
        <v>43164</v>
      </c>
      <c r="G168" s="176">
        <v>43166</v>
      </c>
      <c r="H168" s="174" t="s">
        <v>936</v>
      </c>
      <c r="I168" s="175" t="e">
        <f>VLOOKUP($H168,Mapping!$A:$A,1,0)</f>
        <v>#N/A</v>
      </c>
      <c r="J168" s="179" t="s">
        <v>486</v>
      </c>
      <c r="K168" s="174" t="s">
        <v>1022</v>
      </c>
      <c r="L168" s="178">
        <v>2275000</v>
      </c>
      <c r="M168" s="178">
        <v>100</v>
      </c>
      <c r="N168" s="178">
        <v>5.8745374771999996</v>
      </c>
      <c r="O168" s="178">
        <v>-2338857.9861111101</v>
      </c>
      <c r="P168" s="174" t="s">
        <v>337</v>
      </c>
      <c r="Q168" s="174" t="s">
        <v>1023</v>
      </c>
      <c r="R168" s="174" t="s">
        <v>23</v>
      </c>
      <c r="S168" s="174" t="s">
        <v>129</v>
      </c>
      <c r="T168" s="175" t="str">
        <f>VLOOKUP($S168,Mapping!$C:$C,1,0)</f>
        <v>Omgeo</v>
      </c>
      <c r="U168" s="175"/>
      <c r="V168" s="175"/>
      <c r="W168" s="175"/>
      <c r="X168" s="175"/>
      <c r="Y168" s="174" t="s">
        <v>489</v>
      </c>
      <c r="Z168" s="174" t="s">
        <v>1024</v>
      </c>
      <c r="AA168" s="174" t="s">
        <v>24</v>
      </c>
      <c r="AB168" s="174"/>
      <c r="AC168" s="174" t="s">
        <v>1025</v>
      </c>
      <c r="AD168" s="174" t="s">
        <v>483</v>
      </c>
      <c r="AE168" s="176">
        <v>43164.448148148149</v>
      </c>
      <c r="AF168" s="175"/>
      <c r="AG168" s="176">
        <v>43164.531863425924</v>
      </c>
      <c r="AH168" s="176">
        <v>43164.531863425924</v>
      </c>
      <c r="AI168" s="175"/>
      <c r="AJ168" s="175"/>
      <c r="AK168" s="178">
        <v>1</v>
      </c>
    </row>
    <row r="169" spans="1:37" ht="15.95" customHeight="1" x14ac:dyDescent="0.25">
      <c r="A169" s="174" t="s">
        <v>461</v>
      </c>
      <c r="B169" s="174" t="s">
        <v>1026</v>
      </c>
      <c r="C169" s="175"/>
      <c r="D169" s="174" t="s">
        <v>478</v>
      </c>
      <c r="E169" s="174" t="s">
        <v>582</v>
      </c>
      <c r="F169" s="176">
        <v>43164</v>
      </c>
      <c r="G169" s="176">
        <v>43165</v>
      </c>
      <c r="H169" s="174" t="s">
        <v>936</v>
      </c>
      <c r="I169" s="175" t="e">
        <f>VLOOKUP($H169,Mapping!$A:$A,1,0)</f>
        <v>#N/A</v>
      </c>
      <c r="J169" s="177" t="s">
        <v>466</v>
      </c>
      <c r="K169" s="174" t="s">
        <v>644</v>
      </c>
      <c r="L169" s="178">
        <v>4550000</v>
      </c>
      <c r="M169" s="178">
        <v>96.94140625</v>
      </c>
      <c r="N169" s="178">
        <v>3.1586312234</v>
      </c>
      <c r="O169" s="178">
        <v>4417998.3490158804</v>
      </c>
      <c r="P169" s="174" t="s">
        <v>337</v>
      </c>
      <c r="Q169" s="174" t="s">
        <v>645</v>
      </c>
      <c r="R169" s="174" t="s">
        <v>23</v>
      </c>
      <c r="S169" s="174" t="s">
        <v>129</v>
      </c>
      <c r="T169" s="175" t="str">
        <f>VLOOKUP($S169,Mapping!$C:$C,1,0)</f>
        <v>Omgeo</v>
      </c>
      <c r="U169" s="175"/>
      <c r="V169" s="175"/>
      <c r="W169" s="175"/>
      <c r="X169" s="175"/>
      <c r="Y169" s="174" t="s">
        <v>469</v>
      </c>
      <c r="Z169" s="174" t="s">
        <v>586</v>
      </c>
      <c r="AA169" s="174" t="s">
        <v>24</v>
      </c>
      <c r="AB169" s="174"/>
      <c r="AC169" s="174" t="s">
        <v>1025</v>
      </c>
      <c r="AD169" s="174" t="s">
        <v>483</v>
      </c>
      <c r="AE169" s="176">
        <v>43164.532129629632</v>
      </c>
      <c r="AF169" s="175"/>
      <c r="AG169" s="176">
        <v>43164.568981481483</v>
      </c>
      <c r="AH169" s="176">
        <v>43164.568981481483</v>
      </c>
      <c r="AI169" s="175"/>
      <c r="AJ169" s="175"/>
      <c r="AK169" s="178">
        <v>1</v>
      </c>
    </row>
    <row r="170" spans="1:37" ht="15.95" customHeight="1" x14ac:dyDescent="0.25">
      <c r="A170" s="174" t="s">
        <v>461</v>
      </c>
      <c r="B170" s="174" t="s">
        <v>1027</v>
      </c>
      <c r="C170" s="175"/>
      <c r="D170" s="174" t="s">
        <v>478</v>
      </c>
      <c r="E170" s="174" t="s">
        <v>582</v>
      </c>
      <c r="F170" s="176">
        <v>43164</v>
      </c>
      <c r="G170" s="176">
        <v>43165</v>
      </c>
      <c r="H170" s="174" t="s">
        <v>936</v>
      </c>
      <c r="I170" s="175" t="e">
        <f>VLOOKUP($H170,Mapping!$A:$A,1,0)</f>
        <v>#N/A</v>
      </c>
      <c r="J170" s="177" t="s">
        <v>466</v>
      </c>
      <c r="K170" s="174" t="s">
        <v>644</v>
      </c>
      <c r="L170" s="178">
        <v>9100000</v>
      </c>
      <c r="M170" s="178">
        <v>96.84375</v>
      </c>
      <c r="N170" s="178">
        <v>3.1638055279000001</v>
      </c>
      <c r="O170" s="178">
        <v>8827109.9792817701</v>
      </c>
      <c r="P170" s="174" t="s">
        <v>337</v>
      </c>
      <c r="Q170" s="174" t="s">
        <v>645</v>
      </c>
      <c r="R170" s="174" t="s">
        <v>23</v>
      </c>
      <c r="S170" s="174" t="s">
        <v>129</v>
      </c>
      <c r="T170" s="175" t="str">
        <f>VLOOKUP($S170,Mapping!$C:$C,1,0)</f>
        <v>Omgeo</v>
      </c>
      <c r="U170" s="175"/>
      <c r="V170" s="175"/>
      <c r="W170" s="175"/>
      <c r="X170" s="175"/>
      <c r="Y170" s="174" t="s">
        <v>469</v>
      </c>
      <c r="Z170" s="174" t="s">
        <v>586</v>
      </c>
      <c r="AA170" s="174" t="s">
        <v>24</v>
      </c>
      <c r="AB170" s="174"/>
      <c r="AC170" s="174" t="s">
        <v>1028</v>
      </c>
      <c r="AD170" s="174" t="s">
        <v>483</v>
      </c>
      <c r="AE170" s="176">
        <v>43164.564699074072</v>
      </c>
      <c r="AF170" s="175"/>
      <c r="AG170" s="176">
        <v>43164.615648148145</v>
      </c>
      <c r="AH170" s="176">
        <v>43164.615648148145</v>
      </c>
      <c r="AI170" s="175"/>
      <c r="AJ170" s="175"/>
      <c r="AK170" s="178">
        <v>1</v>
      </c>
    </row>
    <row r="171" spans="1:37" ht="15.95" customHeight="1" x14ac:dyDescent="0.25">
      <c r="A171" s="174" t="s">
        <v>461</v>
      </c>
      <c r="B171" s="174" t="s">
        <v>1029</v>
      </c>
      <c r="C171" s="175"/>
      <c r="D171" s="174" t="s">
        <v>478</v>
      </c>
      <c r="E171" s="174" t="s">
        <v>582</v>
      </c>
      <c r="F171" s="176">
        <v>43164</v>
      </c>
      <c r="G171" s="176">
        <v>43165</v>
      </c>
      <c r="H171" s="174" t="s">
        <v>936</v>
      </c>
      <c r="I171" s="175" t="e">
        <f>VLOOKUP($H171,Mapping!$A:$A,1,0)</f>
        <v>#N/A</v>
      </c>
      <c r="J171" s="177" t="s">
        <v>466</v>
      </c>
      <c r="K171" s="174" t="s">
        <v>644</v>
      </c>
      <c r="L171" s="178">
        <v>4550000</v>
      </c>
      <c r="M171" s="178">
        <v>96.84375</v>
      </c>
      <c r="N171" s="178">
        <v>3.1638055279000001</v>
      </c>
      <c r="O171" s="178">
        <v>4413554.9896408804</v>
      </c>
      <c r="P171" s="174" t="s">
        <v>337</v>
      </c>
      <c r="Q171" s="174" t="s">
        <v>645</v>
      </c>
      <c r="R171" s="174" t="s">
        <v>23</v>
      </c>
      <c r="S171" s="174" t="s">
        <v>129</v>
      </c>
      <c r="T171" s="175" t="str">
        <f>VLOOKUP($S171,Mapping!$C:$C,1,0)</f>
        <v>Omgeo</v>
      </c>
      <c r="U171" s="175"/>
      <c r="V171" s="175"/>
      <c r="W171" s="175"/>
      <c r="X171" s="175"/>
      <c r="Y171" s="174" t="s">
        <v>469</v>
      </c>
      <c r="Z171" s="174" t="s">
        <v>586</v>
      </c>
      <c r="AA171" s="174" t="s">
        <v>24</v>
      </c>
      <c r="AB171" s="174"/>
      <c r="AC171" s="174" t="s">
        <v>1028</v>
      </c>
      <c r="AD171" s="174" t="s">
        <v>483</v>
      </c>
      <c r="AE171" s="176">
        <v>43164.584733796299</v>
      </c>
      <c r="AF171" s="175"/>
      <c r="AG171" s="176">
        <v>43164.615648148145</v>
      </c>
      <c r="AH171" s="176">
        <v>43164.615648148145</v>
      </c>
      <c r="AI171" s="175"/>
      <c r="AJ171" s="175"/>
      <c r="AK171" s="178">
        <v>1</v>
      </c>
    </row>
    <row r="172" spans="1:37" ht="15.95" customHeight="1" x14ac:dyDescent="0.25">
      <c r="A172" s="174" t="s">
        <v>461</v>
      </c>
      <c r="B172" s="174" t="s">
        <v>1030</v>
      </c>
      <c r="C172" s="175"/>
      <c r="D172" s="174" t="s">
        <v>463</v>
      </c>
      <c r="E172" s="174" t="s">
        <v>647</v>
      </c>
      <c r="F172" s="176">
        <v>43164</v>
      </c>
      <c r="G172" s="176">
        <v>43165</v>
      </c>
      <c r="H172" s="174" t="s">
        <v>1031</v>
      </c>
      <c r="I172" s="175" t="e">
        <f>VLOOKUP($H172,Mapping!$A:$A,1,0)</f>
        <v>#N/A</v>
      </c>
      <c r="J172" s="179" t="s">
        <v>486</v>
      </c>
      <c r="K172" s="174" t="s">
        <v>475</v>
      </c>
      <c r="L172" s="178">
        <v>5000000</v>
      </c>
      <c r="M172" s="178">
        <v>99.203524999999999</v>
      </c>
      <c r="N172" s="178">
        <v>2.8423781038000002</v>
      </c>
      <c r="O172" s="178">
        <v>-4967393.1008287305</v>
      </c>
      <c r="P172" s="174" t="s">
        <v>337</v>
      </c>
      <c r="Q172" s="174" t="s">
        <v>476</v>
      </c>
      <c r="R172" s="174" t="s">
        <v>22</v>
      </c>
      <c r="S172" s="174" t="s">
        <v>129</v>
      </c>
      <c r="T172" s="175" t="str">
        <f>VLOOKUP($S172,Mapping!$C:$C,1,0)</f>
        <v>Omgeo</v>
      </c>
      <c r="U172" s="174" t="s">
        <v>1032</v>
      </c>
      <c r="V172" s="174" t="s">
        <v>132</v>
      </c>
      <c r="W172" s="175"/>
      <c r="X172" s="175"/>
      <c r="Y172" s="174" t="s">
        <v>469</v>
      </c>
      <c r="Z172" s="174" t="s">
        <v>650</v>
      </c>
      <c r="AA172" s="174" t="s">
        <v>22</v>
      </c>
      <c r="AB172" s="174"/>
      <c r="AC172" s="175"/>
      <c r="AD172" s="174" t="s">
        <v>512</v>
      </c>
      <c r="AE172" s="176">
        <v>43164.338460648149</v>
      </c>
      <c r="AF172" s="174" t="s">
        <v>1032</v>
      </c>
      <c r="AG172" s="176">
        <v>43164.330474537041</v>
      </c>
      <c r="AH172" s="176">
        <v>43164.330555555556</v>
      </c>
      <c r="AI172" s="174" t="s">
        <v>473</v>
      </c>
      <c r="AJ172" s="175"/>
      <c r="AK172" s="178">
        <v>1</v>
      </c>
    </row>
    <row r="173" spans="1:37" ht="15.95" customHeight="1" x14ac:dyDescent="0.25">
      <c r="A173" s="174" t="s">
        <v>461</v>
      </c>
      <c r="B173" s="174" t="s">
        <v>1033</v>
      </c>
      <c r="C173" s="175"/>
      <c r="D173" s="174" t="s">
        <v>463</v>
      </c>
      <c r="E173" s="174" t="s">
        <v>647</v>
      </c>
      <c r="F173" s="176">
        <v>43164</v>
      </c>
      <c r="G173" s="176">
        <v>43165</v>
      </c>
      <c r="H173" s="174" t="s">
        <v>1031</v>
      </c>
      <c r="I173" s="175" t="e">
        <f>VLOOKUP($H173,Mapping!$A:$A,1,0)</f>
        <v>#N/A</v>
      </c>
      <c r="J173" s="179" t="s">
        <v>486</v>
      </c>
      <c r="K173" s="174" t="s">
        <v>475</v>
      </c>
      <c r="L173" s="178">
        <v>5000000</v>
      </c>
      <c r="M173" s="178">
        <v>98.836337499999999</v>
      </c>
      <c r="N173" s="178">
        <v>2.8852983757000001</v>
      </c>
      <c r="O173" s="178">
        <v>-4949033.7258287296</v>
      </c>
      <c r="P173" s="174" t="s">
        <v>337</v>
      </c>
      <c r="Q173" s="174" t="s">
        <v>476</v>
      </c>
      <c r="R173" s="174" t="s">
        <v>22</v>
      </c>
      <c r="S173" s="174" t="s">
        <v>129</v>
      </c>
      <c r="T173" s="175" t="str">
        <f>VLOOKUP($S173,Mapping!$C:$C,1,0)</f>
        <v>Omgeo</v>
      </c>
      <c r="U173" s="174" t="s">
        <v>1034</v>
      </c>
      <c r="V173" s="174" t="s">
        <v>132</v>
      </c>
      <c r="W173" s="175"/>
      <c r="X173" s="175"/>
      <c r="Y173" s="174" t="s">
        <v>469</v>
      </c>
      <c r="Z173" s="174" t="s">
        <v>650</v>
      </c>
      <c r="AA173" s="174" t="s">
        <v>22</v>
      </c>
      <c r="AB173" s="174"/>
      <c r="AC173" s="175"/>
      <c r="AD173" s="174" t="s">
        <v>512</v>
      </c>
      <c r="AE173" s="176">
        <v>43164.57135416667</v>
      </c>
      <c r="AF173" s="174" t="s">
        <v>1034</v>
      </c>
      <c r="AG173" s="176">
        <v>43164.56753472222</v>
      </c>
      <c r="AH173" s="176">
        <v>43164.56763888889</v>
      </c>
      <c r="AI173" s="174" t="s">
        <v>473</v>
      </c>
      <c r="AJ173" s="175"/>
      <c r="AK173" s="178">
        <v>1</v>
      </c>
    </row>
    <row r="174" spans="1:37" ht="15.95" customHeight="1" x14ac:dyDescent="0.25">
      <c r="A174" s="174" t="s">
        <v>651</v>
      </c>
      <c r="B174" s="174" t="s">
        <v>1035</v>
      </c>
      <c r="C174" s="175"/>
      <c r="D174" s="174" t="s">
        <v>653</v>
      </c>
      <c r="E174" s="174" t="s">
        <v>666</v>
      </c>
      <c r="F174" s="176">
        <v>43164</v>
      </c>
      <c r="G174" s="176">
        <v>43172</v>
      </c>
      <c r="H174" s="174" t="s">
        <v>1031</v>
      </c>
      <c r="I174" s="175" t="e">
        <f>VLOOKUP($H174,Mapping!$A:$A,1,0)</f>
        <v>#N/A</v>
      </c>
      <c r="J174" s="177" t="s">
        <v>466</v>
      </c>
      <c r="K174" s="174" t="s">
        <v>787</v>
      </c>
      <c r="L174" s="178">
        <v>40000000</v>
      </c>
      <c r="M174" s="178">
        <v>96.875</v>
      </c>
      <c r="N174" s="178">
        <v>3.1507059549999998</v>
      </c>
      <c r="O174" s="178">
        <v>38750000</v>
      </c>
      <c r="P174" s="174" t="s">
        <v>337</v>
      </c>
      <c r="Q174" s="174" t="s">
        <v>788</v>
      </c>
      <c r="R174" s="174" t="s">
        <v>22</v>
      </c>
      <c r="S174" s="174" t="s">
        <v>129</v>
      </c>
      <c r="T174" s="175" t="str">
        <f>VLOOKUP($S174,Mapping!$C:$C,1,0)</f>
        <v>Omgeo</v>
      </c>
      <c r="U174" s="174" t="s">
        <v>1036</v>
      </c>
      <c r="V174" s="174" t="s">
        <v>132</v>
      </c>
      <c r="W174" s="175"/>
      <c r="X174" s="175"/>
      <c r="Y174" s="174" t="s">
        <v>651</v>
      </c>
      <c r="Z174" s="174" t="s">
        <v>670</v>
      </c>
      <c r="AA174" s="174" t="s">
        <v>22</v>
      </c>
      <c r="AB174" s="174"/>
      <c r="AC174" s="175"/>
      <c r="AD174" s="174"/>
      <c r="AE174" s="176">
        <v>43164.463402777779</v>
      </c>
      <c r="AF174" s="174" t="s">
        <v>1036</v>
      </c>
      <c r="AG174" s="176">
        <v>43164.46298611111</v>
      </c>
      <c r="AH174" s="176">
        <v>43164.469502314816</v>
      </c>
      <c r="AI174" s="175"/>
      <c r="AJ174" s="175"/>
      <c r="AK174" s="178">
        <v>1</v>
      </c>
    </row>
    <row r="175" spans="1:37" ht="15.95" customHeight="1" x14ac:dyDescent="0.25">
      <c r="A175" s="174" t="s">
        <v>651</v>
      </c>
      <c r="B175" s="174" t="s">
        <v>1037</v>
      </c>
      <c r="C175" s="175"/>
      <c r="D175" s="174" t="s">
        <v>653</v>
      </c>
      <c r="E175" s="174" t="s">
        <v>666</v>
      </c>
      <c r="F175" s="176">
        <v>43164</v>
      </c>
      <c r="G175" s="176">
        <v>43202</v>
      </c>
      <c r="H175" s="174" t="s">
        <v>1031</v>
      </c>
      <c r="I175" s="175" t="e">
        <f>VLOOKUP($H175,Mapping!$A:$A,1,0)</f>
        <v>#N/A</v>
      </c>
      <c r="J175" s="179" t="s">
        <v>486</v>
      </c>
      <c r="K175" s="174" t="s">
        <v>1038</v>
      </c>
      <c r="L175" s="178">
        <v>40000000</v>
      </c>
      <c r="M175" s="178">
        <v>96.75</v>
      </c>
      <c r="N175" s="178">
        <v>3.1574385441000001</v>
      </c>
      <c r="O175" s="178">
        <v>-38700000</v>
      </c>
      <c r="P175" s="174" t="s">
        <v>337</v>
      </c>
      <c r="Q175" s="174" t="s">
        <v>1039</v>
      </c>
      <c r="R175" s="174" t="s">
        <v>22</v>
      </c>
      <c r="S175" s="174" t="s">
        <v>129</v>
      </c>
      <c r="T175" s="175" t="str">
        <f>VLOOKUP($S175,Mapping!$C:$C,1,0)</f>
        <v>Omgeo</v>
      </c>
      <c r="U175" s="174" t="s">
        <v>1040</v>
      </c>
      <c r="V175" s="174" t="s">
        <v>132</v>
      </c>
      <c r="W175" s="175"/>
      <c r="X175" s="175"/>
      <c r="Y175" s="174" t="s">
        <v>651</v>
      </c>
      <c r="Z175" s="174" t="s">
        <v>670</v>
      </c>
      <c r="AA175" s="174" t="s">
        <v>22</v>
      </c>
      <c r="AB175" s="174"/>
      <c r="AC175" s="175"/>
      <c r="AD175" s="174"/>
      <c r="AE175" s="176">
        <v>43164.463402777779</v>
      </c>
      <c r="AF175" s="174" t="s">
        <v>1040</v>
      </c>
      <c r="AG175" s="176">
        <v>43164.462893518517</v>
      </c>
      <c r="AH175" s="176">
        <v>43164.469502314816</v>
      </c>
      <c r="AI175" s="175"/>
      <c r="AJ175" s="175"/>
      <c r="AK175" s="178">
        <v>1</v>
      </c>
    </row>
    <row r="176" spans="1:37" ht="15.95" customHeight="1" x14ac:dyDescent="0.25">
      <c r="A176" s="174" t="s">
        <v>651</v>
      </c>
      <c r="B176" s="174" t="s">
        <v>1041</v>
      </c>
      <c r="C176" s="175"/>
      <c r="D176" s="174" t="s">
        <v>653</v>
      </c>
      <c r="E176" s="174" t="s">
        <v>666</v>
      </c>
      <c r="F176" s="176">
        <v>43164</v>
      </c>
      <c r="G176" s="176">
        <v>43172</v>
      </c>
      <c r="H176" s="174" t="s">
        <v>1031</v>
      </c>
      <c r="I176" s="175" t="e">
        <f>VLOOKUP($H176,Mapping!$A:$A,1,0)</f>
        <v>#N/A</v>
      </c>
      <c r="J176" s="177" t="s">
        <v>466</v>
      </c>
      <c r="K176" s="174" t="s">
        <v>1042</v>
      </c>
      <c r="L176" s="178">
        <v>53000000</v>
      </c>
      <c r="M176" s="178">
        <v>104.66015625</v>
      </c>
      <c r="N176" s="178">
        <v>4.2084462611999998</v>
      </c>
      <c r="O176" s="178">
        <v>55469882.8125</v>
      </c>
      <c r="P176" s="174" t="s">
        <v>337</v>
      </c>
      <c r="Q176" s="174" t="s">
        <v>1043</v>
      </c>
      <c r="R176" s="174" t="s">
        <v>22</v>
      </c>
      <c r="S176" s="174" t="s">
        <v>129</v>
      </c>
      <c r="T176" s="175" t="str">
        <f>VLOOKUP($S176,Mapping!$C:$C,1,0)</f>
        <v>Omgeo</v>
      </c>
      <c r="U176" s="174" t="s">
        <v>1044</v>
      </c>
      <c r="V176" s="174" t="s">
        <v>132</v>
      </c>
      <c r="W176" s="175"/>
      <c r="X176" s="175"/>
      <c r="Y176" s="174" t="s">
        <v>651</v>
      </c>
      <c r="Z176" s="174" t="s">
        <v>670</v>
      </c>
      <c r="AA176" s="174" t="s">
        <v>22</v>
      </c>
      <c r="AB176" s="174"/>
      <c r="AC176" s="175"/>
      <c r="AD176" s="174"/>
      <c r="AE176" s="176">
        <v>43164.469942129632</v>
      </c>
      <c r="AF176" s="174" t="s">
        <v>1044</v>
      </c>
      <c r="AG176" s="176">
        <v>43164.465196759258</v>
      </c>
      <c r="AH176" s="176">
        <v>43164.476458333331</v>
      </c>
      <c r="AI176" s="175"/>
      <c r="AJ176" s="175"/>
      <c r="AK176" s="178">
        <v>1</v>
      </c>
    </row>
    <row r="177" spans="1:37" ht="15.95" customHeight="1" x14ac:dyDescent="0.25">
      <c r="A177" s="174" t="s">
        <v>651</v>
      </c>
      <c r="B177" s="174" t="s">
        <v>1045</v>
      </c>
      <c r="C177" s="175"/>
      <c r="D177" s="174" t="s">
        <v>653</v>
      </c>
      <c r="E177" s="174" t="s">
        <v>666</v>
      </c>
      <c r="F177" s="176">
        <v>43164</v>
      </c>
      <c r="G177" s="176">
        <v>43202</v>
      </c>
      <c r="H177" s="174" t="s">
        <v>1031</v>
      </c>
      <c r="I177" s="175" t="e">
        <f>VLOOKUP($H177,Mapping!$A:$A,1,0)</f>
        <v>#N/A</v>
      </c>
      <c r="J177" s="179" t="s">
        <v>486</v>
      </c>
      <c r="K177" s="174" t="s">
        <v>1046</v>
      </c>
      <c r="L177" s="178">
        <v>53000000</v>
      </c>
      <c r="M177" s="178">
        <v>104.5</v>
      </c>
      <c r="N177" s="178">
        <v>4.2177782335999998</v>
      </c>
      <c r="O177" s="178">
        <v>-55385000</v>
      </c>
      <c r="P177" s="174" t="s">
        <v>337</v>
      </c>
      <c r="Q177" s="174" t="s">
        <v>1047</v>
      </c>
      <c r="R177" s="174" t="s">
        <v>22</v>
      </c>
      <c r="S177" s="174" t="s">
        <v>129</v>
      </c>
      <c r="T177" s="175" t="str">
        <f>VLOOKUP($S177,Mapping!$C:$C,1,0)</f>
        <v>Omgeo</v>
      </c>
      <c r="U177" s="174" t="s">
        <v>1048</v>
      </c>
      <c r="V177" s="174" t="s">
        <v>132</v>
      </c>
      <c r="W177" s="175"/>
      <c r="X177" s="175"/>
      <c r="Y177" s="174" t="s">
        <v>651</v>
      </c>
      <c r="Z177" s="174" t="s">
        <v>670</v>
      </c>
      <c r="AA177" s="174" t="s">
        <v>22</v>
      </c>
      <c r="AB177" s="174"/>
      <c r="AC177" s="175"/>
      <c r="AD177" s="174"/>
      <c r="AE177" s="176">
        <v>43164.502083333333</v>
      </c>
      <c r="AF177" s="174" t="s">
        <v>1048</v>
      </c>
      <c r="AG177" s="176">
        <v>43164.501689814817</v>
      </c>
      <c r="AH177" s="176">
        <v>43164.507777777777</v>
      </c>
      <c r="AI177" s="175"/>
      <c r="AJ177" s="175"/>
      <c r="AK177" s="178">
        <v>1</v>
      </c>
    </row>
    <row r="178" spans="1:37" ht="15.95" customHeight="1" x14ac:dyDescent="0.25">
      <c r="A178" s="174" t="s">
        <v>461</v>
      </c>
      <c r="B178" s="174" t="s">
        <v>1049</v>
      </c>
      <c r="C178" s="175"/>
      <c r="D178" s="174" t="s">
        <v>463</v>
      </c>
      <c r="E178" s="174" t="s">
        <v>676</v>
      </c>
      <c r="F178" s="176">
        <v>43164</v>
      </c>
      <c r="G178" s="176">
        <v>43165</v>
      </c>
      <c r="H178" s="174" t="s">
        <v>1050</v>
      </c>
      <c r="I178" s="175" t="e">
        <f>VLOOKUP($H178,Mapping!$A:$A,1,0)</f>
        <v>#N/A</v>
      </c>
      <c r="J178" s="179" t="s">
        <v>486</v>
      </c>
      <c r="K178" s="174" t="s">
        <v>467</v>
      </c>
      <c r="L178" s="178">
        <v>38900000</v>
      </c>
      <c r="M178" s="178">
        <v>100.08735</v>
      </c>
      <c r="N178" s="178">
        <v>2.6061386137999998</v>
      </c>
      <c r="O178" s="178">
        <v>-38950627.927173905</v>
      </c>
      <c r="P178" s="174" t="s">
        <v>337</v>
      </c>
      <c r="Q178" s="174" t="s">
        <v>468</v>
      </c>
      <c r="R178" s="174" t="s">
        <v>23</v>
      </c>
      <c r="S178" s="174" t="s">
        <v>130</v>
      </c>
      <c r="T178" s="175" t="str">
        <f>VLOOKUP($S178,Mapping!$C:$C,1,0)</f>
        <v>Manual</v>
      </c>
      <c r="U178" s="175"/>
      <c r="V178" s="175"/>
      <c r="W178" s="175"/>
      <c r="X178" s="175"/>
      <c r="Y178" s="174" t="s">
        <v>469</v>
      </c>
      <c r="Z178" s="174" t="s">
        <v>683</v>
      </c>
      <c r="AA178" s="174" t="s">
        <v>24</v>
      </c>
      <c r="AB178" s="174"/>
      <c r="AC178" s="174" t="s">
        <v>1051</v>
      </c>
      <c r="AD178" s="174" t="s">
        <v>483</v>
      </c>
      <c r="AE178" s="175"/>
      <c r="AF178" s="175"/>
      <c r="AG178" s="176">
        <v>43164.590150462966</v>
      </c>
      <c r="AH178" s="176">
        <v>43164.590150462966</v>
      </c>
      <c r="AI178" s="174" t="s">
        <v>473</v>
      </c>
      <c r="AJ178" s="175"/>
      <c r="AK178" s="178">
        <v>1</v>
      </c>
    </row>
    <row r="179" spans="1:37" ht="15.95" customHeight="1" x14ac:dyDescent="0.25">
      <c r="A179" s="174" t="s">
        <v>484</v>
      </c>
      <c r="B179" s="174" t="s">
        <v>1052</v>
      </c>
      <c r="C179" s="175"/>
      <c r="D179" s="174" t="s">
        <v>478</v>
      </c>
      <c r="E179" s="174" t="s">
        <v>491</v>
      </c>
      <c r="F179" s="176">
        <v>43164</v>
      </c>
      <c r="G179" s="176">
        <v>43164</v>
      </c>
      <c r="H179" s="174" t="s">
        <v>42</v>
      </c>
      <c r="I179" s="175" t="str">
        <f>VLOOKUP($H179,Mapping!$A:$A,1,0)</f>
        <v>CORPORATE ACTION</v>
      </c>
      <c r="J179" s="177" t="s">
        <v>466</v>
      </c>
      <c r="K179" s="174" t="s">
        <v>1053</v>
      </c>
      <c r="L179" s="178">
        <v>16407000</v>
      </c>
      <c r="M179" s="178">
        <v>100</v>
      </c>
      <c r="N179" s="178">
        <v>2.6952023767000002</v>
      </c>
      <c r="O179" s="178">
        <v>16564081.5295</v>
      </c>
      <c r="P179" s="174" t="s">
        <v>337</v>
      </c>
      <c r="Q179" s="174" t="s">
        <v>1054</v>
      </c>
      <c r="R179" s="174" t="s">
        <v>24</v>
      </c>
      <c r="S179" s="174" t="s">
        <v>130</v>
      </c>
      <c r="T179" s="175" t="str">
        <f>VLOOKUP($S179,Mapping!$C:$C,1,0)</f>
        <v>Manual</v>
      </c>
      <c r="U179" s="175"/>
      <c r="V179" s="175"/>
      <c r="W179" s="175"/>
      <c r="X179" s="175"/>
      <c r="Y179" s="174" t="s">
        <v>489</v>
      </c>
      <c r="Z179" s="174" t="s">
        <v>494</v>
      </c>
      <c r="AA179" s="174" t="s">
        <v>24</v>
      </c>
      <c r="AB179" s="174"/>
      <c r="AC179" s="175"/>
      <c r="AD179" s="174" t="s">
        <v>1055</v>
      </c>
      <c r="AE179" s="175"/>
      <c r="AF179" s="175"/>
      <c r="AG179" s="176">
        <v>43165.476400462961</v>
      </c>
      <c r="AH179" s="176">
        <v>43165.476458333331</v>
      </c>
      <c r="AI179" s="175"/>
      <c r="AJ179" s="175"/>
      <c r="AK179" s="178">
        <v>1</v>
      </c>
    </row>
    <row r="180" spans="1:37" ht="15.95" customHeight="1" x14ac:dyDescent="0.25">
      <c r="A180" s="174" t="s">
        <v>461</v>
      </c>
      <c r="B180" s="174" t="s">
        <v>1056</v>
      </c>
      <c r="C180" s="175"/>
      <c r="D180" s="174" t="s">
        <v>497</v>
      </c>
      <c r="E180" s="174" t="s">
        <v>1057</v>
      </c>
      <c r="F180" s="176">
        <v>43164</v>
      </c>
      <c r="G180" s="176">
        <v>43166</v>
      </c>
      <c r="H180" s="174" t="s">
        <v>1058</v>
      </c>
      <c r="I180" s="175" t="e">
        <f>VLOOKUP($H180,Mapping!$A:$A,1,0)</f>
        <v>#N/A</v>
      </c>
      <c r="J180" s="179" t="s">
        <v>486</v>
      </c>
      <c r="K180" s="174" t="s">
        <v>1059</v>
      </c>
      <c r="L180" s="178">
        <v>3600000</v>
      </c>
      <c r="M180" s="178">
        <v>101.82</v>
      </c>
      <c r="N180" s="178">
        <v>-0.1117042751</v>
      </c>
      <c r="O180" s="178">
        <v>-3669841.4</v>
      </c>
      <c r="P180" s="174" t="s">
        <v>386</v>
      </c>
      <c r="Q180" s="174" t="s">
        <v>1060</v>
      </c>
      <c r="R180" s="174" t="s">
        <v>22</v>
      </c>
      <c r="S180" s="174" t="s">
        <v>129</v>
      </c>
      <c r="T180" s="175" t="str">
        <f>VLOOKUP($S180,Mapping!$C:$C,1,0)</f>
        <v>Omgeo</v>
      </c>
      <c r="U180" s="174" t="s">
        <v>1061</v>
      </c>
      <c r="V180" s="174" t="s">
        <v>132</v>
      </c>
      <c r="W180" s="175"/>
      <c r="X180" s="175"/>
      <c r="Y180" s="174" t="s">
        <v>1062</v>
      </c>
      <c r="Z180" s="174" t="s">
        <v>1063</v>
      </c>
      <c r="AA180" s="174" t="s">
        <v>22</v>
      </c>
      <c r="AB180" s="174"/>
      <c r="AC180" s="175"/>
      <c r="AD180" s="174" t="s">
        <v>512</v>
      </c>
      <c r="AE180" s="176">
        <v>43164.422326388885</v>
      </c>
      <c r="AF180" s="174" t="s">
        <v>1061</v>
      </c>
      <c r="AG180" s="176">
        <v>43164.37023148148</v>
      </c>
      <c r="AH180" s="176">
        <v>43164.37027777778</v>
      </c>
      <c r="AI180" s="175"/>
      <c r="AJ180" s="175"/>
      <c r="AK180" s="178">
        <v>1</v>
      </c>
    </row>
    <row r="181" spans="1:37" ht="15.95" customHeight="1" x14ac:dyDescent="0.25">
      <c r="A181" s="174" t="s">
        <v>651</v>
      </c>
      <c r="B181" s="174" t="s">
        <v>1064</v>
      </c>
      <c r="C181" s="175"/>
      <c r="D181" s="174" t="s">
        <v>653</v>
      </c>
      <c r="E181" s="174" t="s">
        <v>647</v>
      </c>
      <c r="F181" s="176">
        <v>43164</v>
      </c>
      <c r="G181" s="176">
        <v>43172</v>
      </c>
      <c r="H181" s="174" t="s">
        <v>1065</v>
      </c>
      <c r="I181" s="175" t="e">
        <f>VLOOKUP($H181,Mapping!$A:$A,1,0)</f>
        <v>#N/A</v>
      </c>
      <c r="J181" s="179" t="s">
        <v>486</v>
      </c>
      <c r="K181" s="174" t="s">
        <v>1066</v>
      </c>
      <c r="L181" s="178">
        <v>17000000</v>
      </c>
      <c r="M181" s="178">
        <v>102.26171875</v>
      </c>
      <c r="N181" s="178">
        <v>3.8574530837999998</v>
      </c>
      <c r="O181" s="178">
        <v>-17384492.1875</v>
      </c>
      <c r="P181" s="174" t="s">
        <v>337</v>
      </c>
      <c r="Q181" s="174" t="s">
        <v>1067</v>
      </c>
      <c r="R181" s="174" t="s">
        <v>22</v>
      </c>
      <c r="S181" s="174" t="s">
        <v>129</v>
      </c>
      <c r="T181" s="175" t="str">
        <f>VLOOKUP($S181,Mapping!$C:$C,1,0)</f>
        <v>Omgeo</v>
      </c>
      <c r="U181" s="174" t="s">
        <v>1068</v>
      </c>
      <c r="V181" s="174" t="s">
        <v>132</v>
      </c>
      <c r="W181" s="175"/>
      <c r="X181" s="175"/>
      <c r="Y181" s="174" t="s">
        <v>651</v>
      </c>
      <c r="Z181" s="174" t="s">
        <v>650</v>
      </c>
      <c r="AA181" s="174" t="s">
        <v>22</v>
      </c>
      <c r="AB181" s="174"/>
      <c r="AC181" s="175"/>
      <c r="AD181" s="174"/>
      <c r="AE181" s="176">
        <v>43164.600266203706</v>
      </c>
      <c r="AF181" s="174" t="s">
        <v>1068</v>
      </c>
      <c r="AG181" s="176">
        <v>43164.598703703705</v>
      </c>
      <c r="AH181" s="176">
        <v>43164.608900462961</v>
      </c>
      <c r="AI181" s="175"/>
      <c r="AJ181" s="175"/>
      <c r="AK181" s="178">
        <v>1</v>
      </c>
    </row>
    <row r="182" spans="1:37" ht="15.95" customHeight="1" x14ac:dyDescent="0.25">
      <c r="A182" s="174" t="s">
        <v>651</v>
      </c>
      <c r="B182" s="174" t="s">
        <v>1069</v>
      </c>
      <c r="C182" s="175"/>
      <c r="D182" s="174" t="s">
        <v>653</v>
      </c>
      <c r="E182" s="174" t="s">
        <v>666</v>
      </c>
      <c r="F182" s="176">
        <v>43164</v>
      </c>
      <c r="G182" s="176">
        <v>43179</v>
      </c>
      <c r="H182" s="174" t="s">
        <v>1065</v>
      </c>
      <c r="I182" s="175" t="e">
        <f>VLOOKUP($H182,Mapping!$A:$A,1,0)</f>
        <v>#N/A</v>
      </c>
      <c r="J182" s="177" t="s">
        <v>466</v>
      </c>
      <c r="K182" s="174" t="s">
        <v>1070</v>
      </c>
      <c r="L182" s="178">
        <v>3000000</v>
      </c>
      <c r="M182" s="178">
        <v>103.90625</v>
      </c>
      <c r="N182" s="178">
        <v>4.2552632682000002</v>
      </c>
      <c r="O182" s="178">
        <v>3117187.5</v>
      </c>
      <c r="P182" s="174" t="s">
        <v>337</v>
      </c>
      <c r="Q182" s="174" t="s">
        <v>1071</v>
      </c>
      <c r="R182" s="174" t="s">
        <v>23</v>
      </c>
      <c r="S182" s="174" t="s">
        <v>129</v>
      </c>
      <c r="T182" s="175" t="str">
        <f>VLOOKUP($S182,Mapping!$C:$C,1,0)</f>
        <v>Omgeo</v>
      </c>
      <c r="U182" s="175"/>
      <c r="V182" s="175"/>
      <c r="W182" s="175"/>
      <c r="X182" s="175"/>
      <c r="Y182" s="174" t="s">
        <v>651</v>
      </c>
      <c r="Z182" s="174" t="s">
        <v>670</v>
      </c>
      <c r="AA182" s="174" t="s">
        <v>24</v>
      </c>
      <c r="AB182" s="174"/>
      <c r="AC182" s="174" t="s">
        <v>1072</v>
      </c>
      <c r="AD182" s="174" t="s">
        <v>1073</v>
      </c>
      <c r="AE182" s="176">
        <v>43164.463402777779</v>
      </c>
      <c r="AF182" s="175"/>
      <c r="AG182" s="176">
        <v>43164.45890046296</v>
      </c>
      <c r="AH182" s="176">
        <v>43165.48709490741</v>
      </c>
      <c r="AI182" s="175"/>
      <c r="AJ182" s="174"/>
      <c r="AK182" s="178">
        <v>0</v>
      </c>
    </row>
    <row r="183" spans="1:37" ht="15.95" customHeight="1" x14ac:dyDescent="0.25">
      <c r="A183" s="174" t="s">
        <v>461</v>
      </c>
      <c r="B183" s="174" t="s">
        <v>1074</v>
      </c>
      <c r="C183" s="175"/>
      <c r="D183" s="174" t="s">
        <v>1075</v>
      </c>
      <c r="E183" s="174" t="s">
        <v>1076</v>
      </c>
      <c r="F183" s="176">
        <v>43164</v>
      </c>
      <c r="G183" s="176">
        <v>43167</v>
      </c>
      <c r="H183" s="174" t="s">
        <v>1077</v>
      </c>
      <c r="I183" s="175" t="e">
        <f>VLOOKUP($H183,Mapping!$A:$A,1,0)</f>
        <v>#N/A</v>
      </c>
      <c r="J183" s="179" t="s">
        <v>486</v>
      </c>
      <c r="K183" s="174" t="s">
        <v>1078</v>
      </c>
      <c r="L183" s="178">
        <v>125000000</v>
      </c>
      <c r="M183" s="178">
        <v>99.582663999999994</v>
      </c>
      <c r="N183" s="178">
        <v>1.6509995604000001</v>
      </c>
      <c r="O183" s="178">
        <v>-124478329.99999999</v>
      </c>
      <c r="P183" s="174" t="s">
        <v>337</v>
      </c>
      <c r="Q183" s="174" t="s">
        <v>1079</v>
      </c>
      <c r="R183" s="174" t="s">
        <v>24</v>
      </c>
      <c r="S183" s="174" t="s">
        <v>129</v>
      </c>
      <c r="T183" s="175" t="str">
        <f>VLOOKUP($S183,Mapping!$C:$C,1,0)</f>
        <v>Omgeo</v>
      </c>
      <c r="U183" s="175"/>
      <c r="V183" s="175"/>
      <c r="W183" s="175"/>
      <c r="X183" s="175"/>
      <c r="Y183" s="174" t="s">
        <v>469</v>
      </c>
      <c r="Z183" s="174" t="s">
        <v>1080</v>
      </c>
      <c r="AA183" s="174" t="s">
        <v>24</v>
      </c>
      <c r="AB183" s="174"/>
      <c r="AC183" s="175"/>
      <c r="AD183" s="174" t="s">
        <v>472</v>
      </c>
      <c r="AE183" s="176">
        <v>43164.499814814815</v>
      </c>
      <c r="AF183" s="175"/>
      <c r="AG183" s="176">
        <v>43164.494351851848</v>
      </c>
      <c r="AH183" s="176">
        <v>43164.494398148148</v>
      </c>
      <c r="AI183" s="174" t="s">
        <v>473</v>
      </c>
      <c r="AJ183" s="175"/>
      <c r="AK183" s="178">
        <v>1</v>
      </c>
    </row>
    <row r="184" spans="1:37" ht="15.95" customHeight="1" x14ac:dyDescent="0.25">
      <c r="A184" s="174" t="s">
        <v>461</v>
      </c>
      <c r="B184" s="174" t="s">
        <v>1087</v>
      </c>
      <c r="C184" s="175"/>
      <c r="D184" s="174" t="s">
        <v>566</v>
      </c>
      <c r="E184" s="174" t="s">
        <v>837</v>
      </c>
      <c r="F184" s="176">
        <v>43164</v>
      </c>
      <c r="G184" s="176">
        <v>43167</v>
      </c>
      <c r="H184" s="174" t="s">
        <v>1088</v>
      </c>
      <c r="I184" s="175" t="e">
        <f>VLOOKUP($H184,Mapping!$A:$A,1,0)</f>
        <v>#N/A</v>
      </c>
      <c r="J184" s="177" t="s">
        <v>466</v>
      </c>
      <c r="K184" s="174" t="s">
        <v>838</v>
      </c>
      <c r="L184" s="178">
        <v>50000000</v>
      </c>
      <c r="M184" s="178">
        <v>74.62715</v>
      </c>
      <c r="N184" s="178">
        <v>9.1649995381</v>
      </c>
      <c r="O184" s="178">
        <v>37384810</v>
      </c>
      <c r="P184" s="174" t="s">
        <v>839</v>
      </c>
      <c r="Q184" s="174" t="s">
        <v>840</v>
      </c>
      <c r="R184" s="174" t="s">
        <v>22</v>
      </c>
      <c r="S184" s="174" t="s">
        <v>129</v>
      </c>
      <c r="T184" s="175" t="str">
        <f>VLOOKUP($S184,Mapping!$C:$C,1,0)</f>
        <v>Omgeo</v>
      </c>
      <c r="U184" s="174" t="s">
        <v>1089</v>
      </c>
      <c r="V184" s="174" t="s">
        <v>132</v>
      </c>
      <c r="W184" s="175"/>
      <c r="X184" s="175"/>
      <c r="Y184" s="174" t="s">
        <v>842</v>
      </c>
      <c r="Z184" s="174" t="s">
        <v>843</v>
      </c>
      <c r="AA184" s="174" t="s">
        <v>22</v>
      </c>
      <c r="AB184" s="174"/>
      <c r="AC184" s="175"/>
      <c r="AD184" s="174" t="s">
        <v>844</v>
      </c>
      <c r="AE184" s="176">
        <v>43164.422326388885</v>
      </c>
      <c r="AF184" s="174" t="s">
        <v>1089</v>
      </c>
      <c r="AG184" s="176">
        <v>43164.417199074072</v>
      </c>
      <c r="AH184" s="176">
        <v>43164.417199074072</v>
      </c>
      <c r="AI184" s="175"/>
      <c r="AJ184" s="175"/>
      <c r="AK184" s="178">
        <v>1</v>
      </c>
    </row>
    <row r="185" spans="1:37" ht="15.95" customHeight="1" x14ac:dyDescent="0.25">
      <c r="A185" s="174" t="s">
        <v>484</v>
      </c>
      <c r="B185" s="174" t="s">
        <v>1090</v>
      </c>
      <c r="C185" s="175"/>
      <c r="D185" s="174" t="s">
        <v>478</v>
      </c>
      <c r="E185" s="174" t="s">
        <v>535</v>
      </c>
      <c r="F185" s="176">
        <v>43164</v>
      </c>
      <c r="G185" s="176">
        <v>43166</v>
      </c>
      <c r="H185" s="174" t="s">
        <v>1088</v>
      </c>
      <c r="I185" s="175" t="e">
        <f>VLOOKUP($H185,Mapping!$A:$A,1,0)</f>
        <v>#N/A</v>
      </c>
      <c r="J185" s="177" t="s">
        <v>466</v>
      </c>
      <c r="K185" s="174" t="s">
        <v>1091</v>
      </c>
      <c r="L185" s="178">
        <v>2000000</v>
      </c>
      <c r="M185" s="178">
        <v>102.86199999999999</v>
      </c>
      <c r="N185" s="178">
        <v>4.5157622152999997</v>
      </c>
      <c r="O185" s="178">
        <v>2086745.5555555599</v>
      </c>
      <c r="P185" s="174" t="s">
        <v>337</v>
      </c>
      <c r="Q185" s="174" t="s">
        <v>1092</v>
      </c>
      <c r="R185" s="174" t="s">
        <v>22</v>
      </c>
      <c r="S185" s="174" t="s">
        <v>129</v>
      </c>
      <c r="T185" s="175" t="str">
        <f>VLOOKUP($S185,Mapping!$C:$C,1,0)</f>
        <v>Omgeo</v>
      </c>
      <c r="U185" s="174" t="s">
        <v>1093</v>
      </c>
      <c r="V185" s="174" t="s">
        <v>132</v>
      </c>
      <c r="W185" s="175"/>
      <c r="X185" s="175"/>
      <c r="Y185" s="174" t="s">
        <v>489</v>
      </c>
      <c r="Z185" s="174" t="s">
        <v>540</v>
      </c>
      <c r="AA185" s="174" t="s">
        <v>22</v>
      </c>
      <c r="AB185" s="174"/>
      <c r="AC185" s="175"/>
      <c r="AD185" s="174" t="s">
        <v>541</v>
      </c>
      <c r="AE185" s="176">
        <v>43164.538611111115</v>
      </c>
      <c r="AF185" s="174" t="s">
        <v>1093</v>
      </c>
      <c r="AG185" s="176">
        <v>43164.533275462964</v>
      </c>
      <c r="AH185" s="176">
        <v>43164.533275462964</v>
      </c>
      <c r="AI185" s="175"/>
      <c r="AJ185" s="175"/>
      <c r="AK185" s="178">
        <v>1</v>
      </c>
    </row>
    <row r="186" spans="1:37" ht="15.95" customHeight="1" x14ac:dyDescent="0.25">
      <c r="A186" s="174" t="s">
        <v>461</v>
      </c>
      <c r="B186" s="174" t="s">
        <v>1094</v>
      </c>
      <c r="C186" s="175"/>
      <c r="D186" s="174" t="s">
        <v>478</v>
      </c>
      <c r="E186" s="174" t="s">
        <v>535</v>
      </c>
      <c r="F186" s="176">
        <v>43164</v>
      </c>
      <c r="G186" s="176">
        <v>43165</v>
      </c>
      <c r="H186" s="174" t="s">
        <v>1088</v>
      </c>
      <c r="I186" s="175" t="e">
        <f>VLOOKUP($H186,Mapping!$A:$A,1,0)</f>
        <v>#N/A</v>
      </c>
      <c r="J186" s="179" t="s">
        <v>486</v>
      </c>
      <c r="K186" s="174" t="s">
        <v>543</v>
      </c>
      <c r="L186" s="178">
        <v>1730000</v>
      </c>
      <c r="M186" s="178">
        <v>92.0625</v>
      </c>
      <c r="N186" s="178">
        <v>3.1640989018000001</v>
      </c>
      <c r="O186" s="178">
        <v>-1607269.1643646399</v>
      </c>
      <c r="P186" s="174" t="s">
        <v>337</v>
      </c>
      <c r="Q186" s="174" t="s">
        <v>544</v>
      </c>
      <c r="R186" s="174" t="s">
        <v>22</v>
      </c>
      <c r="S186" s="174" t="s">
        <v>129</v>
      </c>
      <c r="T186" s="175" t="str">
        <f>VLOOKUP($S186,Mapping!$C:$C,1,0)</f>
        <v>Omgeo</v>
      </c>
      <c r="U186" s="174" t="s">
        <v>1095</v>
      </c>
      <c r="V186" s="174" t="s">
        <v>132</v>
      </c>
      <c r="W186" s="175"/>
      <c r="X186" s="175"/>
      <c r="Y186" s="174" t="s">
        <v>469</v>
      </c>
      <c r="Z186" s="174" t="s">
        <v>540</v>
      </c>
      <c r="AA186" s="174" t="s">
        <v>22</v>
      </c>
      <c r="AB186" s="174"/>
      <c r="AC186" s="175"/>
      <c r="AD186" s="174" t="s">
        <v>541</v>
      </c>
      <c r="AE186" s="176">
        <v>43164.538611111115</v>
      </c>
      <c r="AF186" s="174" t="s">
        <v>1095</v>
      </c>
      <c r="AG186" s="176">
        <v>43164.533414351848</v>
      </c>
      <c r="AH186" s="176">
        <v>43164.533414351848</v>
      </c>
      <c r="AI186" s="175"/>
      <c r="AJ186" s="175"/>
      <c r="AK186" s="178">
        <v>1</v>
      </c>
    </row>
    <row r="187" spans="1:37" ht="15.95" customHeight="1" x14ac:dyDescent="0.25">
      <c r="A187" s="174" t="s">
        <v>461</v>
      </c>
      <c r="B187" s="174" t="s">
        <v>1096</v>
      </c>
      <c r="C187" s="175"/>
      <c r="D187" s="174" t="s">
        <v>463</v>
      </c>
      <c r="E187" s="174" t="s">
        <v>676</v>
      </c>
      <c r="F187" s="176">
        <v>43164</v>
      </c>
      <c r="G187" s="176">
        <v>43165</v>
      </c>
      <c r="H187" s="174" t="s">
        <v>1088</v>
      </c>
      <c r="I187" s="175" t="e">
        <f>VLOOKUP($H187,Mapping!$A:$A,1,0)</f>
        <v>#N/A</v>
      </c>
      <c r="J187" s="179" t="s">
        <v>486</v>
      </c>
      <c r="K187" s="174" t="s">
        <v>475</v>
      </c>
      <c r="L187" s="178">
        <v>82500000</v>
      </c>
      <c r="M187" s="178">
        <v>98.875</v>
      </c>
      <c r="N187" s="178">
        <v>2.8807705845</v>
      </c>
      <c r="O187" s="178">
        <v>-81690953.038674042</v>
      </c>
      <c r="P187" s="174" t="s">
        <v>337</v>
      </c>
      <c r="Q187" s="174" t="s">
        <v>476</v>
      </c>
      <c r="R187" s="174" t="s">
        <v>22</v>
      </c>
      <c r="S187" s="174" t="s">
        <v>129</v>
      </c>
      <c r="T187" s="175" t="str">
        <f>VLOOKUP($S187,Mapping!$C:$C,1,0)</f>
        <v>Omgeo</v>
      </c>
      <c r="U187" s="174" t="s">
        <v>1097</v>
      </c>
      <c r="V187" s="174" t="s">
        <v>132</v>
      </c>
      <c r="W187" s="175"/>
      <c r="X187" s="175"/>
      <c r="Y187" s="174" t="s">
        <v>469</v>
      </c>
      <c r="Z187" s="174" t="s">
        <v>683</v>
      </c>
      <c r="AA187" s="174" t="s">
        <v>22</v>
      </c>
      <c r="AB187" s="174"/>
      <c r="AC187" s="175"/>
      <c r="AD187" s="174" t="s">
        <v>512</v>
      </c>
      <c r="AE187" s="176">
        <v>43164.584733796299</v>
      </c>
      <c r="AF187" s="174" t="s">
        <v>1097</v>
      </c>
      <c r="AG187" s="176">
        <v>43164.579502314817</v>
      </c>
      <c r="AH187" s="176">
        <v>43164.579560185186</v>
      </c>
      <c r="AI187" s="174" t="s">
        <v>473</v>
      </c>
      <c r="AJ187" s="175"/>
      <c r="AK187" s="178">
        <v>1</v>
      </c>
    </row>
    <row r="188" spans="1:37" ht="15.95" customHeight="1" x14ac:dyDescent="0.25">
      <c r="A188" s="174" t="s">
        <v>461</v>
      </c>
      <c r="B188" s="174" t="s">
        <v>1098</v>
      </c>
      <c r="C188" s="175"/>
      <c r="D188" s="174" t="s">
        <v>463</v>
      </c>
      <c r="E188" s="174" t="s">
        <v>676</v>
      </c>
      <c r="F188" s="176">
        <v>43164</v>
      </c>
      <c r="G188" s="176">
        <v>43165</v>
      </c>
      <c r="H188" s="174" t="s">
        <v>1088</v>
      </c>
      <c r="I188" s="175" t="e">
        <f>VLOOKUP($H188,Mapping!$A:$A,1,0)</f>
        <v>#N/A</v>
      </c>
      <c r="J188" s="177" t="s">
        <v>466</v>
      </c>
      <c r="K188" s="174" t="s">
        <v>1099</v>
      </c>
      <c r="L188" s="178">
        <v>90000000</v>
      </c>
      <c r="M188" s="178">
        <v>95.82421875</v>
      </c>
      <c r="N188" s="178">
        <v>2.8953554204</v>
      </c>
      <c r="O188" s="178">
        <v>86897218.145718232</v>
      </c>
      <c r="P188" s="174" t="s">
        <v>337</v>
      </c>
      <c r="Q188" s="174" t="s">
        <v>1100</v>
      </c>
      <c r="R188" s="174" t="s">
        <v>22</v>
      </c>
      <c r="S188" s="174" t="s">
        <v>129</v>
      </c>
      <c r="T188" s="175" t="str">
        <f>VLOOKUP($S188,Mapping!$C:$C,1,0)</f>
        <v>Omgeo</v>
      </c>
      <c r="U188" s="174" t="s">
        <v>1101</v>
      </c>
      <c r="V188" s="174" t="s">
        <v>132</v>
      </c>
      <c r="W188" s="175"/>
      <c r="X188" s="175"/>
      <c r="Y188" s="174" t="s">
        <v>469</v>
      </c>
      <c r="Z188" s="174" t="s">
        <v>683</v>
      </c>
      <c r="AA188" s="174" t="s">
        <v>22</v>
      </c>
      <c r="AB188" s="174"/>
      <c r="AC188" s="175"/>
      <c r="AD188" s="174" t="s">
        <v>512</v>
      </c>
      <c r="AE188" s="176">
        <v>43164.584733796299</v>
      </c>
      <c r="AF188" s="174" t="s">
        <v>1101</v>
      </c>
      <c r="AG188" s="176">
        <v>43164.579525462963</v>
      </c>
      <c r="AH188" s="176">
        <v>43164.579606481479</v>
      </c>
      <c r="AI188" s="174" t="s">
        <v>473</v>
      </c>
      <c r="AJ188" s="175"/>
      <c r="AK188" s="178">
        <v>1</v>
      </c>
    </row>
    <row r="189" spans="1:37" ht="15.95" customHeight="1" x14ac:dyDescent="0.25">
      <c r="A189" s="174" t="s">
        <v>461</v>
      </c>
      <c r="B189" s="174" t="s">
        <v>1102</v>
      </c>
      <c r="C189" s="175"/>
      <c r="D189" s="174" t="s">
        <v>478</v>
      </c>
      <c r="E189" s="174" t="s">
        <v>582</v>
      </c>
      <c r="F189" s="176">
        <v>43164</v>
      </c>
      <c r="G189" s="176">
        <v>43165</v>
      </c>
      <c r="H189" s="174" t="s">
        <v>1088</v>
      </c>
      <c r="I189" s="175" t="e">
        <f>VLOOKUP($H189,Mapping!$A:$A,1,0)</f>
        <v>#N/A</v>
      </c>
      <c r="J189" s="177" t="s">
        <v>466</v>
      </c>
      <c r="K189" s="174" t="s">
        <v>543</v>
      </c>
      <c r="L189" s="178">
        <v>4131000</v>
      </c>
      <c r="M189" s="178">
        <v>91.9375</v>
      </c>
      <c r="N189" s="178">
        <v>3.170987835</v>
      </c>
      <c r="O189" s="178">
        <v>3832772.04074586</v>
      </c>
      <c r="P189" s="174" t="s">
        <v>337</v>
      </c>
      <c r="Q189" s="174" t="s">
        <v>544</v>
      </c>
      <c r="R189" s="174" t="s">
        <v>22</v>
      </c>
      <c r="S189" s="174" t="s">
        <v>129</v>
      </c>
      <c r="T189" s="175" t="str">
        <f>VLOOKUP($S189,Mapping!$C:$C,1,0)</f>
        <v>Omgeo</v>
      </c>
      <c r="U189" s="174" t="s">
        <v>1103</v>
      </c>
      <c r="V189" s="174" t="s">
        <v>132</v>
      </c>
      <c r="W189" s="175"/>
      <c r="X189" s="175"/>
      <c r="Y189" s="174" t="s">
        <v>469</v>
      </c>
      <c r="Z189" s="174" t="s">
        <v>586</v>
      </c>
      <c r="AA189" s="174" t="s">
        <v>22</v>
      </c>
      <c r="AB189" s="174"/>
      <c r="AC189" s="175"/>
      <c r="AD189" s="174" t="s">
        <v>512</v>
      </c>
      <c r="AE189" s="176">
        <v>43164.610729166663</v>
      </c>
      <c r="AF189" s="174" t="s">
        <v>1103</v>
      </c>
      <c r="AG189" s="176">
        <v>43164.607245370367</v>
      </c>
      <c r="AH189" s="176">
        <v>43164.607303240744</v>
      </c>
      <c r="AI189" s="175"/>
      <c r="AJ189" s="175"/>
      <c r="AK189" s="178">
        <v>1</v>
      </c>
    </row>
    <row r="190" spans="1:37" ht="15.95" customHeight="1" x14ac:dyDescent="0.25">
      <c r="A190" s="174" t="s">
        <v>484</v>
      </c>
      <c r="B190" s="174" t="s">
        <v>1104</v>
      </c>
      <c r="C190" s="175"/>
      <c r="D190" s="174" t="s">
        <v>478</v>
      </c>
      <c r="E190" s="174" t="s">
        <v>582</v>
      </c>
      <c r="F190" s="176">
        <v>43164</v>
      </c>
      <c r="G190" s="176">
        <v>43166</v>
      </c>
      <c r="H190" s="174" t="s">
        <v>1088</v>
      </c>
      <c r="I190" s="175" t="e">
        <f>VLOOKUP($H190,Mapping!$A:$A,1,0)</f>
        <v>#N/A</v>
      </c>
      <c r="J190" s="179" t="s">
        <v>486</v>
      </c>
      <c r="K190" s="174" t="s">
        <v>1105</v>
      </c>
      <c r="L190" s="178">
        <v>4550000</v>
      </c>
      <c r="M190" s="178">
        <v>106.73399999999999</v>
      </c>
      <c r="N190" s="178">
        <v>4.4747652727</v>
      </c>
      <c r="O190" s="178">
        <v>-4878692</v>
      </c>
      <c r="P190" s="174" t="s">
        <v>337</v>
      </c>
      <c r="Q190" s="174" t="s">
        <v>1106</v>
      </c>
      <c r="R190" s="174" t="s">
        <v>22</v>
      </c>
      <c r="S190" s="174" t="s">
        <v>129</v>
      </c>
      <c r="T190" s="175" t="str">
        <f>VLOOKUP($S190,Mapping!$C:$C,1,0)</f>
        <v>Omgeo</v>
      </c>
      <c r="U190" s="174" t="s">
        <v>1107</v>
      </c>
      <c r="V190" s="174" t="s">
        <v>132</v>
      </c>
      <c r="W190" s="175"/>
      <c r="X190" s="175"/>
      <c r="Y190" s="174" t="s">
        <v>489</v>
      </c>
      <c r="Z190" s="174" t="s">
        <v>586</v>
      </c>
      <c r="AA190" s="174" t="s">
        <v>22</v>
      </c>
      <c r="AB190" s="174"/>
      <c r="AC190" s="175"/>
      <c r="AD190" s="174" t="s">
        <v>512</v>
      </c>
      <c r="AE190" s="176">
        <v>43164.610729166663</v>
      </c>
      <c r="AF190" s="174" t="s">
        <v>1107</v>
      </c>
      <c r="AG190" s="176">
        <v>43164.607245370367</v>
      </c>
      <c r="AH190" s="176">
        <v>43164.607314814813</v>
      </c>
      <c r="AI190" s="175"/>
      <c r="AJ190" s="175"/>
      <c r="AK190" s="178">
        <v>1</v>
      </c>
    </row>
    <row r="191" spans="1:37" ht="15.95" customHeight="1" x14ac:dyDescent="0.25">
      <c r="A191" s="174" t="s">
        <v>484</v>
      </c>
      <c r="B191" s="174" t="s">
        <v>1108</v>
      </c>
      <c r="C191" s="175"/>
      <c r="D191" s="174" t="s">
        <v>478</v>
      </c>
      <c r="E191" s="174" t="s">
        <v>535</v>
      </c>
      <c r="F191" s="176">
        <v>43164</v>
      </c>
      <c r="G191" s="176">
        <v>43166</v>
      </c>
      <c r="H191" s="174" t="s">
        <v>1088</v>
      </c>
      <c r="I191" s="175" t="e">
        <f>VLOOKUP($H191,Mapping!$A:$A,1,0)</f>
        <v>#N/A</v>
      </c>
      <c r="J191" s="177" t="s">
        <v>466</v>
      </c>
      <c r="K191" s="174" t="s">
        <v>1109</v>
      </c>
      <c r="L191" s="178">
        <v>5000000</v>
      </c>
      <c r="M191" s="178">
        <v>101.84</v>
      </c>
      <c r="N191" s="178">
        <v>4.5546931791</v>
      </c>
      <c r="O191" s="178">
        <v>5145106.3888888899</v>
      </c>
      <c r="P191" s="174" t="s">
        <v>337</v>
      </c>
      <c r="Q191" s="174" t="s">
        <v>1110</v>
      </c>
      <c r="R191" s="174" t="s">
        <v>22</v>
      </c>
      <c r="S191" s="174" t="s">
        <v>129</v>
      </c>
      <c r="T191" s="175" t="str">
        <f>VLOOKUP($S191,Mapping!$C:$C,1,0)</f>
        <v>Omgeo</v>
      </c>
      <c r="U191" s="174" t="s">
        <v>1111</v>
      </c>
      <c r="V191" s="174" t="s">
        <v>132</v>
      </c>
      <c r="W191" s="175"/>
      <c r="X191" s="175"/>
      <c r="Y191" s="174" t="s">
        <v>489</v>
      </c>
      <c r="Z191" s="174" t="s">
        <v>540</v>
      </c>
      <c r="AA191" s="174" t="s">
        <v>22</v>
      </c>
      <c r="AB191" s="174"/>
      <c r="AC191" s="175"/>
      <c r="AD191" s="174" t="s">
        <v>541</v>
      </c>
      <c r="AE191" s="176">
        <v>43164.636678240742</v>
      </c>
      <c r="AF191" s="174" t="s">
        <v>1111</v>
      </c>
      <c r="AG191" s="176">
        <v>43164.630115740743</v>
      </c>
      <c r="AH191" s="176">
        <v>43164.630115740743</v>
      </c>
      <c r="AI191" s="175"/>
      <c r="AJ191" s="175"/>
      <c r="AK191" s="178">
        <v>1</v>
      </c>
    </row>
    <row r="192" spans="1:37" ht="15.95" customHeight="1" x14ac:dyDescent="0.25">
      <c r="A192" s="174" t="s">
        <v>461</v>
      </c>
      <c r="B192" s="174" t="s">
        <v>1112</v>
      </c>
      <c r="C192" s="175"/>
      <c r="D192" s="174" t="s">
        <v>478</v>
      </c>
      <c r="E192" s="174" t="s">
        <v>535</v>
      </c>
      <c r="F192" s="176">
        <v>43164</v>
      </c>
      <c r="G192" s="176">
        <v>43165</v>
      </c>
      <c r="H192" s="174" t="s">
        <v>1088</v>
      </c>
      <c r="I192" s="175" t="e">
        <f>VLOOKUP($H192,Mapping!$A:$A,1,0)</f>
        <v>#N/A</v>
      </c>
      <c r="J192" s="179" t="s">
        <v>486</v>
      </c>
      <c r="K192" s="174" t="s">
        <v>543</v>
      </c>
      <c r="L192" s="178">
        <v>4715000</v>
      </c>
      <c r="M192" s="178">
        <v>92.25</v>
      </c>
      <c r="N192" s="178">
        <v>3.1537882441999998</v>
      </c>
      <c r="O192" s="178">
        <v>-4389345.8908839794</v>
      </c>
      <c r="P192" s="174" t="s">
        <v>337</v>
      </c>
      <c r="Q192" s="174" t="s">
        <v>544</v>
      </c>
      <c r="R192" s="174" t="s">
        <v>22</v>
      </c>
      <c r="S192" s="174" t="s">
        <v>129</v>
      </c>
      <c r="T192" s="175" t="str">
        <f>VLOOKUP($S192,Mapping!$C:$C,1,0)</f>
        <v>Omgeo</v>
      </c>
      <c r="U192" s="174" t="s">
        <v>1113</v>
      </c>
      <c r="V192" s="174" t="s">
        <v>132</v>
      </c>
      <c r="W192" s="175"/>
      <c r="X192" s="175"/>
      <c r="Y192" s="174" t="s">
        <v>469</v>
      </c>
      <c r="Z192" s="174" t="s">
        <v>540</v>
      </c>
      <c r="AA192" s="174" t="s">
        <v>22</v>
      </c>
      <c r="AB192" s="174"/>
      <c r="AC192" s="175"/>
      <c r="AD192" s="174" t="s">
        <v>541</v>
      </c>
      <c r="AE192" s="176">
        <v>43164.636678240742</v>
      </c>
      <c r="AF192" s="174" t="s">
        <v>1113</v>
      </c>
      <c r="AG192" s="176">
        <v>43164.630266203705</v>
      </c>
      <c r="AH192" s="176">
        <v>43164.630266203705</v>
      </c>
      <c r="AI192" s="175"/>
      <c r="AJ192" s="175"/>
      <c r="AK192" s="178">
        <v>1</v>
      </c>
    </row>
    <row r="193" spans="1:37" ht="15.95" customHeight="1" x14ac:dyDescent="0.25">
      <c r="A193" s="174" t="s">
        <v>484</v>
      </c>
      <c r="B193" s="174" t="s">
        <v>1114</v>
      </c>
      <c r="C193" s="175"/>
      <c r="D193" s="174" t="s">
        <v>478</v>
      </c>
      <c r="E193" s="174" t="s">
        <v>535</v>
      </c>
      <c r="F193" s="176">
        <v>43164</v>
      </c>
      <c r="G193" s="176">
        <v>43166</v>
      </c>
      <c r="H193" s="174" t="s">
        <v>1088</v>
      </c>
      <c r="I193" s="175" t="e">
        <f>VLOOKUP($H193,Mapping!$A:$A,1,0)</f>
        <v>#N/A</v>
      </c>
      <c r="J193" s="179" t="s">
        <v>486</v>
      </c>
      <c r="K193" s="174" t="s">
        <v>1115</v>
      </c>
      <c r="L193" s="178">
        <v>5000000</v>
      </c>
      <c r="M193" s="178">
        <v>99.335999999999999</v>
      </c>
      <c r="N193" s="178">
        <v>4.4420153524000003</v>
      </c>
      <c r="O193" s="178">
        <v>-5043800</v>
      </c>
      <c r="P193" s="174" t="s">
        <v>337</v>
      </c>
      <c r="Q193" s="174" t="s">
        <v>1116</v>
      </c>
      <c r="R193" s="174" t="s">
        <v>22</v>
      </c>
      <c r="S193" s="174" t="s">
        <v>129</v>
      </c>
      <c r="T193" s="175" t="str">
        <f>VLOOKUP($S193,Mapping!$C:$C,1,0)</f>
        <v>Omgeo</v>
      </c>
      <c r="U193" s="174" t="s">
        <v>1117</v>
      </c>
      <c r="V193" s="174" t="s">
        <v>132</v>
      </c>
      <c r="W193" s="175"/>
      <c r="X193" s="175"/>
      <c r="Y193" s="174" t="s">
        <v>489</v>
      </c>
      <c r="Z193" s="174" t="s">
        <v>540</v>
      </c>
      <c r="AA193" s="174" t="s">
        <v>22</v>
      </c>
      <c r="AB193" s="174"/>
      <c r="AC193" s="175"/>
      <c r="AD193" s="174" t="s">
        <v>541</v>
      </c>
      <c r="AE193" s="176">
        <v>43164.636678240742</v>
      </c>
      <c r="AF193" s="174" t="s">
        <v>1117</v>
      </c>
      <c r="AG193" s="176">
        <v>43164.631724537037</v>
      </c>
      <c r="AH193" s="176">
        <v>43164.631724537037</v>
      </c>
      <c r="AI193" s="175"/>
      <c r="AJ193" s="175"/>
      <c r="AK193" s="178">
        <v>1</v>
      </c>
    </row>
    <row r="194" spans="1:37" ht="15.95" customHeight="1" x14ac:dyDescent="0.25">
      <c r="A194" s="174" t="s">
        <v>461</v>
      </c>
      <c r="B194" s="174" t="s">
        <v>1118</v>
      </c>
      <c r="C194" s="175"/>
      <c r="D194" s="174" t="s">
        <v>478</v>
      </c>
      <c r="E194" s="174" t="s">
        <v>535</v>
      </c>
      <c r="F194" s="176">
        <v>43164</v>
      </c>
      <c r="G194" s="176">
        <v>43165</v>
      </c>
      <c r="H194" s="174" t="s">
        <v>1088</v>
      </c>
      <c r="I194" s="175" t="e">
        <f>VLOOKUP($H194,Mapping!$A:$A,1,0)</f>
        <v>#N/A</v>
      </c>
      <c r="J194" s="177" t="s">
        <v>466</v>
      </c>
      <c r="K194" s="174" t="s">
        <v>543</v>
      </c>
      <c r="L194" s="178">
        <v>4290000</v>
      </c>
      <c r="M194" s="178">
        <v>92.1875</v>
      </c>
      <c r="N194" s="178">
        <v>3.1572221045000002</v>
      </c>
      <c r="O194" s="178">
        <v>3991018.4046961302</v>
      </c>
      <c r="P194" s="174" t="s">
        <v>337</v>
      </c>
      <c r="Q194" s="174" t="s">
        <v>544</v>
      </c>
      <c r="R194" s="174" t="s">
        <v>22</v>
      </c>
      <c r="S194" s="174" t="s">
        <v>129</v>
      </c>
      <c r="T194" s="175" t="str">
        <f>VLOOKUP($S194,Mapping!$C:$C,1,0)</f>
        <v>Omgeo</v>
      </c>
      <c r="U194" s="174" t="s">
        <v>1119</v>
      </c>
      <c r="V194" s="174" t="s">
        <v>132</v>
      </c>
      <c r="W194" s="175"/>
      <c r="X194" s="175"/>
      <c r="Y194" s="174" t="s">
        <v>469</v>
      </c>
      <c r="Z194" s="174" t="s">
        <v>540</v>
      </c>
      <c r="AA194" s="174" t="s">
        <v>22</v>
      </c>
      <c r="AB194" s="174"/>
      <c r="AC194" s="175"/>
      <c r="AD194" s="174" t="s">
        <v>541</v>
      </c>
      <c r="AE194" s="176">
        <v>43164.636678240742</v>
      </c>
      <c r="AF194" s="174" t="s">
        <v>1119</v>
      </c>
      <c r="AG194" s="176">
        <v>43164.631863425922</v>
      </c>
      <c r="AH194" s="176">
        <v>43164.631863425922</v>
      </c>
      <c r="AI194" s="175"/>
      <c r="AJ194" s="175"/>
      <c r="AK194" s="178">
        <v>1</v>
      </c>
    </row>
    <row r="195" spans="1:37" ht="15.95" customHeight="1" x14ac:dyDescent="0.25">
      <c r="A195" s="174" t="s">
        <v>484</v>
      </c>
      <c r="B195" s="174" t="s">
        <v>1120</v>
      </c>
      <c r="C195" s="175"/>
      <c r="D195" s="174" t="s">
        <v>478</v>
      </c>
      <c r="E195" s="174" t="s">
        <v>491</v>
      </c>
      <c r="F195" s="176">
        <v>43164</v>
      </c>
      <c r="G195" s="176">
        <v>43166</v>
      </c>
      <c r="H195" s="174" t="s">
        <v>1088</v>
      </c>
      <c r="I195" s="175" t="e">
        <f>VLOOKUP($H195,Mapping!$A:$A,1,0)</f>
        <v>#N/A</v>
      </c>
      <c r="J195" s="179" t="s">
        <v>486</v>
      </c>
      <c r="K195" s="174" t="s">
        <v>1121</v>
      </c>
      <c r="L195" s="178">
        <v>4550000</v>
      </c>
      <c r="M195" s="178">
        <v>95.245999999999995</v>
      </c>
      <c r="N195" s="178">
        <v>4.4247122444000002</v>
      </c>
      <c r="O195" s="178">
        <v>-4393607.9055555603</v>
      </c>
      <c r="P195" s="174" t="s">
        <v>337</v>
      </c>
      <c r="Q195" s="174" t="s">
        <v>1122</v>
      </c>
      <c r="R195" s="174" t="s">
        <v>22</v>
      </c>
      <c r="S195" s="174" t="s">
        <v>129</v>
      </c>
      <c r="T195" s="175" t="str">
        <f>VLOOKUP($S195,Mapping!$C:$C,1,0)</f>
        <v>Omgeo</v>
      </c>
      <c r="U195" s="174" t="s">
        <v>1123</v>
      </c>
      <c r="V195" s="174" t="s">
        <v>132</v>
      </c>
      <c r="W195" s="175"/>
      <c r="X195" s="175"/>
      <c r="Y195" s="174" t="s">
        <v>489</v>
      </c>
      <c r="Z195" s="174" t="s">
        <v>494</v>
      </c>
      <c r="AA195" s="174" t="s">
        <v>22</v>
      </c>
      <c r="AB195" s="174"/>
      <c r="AC195" s="175"/>
      <c r="AD195" s="174" t="s">
        <v>512</v>
      </c>
      <c r="AE195" s="176">
        <v>43164.709270833337</v>
      </c>
      <c r="AF195" s="174" t="s">
        <v>1123</v>
      </c>
      <c r="AG195" s="176">
        <v>43164.700868055559</v>
      </c>
      <c r="AH195" s="176">
        <v>43164.700925925928</v>
      </c>
      <c r="AI195" s="175"/>
      <c r="AJ195" s="175"/>
      <c r="AK195" s="178">
        <v>1</v>
      </c>
    </row>
    <row r="196" spans="1:37" ht="15.95" customHeight="1" x14ac:dyDescent="0.25">
      <c r="A196" s="174" t="s">
        <v>461</v>
      </c>
      <c r="B196" s="174" t="s">
        <v>1124</v>
      </c>
      <c r="C196" s="175"/>
      <c r="D196" s="174" t="s">
        <v>478</v>
      </c>
      <c r="E196" s="174" t="s">
        <v>491</v>
      </c>
      <c r="F196" s="176">
        <v>43164</v>
      </c>
      <c r="G196" s="176">
        <v>43165</v>
      </c>
      <c r="H196" s="174" t="s">
        <v>1088</v>
      </c>
      <c r="I196" s="175" t="e">
        <f>VLOOKUP($H196,Mapping!$A:$A,1,0)</f>
        <v>#N/A</v>
      </c>
      <c r="J196" s="177" t="s">
        <v>466</v>
      </c>
      <c r="K196" s="174" t="s">
        <v>475</v>
      </c>
      <c r="L196" s="178">
        <v>4004000</v>
      </c>
      <c r="M196" s="178">
        <v>98.859375</v>
      </c>
      <c r="N196" s="178">
        <v>2.8826001954999998</v>
      </c>
      <c r="O196" s="178">
        <v>3964108.6291436497</v>
      </c>
      <c r="P196" s="174" t="s">
        <v>337</v>
      </c>
      <c r="Q196" s="174" t="s">
        <v>476</v>
      </c>
      <c r="R196" s="174" t="s">
        <v>22</v>
      </c>
      <c r="S196" s="174" t="s">
        <v>129</v>
      </c>
      <c r="T196" s="175" t="str">
        <f>VLOOKUP($S196,Mapping!$C:$C,1,0)</f>
        <v>Omgeo</v>
      </c>
      <c r="U196" s="174" t="s">
        <v>1125</v>
      </c>
      <c r="V196" s="174" t="s">
        <v>132</v>
      </c>
      <c r="W196" s="175"/>
      <c r="X196" s="175"/>
      <c r="Y196" s="174" t="s">
        <v>469</v>
      </c>
      <c r="Z196" s="174" t="s">
        <v>494</v>
      </c>
      <c r="AA196" s="174" t="s">
        <v>22</v>
      </c>
      <c r="AB196" s="174"/>
      <c r="AC196" s="175"/>
      <c r="AD196" s="174" t="s">
        <v>512</v>
      </c>
      <c r="AE196" s="176">
        <v>43164.709270833337</v>
      </c>
      <c r="AF196" s="174" t="s">
        <v>1125</v>
      </c>
      <c r="AG196" s="176">
        <v>43164.700787037036</v>
      </c>
      <c r="AH196" s="176">
        <v>43164.700960648152</v>
      </c>
      <c r="AI196" s="175"/>
      <c r="AJ196" s="175"/>
      <c r="AK196" s="178">
        <v>1</v>
      </c>
    </row>
    <row r="197" spans="1:37" ht="15.95" customHeight="1" x14ac:dyDescent="0.25">
      <c r="A197" s="174" t="s">
        <v>461</v>
      </c>
      <c r="B197" s="174" t="s">
        <v>1126</v>
      </c>
      <c r="C197" s="175"/>
      <c r="D197" s="174" t="s">
        <v>478</v>
      </c>
      <c r="E197" s="174" t="s">
        <v>768</v>
      </c>
      <c r="F197" s="176">
        <v>43164</v>
      </c>
      <c r="G197" s="176">
        <v>43165</v>
      </c>
      <c r="H197" s="174" t="s">
        <v>1088</v>
      </c>
      <c r="I197" s="175" t="e">
        <f>VLOOKUP($H197,Mapping!$A:$A,1,0)</f>
        <v>#N/A</v>
      </c>
      <c r="J197" s="179" t="s">
        <v>486</v>
      </c>
      <c r="K197" s="174" t="s">
        <v>475</v>
      </c>
      <c r="L197" s="178">
        <v>4340000</v>
      </c>
      <c r="M197" s="178">
        <v>98.875</v>
      </c>
      <c r="N197" s="178">
        <v>2.8807705845</v>
      </c>
      <c r="O197" s="178">
        <v>-4297439.2265193397</v>
      </c>
      <c r="P197" s="174" t="s">
        <v>337</v>
      </c>
      <c r="Q197" s="174" t="s">
        <v>476</v>
      </c>
      <c r="R197" s="174" t="s">
        <v>22</v>
      </c>
      <c r="S197" s="174" t="s">
        <v>129</v>
      </c>
      <c r="T197" s="175" t="str">
        <f>VLOOKUP($S197,Mapping!$C:$C,1,0)</f>
        <v>Omgeo</v>
      </c>
      <c r="U197" s="174" t="s">
        <v>1127</v>
      </c>
      <c r="V197" s="174" t="s">
        <v>132</v>
      </c>
      <c r="W197" s="175"/>
      <c r="X197" s="175"/>
      <c r="Y197" s="174" t="s">
        <v>469</v>
      </c>
      <c r="Z197" s="174" t="s">
        <v>770</v>
      </c>
      <c r="AA197" s="174" t="s">
        <v>22</v>
      </c>
      <c r="AB197" s="174"/>
      <c r="AC197" s="175"/>
      <c r="AD197" s="174" t="s">
        <v>512</v>
      </c>
      <c r="AE197" s="176">
        <v>43165.340671296297</v>
      </c>
      <c r="AF197" s="174" t="s">
        <v>1127</v>
      </c>
      <c r="AG197" s="176">
        <v>43165.333067129628</v>
      </c>
      <c r="AH197" s="176">
        <v>43165.33315972222</v>
      </c>
      <c r="AI197" s="175"/>
      <c r="AJ197" s="175"/>
      <c r="AK197" s="178">
        <v>1</v>
      </c>
    </row>
    <row r="198" spans="1:37" ht="15.95" customHeight="1" x14ac:dyDescent="0.25">
      <c r="A198" s="174" t="s">
        <v>484</v>
      </c>
      <c r="B198" s="174" t="s">
        <v>1128</v>
      </c>
      <c r="C198" s="175"/>
      <c r="D198" s="174" t="s">
        <v>478</v>
      </c>
      <c r="E198" s="174" t="s">
        <v>768</v>
      </c>
      <c r="F198" s="176">
        <v>43164</v>
      </c>
      <c r="G198" s="176">
        <v>43166</v>
      </c>
      <c r="H198" s="174" t="s">
        <v>1088</v>
      </c>
      <c r="I198" s="175" t="e">
        <f>VLOOKUP($H198,Mapping!$A:$A,1,0)</f>
        <v>#N/A</v>
      </c>
      <c r="J198" s="177" t="s">
        <v>466</v>
      </c>
      <c r="K198" s="174" t="s">
        <v>772</v>
      </c>
      <c r="L198" s="178">
        <v>4745000</v>
      </c>
      <c r="M198" s="178">
        <v>95.744</v>
      </c>
      <c r="N198" s="178">
        <v>4.4755266104000002</v>
      </c>
      <c r="O198" s="178">
        <v>4629477.7027777806</v>
      </c>
      <c r="P198" s="174" t="s">
        <v>337</v>
      </c>
      <c r="Q198" s="174" t="s">
        <v>773</v>
      </c>
      <c r="R198" s="174" t="s">
        <v>22</v>
      </c>
      <c r="S198" s="174" t="s">
        <v>129</v>
      </c>
      <c r="T198" s="175" t="str">
        <f>VLOOKUP($S198,Mapping!$C:$C,1,0)</f>
        <v>Omgeo</v>
      </c>
      <c r="U198" s="174" t="s">
        <v>1129</v>
      </c>
      <c r="V198" s="174" t="s">
        <v>132</v>
      </c>
      <c r="W198" s="175"/>
      <c r="X198" s="175"/>
      <c r="Y198" s="174" t="s">
        <v>489</v>
      </c>
      <c r="Z198" s="174" t="s">
        <v>770</v>
      </c>
      <c r="AA198" s="174" t="s">
        <v>22</v>
      </c>
      <c r="AB198" s="174"/>
      <c r="AC198" s="175"/>
      <c r="AD198" s="174" t="s">
        <v>512</v>
      </c>
      <c r="AE198" s="176">
        <v>43165.340671296297</v>
      </c>
      <c r="AF198" s="174" t="s">
        <v>1129</v>
      </c>
      <c r="AG198" s="176">
        <v>43165.333124999997</v>
      </c>
      <c r="AH198" s="176">
        <v>43165.333194444444</v>
      </c>
      <c r="AI198" s="175"/>
      <c r="AJ198" s="175"/>
      <c r="AK198" s="178">
        <v>1</v>
      </c>
    </row>
    <row r="199" spans="1:37" ht="15.95" customHeight="1" x14ac:dyDescent="0.25">
      <c r="A199" s="174" t="s">
        <v>461</v>
      </c>
      <c r="B199" s="174" t="s">
        <v>1130</v>
      </c>
      <c r="C199" s="175"/>
      <c r="D199" s="174" t="s">
        <v>1075</v>
      </c>
      <c r="E199" s="174" t="s">
        <v>1076</v>
      </c>
      <c r="F199" s="176">
        <v>43164</v>
      </c>
      <c r="G199" s="176">
        <v>43167</v>
      </c>
      <c r="H199" s="174" t="s">
        <v>1088</v>
      </c>
      <c r="I199" s="175" t="e">
        <f>VLOOKUP($H199,Mapping!$A:$A,1,0)</f>
        <v>#N/A</v>
      </c>
      <c r="J199" s="179" t="s">
        <v>486</v>
      </c>
      <c r="K199" s="174" t="s">
        <v>1078</v>
      </c>
      <c r="L199" s="178">
        <v>125000000</v>
      </c>
      <c r="M199" s="178">
        <v>99.581652779999999</v>
      </c>
      <c r="N199" s="178">
        <v>1.655</v>
      </c>
      <c r="O199" s="178">
        <v>-124477065.972222</v>
      </c>
      <c r="P199" s="174" t="s">
        <v>337</v>
      </c>
      <c r="Q199" s="174" t="s">
        <v>1079</v>
      </c>
      <c r="R199" s="174" t="s">
        <v>23</v>
      </c>
      <c r="S199" s="174" t="s">
        <v>129</v>
      </c>
      <c r="T199" s="175" t="str">
        <f>VLOOKUP($S199,Mapping!$C:$C,1,0)</f>
        <v>Omgeo</v>
      </c>
      <c r="U199" s="175"/>
      <c r="V199" s="175"/>
      <c r="W199" s="175"/>
      <c r="X199" s="175"/>
      <c r="Y199" s="174" t="s">
        <v>469</v>
      </c>
      <c r="Z199" s="174" t="s">
        <v>1080</v>
      </c>
      <c r="AA199" s="174" t="s">
        <v>24</v>
      </c>
      <c r="AB199" s="174"/>
      <c r="AC199" s="174" t="s">
        <v>1131</v>
      </c>
      <c r="AD199" s="174" t="s">
        <v>483</v>
      </c>
      <c r="AE199" s="176">
        <v>43164.422326388885</v>
      </c>
      <c r="AF199" s="175"/>
      <c r="AG199" s="176">
        <v>43164.554247685184</v>
      </c>
      <c r="AH199" s="176">
        <v>43164.554247685184</v>
      </c>
      <c r="AI199" s="174" t="s">
        <v>473</v>
      </c>
      <c r="AJ199" s="175"/>
      <c r="AK199" s="178">
        <v>1</v>
      </c>
    </row>
    <row r="200" spans="1:37" ht="15.95" customHeight="1" x14ac:dyDescent="0.25">
      <c r="A200" s="174" t="s">
        <v>461</v>
      </c>
      <c r="B200" s="174" t="s">
        <v>1132</v>
      </c>
      <c r="C200" s="175"/>
      <c r="D200" s="174" t="s">
        <v>478</v>
      </c>
      <c r="E200" s="174" t="s">
        <v>582</v>
      </c>
      <c r="F200" s="176">
        <v>43164</v>
      </c>
      <c r="G200" s="176">
        <v>43165</v>
      </c>
      <c r="H200" s="174" t="s">
        <v>1088</v>
      </c>
      <c r="I200" s="175" t="e">
        <f>VLOOKUP($H200,Mapping!$A:$A,1,0)</f>
        <v>#N/A</v>
      </c>
      <c r="J200" s="177" t="s">
        <v>466</v>
      </c>
      <c r="K200" s="174" t="s">
        <v>644</v>
      </c>
      <c r="L200" s="178">
        <v>4550000</v>
      </c>
      <c r="M200" s="178">
        <v>97.1953125</v>
      </c>
      <c r="N200" s="178">
        <v>3.1452099844000001</v>
      </c>
      <c r="O200" s="178">
        <v>4429551.0833908794</v>
      </c>
      <c r="P200" s="174" t="s">
        <v>337</v>
      </c>
      <c r="Q200" s="174" t="s">
        <v>645</v>
      </c>
      <c r="R200" s="174" t="s">
        <v>23</v>
      </c>
      <c r="S200" s="174" t="s">
        <v>129</v>
      </c>
      <c r="T200" s="175" t="str">
        <f>VLOOKUP($S200,Mapping!$C:$C,1,0)</f>
        <v>Omgeo</v>
      </c>
      <c r="U200" s="175"/>
      <c r="V200" s="175"/>
      <c r="W200" s="175"/>
      <c r="X200" s="175"/>
      <c r="Y200" s="174" t="s">
        <v>469</v>
      </c>
      <c r="Z200" s="174" t="s">
        <v>586</v>
      </c>
      <c r="AA200" s="174" t="s">
        <v>24</v>
      </c>
      <c r="AB200" s="174"/>
      <c r="AC200" s="174" t="s">
        <v>1133</v>
      </c>
      <c r="AD200" s="174" t="s">
        <v>483</v>
      </c>
      <c r="AE200" s="176">
        <v>43164.486863425926</v>
      </c>
      <c r="AF200" s="175"/>
      <c r="AG200" s="176">
        <v>43164.572731481479</v>
      </c>
      <c r="AH200" s="176">
        <v>43164.572731481479</v>
      </c>
      <c r="AI200" s="175"/>
      <c r="AJ200" s="175"/>
      <c r="AK200" s="178">
        <v>1</v>
      </c>
    </row>
    <row r="201" spans="1:37" ht="15.95" customHeight="1" x14ac:dyDescent="0.25">
      <c r="A201" s="174" t="s">
        <v>461</v>
      </c>
      <c r="B201" s="174" t="s">
        <v>1134</v>
      </c>
      <c r="C201" s="175"/>
      <c r="D201" s="174" t="s">
        <v>478</v>
      </c>
      <c r="E201" s="174" t="s">
        <v>582</v>
      </c>
      <c r="F201" s="176">
        <v>43164</v>
      </c>
      <c r="G201" s="176">
        <v>43165</v>
      </c>
      <c r="H201" s="174" t="s">
        <v>1088</v>
      </c>
      <c r="I201" s="175" t="e">
        <f>VLOOKUP($H201,Mapping!$A:$A,1,0)</f>
        <v>#N/A</v>
      </c>
      <c r="J201" s="179" t="s">
        <v>486</v>
      </c>
      <c r="K201" s="174" t="s">
        <v>644</v>
      </c>
      <c r="L201" s="178">
        <v>6825000</v>
      </c>
      <c r="M201" s="178">
        <v>97.1875</v>
      </c>
      <c r="N201" s="178">
        <v>3.1456222594000001</v>
      </c>
      <c r="O201" s="178">
        <v>-6643793.4219613299</v>
      </c>
      <c r="P201" s="174" t="s">
        <v>337</v>
      </c>
      <c r="Q201" s="174" t="s">
        <v>645</v>
      </c>
      <c r="R201" s="174" t="s">
        <v>23</v>
      </c>
      <c r="S201" s="174" t="s">
        <v>129</v>
      </c>
      <c r="T201" s="175" t="str">
        <f>VLOOKUP($S201,Mapping!$C:$C,1,0)</f>
        <v>Omgeo</v>
      </c>
      <c r="U201" s="175"/>
      <c r="V201" s="175"/>
      <c r="W201" s="175"/>
      <c r="X201" s="175"/>
      <c r="Y201" s="174" t="s">
        <v>469</v>
      </c>
      <c r="Z201" s="174" t="s">
        <v>586</v>
      </c>
      <c r="AA201" s="174" t="s">
        <v>24</v>
      </c>
      <c r="AB201" s="174"/>
      <c r="AC201" s="174" t="s">
        <v>1133</v>
      </c>
      <c r="AD201" s="174" t="s">
        <v>483</v>
      </c>
      <c r="AE201" s="176">
        <v>43164.486863425926</v>
      </c>
      <c r="AF201" s="175"/>
      <c r="AG201" s="176">
        <v>43164.572731481479</v>
      </c>
      <c r="AH201" s="176">
        <v>43164.572731481479</v>
      </c>
      <c r="AI201" s="175"/>
      <c r="AJ201" s="175"/>
      <c r="AK201" s="178">
        <v>1</v>
      </c>
    </row>
    <row r="202" spans="1:37" ht="15.95" customHeight="1" x14ac:dyDescent="0.25">
      <c r="A202" s="174" t="s">
        <v>461</v>
      </c>
      <c r="B202" s="174" t="s">
        <v>1135</v>
      </c>
      <c r="C202" s="175"/>
      <c r="D202" s="174" t="s">
        <v>478</v>
      </c>
      <c r="E202" s="174" t="s">
        <v>582</v>
      </c>
      <c r="F202" s="176">
        <v>43164</v>
      </c>
      <c r="G202" s="176">
        <v>43165</v>
      </c>
      <c r="H202" s="174" t="s">
        <v>1088</v>
      </c>
      <c r="I202" s="175" t="e">
        <f>VLOOKUP($H202,Mapping!$A:$A,1,0)</f>
        <v>#N/A</v>
      </c>
      <c r="J202" s="179" t="s">
        <v>486</v>
      </c>
      <c r="K202" s="174" t="s">
        <v>644</v>
      </c>
      <c r="L202" s="178">
        <v>6825000</v>
      </c>
      <c r="M202" s="178">
        <v>97.21484375</v>
      </c>
      <c r="N202" s="178">
        <v>3.1441794870000002</v>
      </c>
      <c r="O202" s="178">
        <v>-6645659.6328988299</v>
      </c>
      <c r="P202" s="174" t="s">
        <v>337</v>
      </c>
      <c r="Q202" s="174" t="s">
        <v>645</v>
      </c>
      <c r="R202" s="174" t="s">
        <v>23</v>
      </c>
      <c r="S202" s="174" t="s">
        <v>129</v>
      </c>
      <c r="T202" s="175" t="str">
        <f>VLOOKUP($S202,Mapping!$C:$C,1,0)</f>
        <v>Omgeo</v>
      </c>
      <c r="U202" s="175"/>
      <c r="V202" s="175"/>
      <c r="W202" s="175"/>
      <c r="X202" s="175"/>
      <c r="Y202" s="174" t="s">
        <v>469</v>
      </c>
      <c r="Z202" s="174" t="s">
        <v>586</v>
      </c>
      <c r="AA202" s="174" t="s">
        <v>24</v>
      </c>
      <c r="AB202" s="174"/>
      <c r="AC202" s="174" t="s">
        <v>1133</v>
      </c>
      <c r="AD202" s="174" t="s">
        <v>483</v>
      </c>
      <c r="AE202" s="176">
        <v>43164.486863425926</v>
      </c>
      <c r="AF202" s="175"/>
      <c r="AG202" s="176">
        <v>43164.572743055556</v>
      </c>
      <c r="AH202" s="176">
        <v>43164.572743055556</v>
      </c>
      <c r="AI202" s="175"/>
      <c r="AJ202" s="175"/>
      <c r="AK202" s="178">
        <v>1</v>
      </c>
    </row>
    <row r="203" spans="1:37" ht="15.95" customHeight="1" x14ac:dyDescent="0.25">
      <c r="A203" s="174" t="s">
        <v>461</v>
      </c>
      <c r="B203" s="174" t="s">
        <v>1136</v>
      </c>
      <c r="C203" s="175"/>
      <c r="D203" s="174" t="s">
        <v>478</v>
      </c>
      <c r="E203" s="174" t="s">
        <v>582</v>
      </c>
      <c r="F203" s="176">
        <v>43164</v>
      </c>
      <c r="G203" s="176">
        <v>43165</v>
      </c>
      <c r="H203" s="174" t="s">
        <v>1088</v>
      </c>
      <c r="I203" s="175" t="e">
        <f>VLOOKUP($H203,Mapping!$A:$A,1,0)</f>
        <v>#N/A</v>
      </c>
      <c r="J203" s="177" t="s">
        <v>466</v>
      </c>
      <c r="K203" s="174" t="s">
        <v>644</v>
      </c>
      <c r="L203" s="178">
        <v>4550000</v>
      </c>
      <c r="M203" s="178">
        <v>97.0390625</v>
      </c>
      <c r="N203" s="178">
        <v>3.1534637554999998</v>
      </c>
      <c r="O203" s="178">
        <v>4422441.7083908804</v>
      </c>
      <c r="P203" s="174" t="s">
        <v>337</v>
      </c>
      <c r="Q203" s="174" t="s">
        <v>645</v>
      </c>
      <c r="R203" s="174" t="s">
        <v>23</v>
      </c>
      <c r="S203" s="174" t="s">
        <v>129</v>
      </c>
      <c r="T203" s="175" t="str">
        <f>VLOOKUP($S203,Mapping!$C:$C,1,0)</f>
        <v>Omgeo</v>
      </c>
      <c r="U203" s="175"/>
      <c r="V203" s="175"/>
      <c r="W203" s="175"/>
      <c r="X203" s="175"/>
      <c r="Y203" s="174" t="s">
        <v>469</v>
      </c>
      <c r="Z203" s="174" t="s">
        <v>586</v>
      </c>
      <c r="AA203" s="174" t="s">
        <v>24</v>
      </c>
      <c r="AB203" s="174"/>
      <c r="AC203" s="174" t="s">
        <v>1133</v>
      </c>
      <c r="AD203" s="174" t="s">
        <v>483</v>
      </c>
      <c r="AE203" s="176">
        <v>43164.499814814815</v>
      </c>
      <c r="AF203" s="175"/>
      <c r="AG203" s="176">
        <v>43164.572743055556</v>
      </c>
      <c r="AH203" s="176">
        <v>43164.572743055556</v>
      </c>
      <c r="AI203" s="175"/>
      <c r="AJ203" s="175"/>
      <c r="AK203" s="178">
        <v>1</v>
      </c>
    </row>
    <row r="204" spans="1:37" ht="15.95" customHeight="1" x14ac:dyDescent="0.25">
      <c r="A204" s="174" t="s">
        <v>461</v>
      </c>
      <c r="B204" s="174" t="s">
        <v>1137</v>
      </c>
      <c r="C204" s="175"/>
      <c r="D204" s="174" t="s">
        <v>478</v>
      </c>
      <c r="E204" s="174" t="s">
        <v>582</v>
      </c>
      <c r="F204" s="176">
        <v>43164</v>
      </c>
      <c r="G204" s="176">
        <v>43165</v>
      </c>
      <c r="H204" s="174" t="s">
        <v>1088</v>
      </c>
      <c r="I204" s="175" t="e">
        <f>VLOOKUP($H204,Mapping!$A:$A,1,0)</f>
        <v>#N/A</v>
      </c>
      <c r="J204" s="179" t="s">
        <v>486</v>
      </c>
      <c r="K204" s="174" t="s">
        <v>644</v>
      </c>
      <c r="L204" s="178">
        <v>9100000</v>
      </c>
      <c r="M204" s="178">
        <v>96.79296875</v>
      </c>
      <c r="N204" s="178">
        <v>3.1664988738000002</v>
      </c>
      <c r="O204" s="178">
        <v>-8822488.8855317701</v>
      </c>
      <c r="P204" s="174" t="s">
        <v>337</v>
      </c>
      <c r="Q204" s="174" t="s">
        <v>645</v>
      </c>
      <c r="R204" s="174" t="s">
        <v>23</v>
      </c>
      <c r="S204" s="174" t="s">
        <v>129</v>
      </c>
      <c r="T204" s="175" t="str">
        <f>VLOOKUP($S204,Mapping!$C:$C,1,0)</f>
        <v>Omgeo</v>
      </c>
      <c r="U204" s="175"/>
      <c r="V204" s="175"/>
      <c r="W204" s="175"/>
      <c r="X204" s="175"/>
      <c r="Y204" s="174" t="s">
        <v>469</v>
      </c>
      <c r="Z204" s="174" t="s">
        <v>586</v>
      </c>
      <c r="AA204" s="174" t="s">
        <v>24</v>
      </c>
      <c r="AB204" s="174"/>
      <c r="AC204" s="174" t="s">
        <v>1133</v>
      </c>
      <c r="AD204" s="174" t="s">
        <v>483</v>
      </c>
      <c r="AE204" s="176">
        <v>43164.564699074072</v>
      </c>
      <c r="AF204" s="175"/>
      <c r="AG204" s="176">
        <v>43164.65016203704</v>
      </c>
      <c r="AH204" s="176">
        <v>43164.65016203704</v>
      </c>
      <c r="AI204" s="175"/>
      <c r="AJ204" s="175"/>
      <c r="AK204" s="178">
        <v>1</v>
      </c>
    </row>
    <row r="205" spans="1:37" ht="15.95" customHeight="1" x14ac:dyDescent="0.25">
      <c r="A205" s="174" t="s">
        <v>461</v>
      </c>
      <c r="B205" s="174" t="s">
        <v>1138</v>
      </c>
      <c r="C205" s="175"/>
      <c r="D205" s="174" t="s">
        <v>478</v>
      </c>
      <c r="E205" s="174" t="s">
        <v>582</v>
      </c>
      <c r="F205" s="176">
        <v>43164</v>
      </c>
      <c r="G205" s="176">
        <v>43165</v>
      </c>
      <c r="H205" s="174" t="s">
        <v>1088</v>
      </c>
      <c r="I205" s="175" t="e">
        <f>VLOOKUP($H205,Mapping!$A:$A,1,0)</f>
        <v>#N/A</v>
      </c>
      <c r="J205" s="177" t="s">
        <v>466</v>
      </c>
      <c r="K205" s="174" t="s">
        <v>644</v>
      </c>
      <c r="L205" s="178">
        <v>4550000</v>
      </c>
      <c r="M205" s="178">
        <v>96.77734375</v>
      </c>
      <c r="N205" s="178">
        <v>3.1673279689</v>
      </c>
      <c r="O205" s="178">
        <v>4410533.5052658804</v>
      </c>
      <c r="P205" s="174" t="s">
        <v>337</v>
      </c>
      <c r="Q205" s="174" t="s">
        <v>645</v>
      </c>
      <c r="R205" s="174" t="s">
        <v>23</v>
      </c>
      <c r="S205" s="174" t="s">
        <v>129</v>
      </c>
      <c r="T205" s="175" t="str">
        <f>VLOOKUP($S205,Mapping!$C:$C,1,0)</f>
        <v>Omgeo</v>
      </c>
      <c r="U205" s="175"/>
      <c r="V205" s="175"/>
      <c r="W205" s="175"/>
      <c r="X205" s="175"/>
      <c r="Y205" s="174" t="s">
        <v>469</v>
      </c>
      <c r="Z205" s="174" t="s">
        <v>586</v>
      </c>
      <c r="AA205" s="174" t="s">
        <v>24</v>
      </c>
      <c r="AB205" s="174"/>
      <c r="AC205" s="174" t="s">
        <v>1133</v>
      </c>
      <c r="AD205" s="174" t="s">
        <v>483</v>
      </c>
      <c r="AE205" s="176">
        <v>43164.564699074072</v>
      </c>
      <c r="AF205" s="175"/>
      <c r="AG205" s="176">
        <v>43164.65016203704</v>
      </c>
      <c r="AH205" s="176">
        <v>43164.65016203704</v>
      </c>
      <c r="AI205" s="175"/>
      <c r="AJ205" s="175"/>
      <c r="AK205" s="178">
        <v>1</v>
      </c>
    </row>
    <row r="206" spans="1:37" ht="15.95" customHeight="1" x14ac:dyDescent="0.25">
      <c r="A206" s="174" t="s">
        <v>461</v>
      </c>
      <c r="B206" s="174" t="s">
        <v>1139</v>
      </c>
      <c r="C206" s="175"/>
      <c r="D206" s="174" t="s">
        <v>478</v>
      </c>
      <c r="E206" s="174" t="s">
        <v>582</v>
      </c>
      <c r="F206" s="176">
        <v>43164</v>
      </c>
      <c r="G206" s="176">
        <v>43165</v>
      </c>
      <c r="H206" s="174" t="s">
        <v>1088</v>
      </c>
      <c r="I206" s="175" t="e">
        <f>VLOOKUP($H206,Mapping!$A:$A,1,0)</f>
        <v>#N/A</v>
      </c>
      <c r="J206" s="179" t="s">
        <v>486</v>
      </c>
      <c r="K206" s="174" t="s">
        <v>644</v>
      </c>
      <c r="L206" s="178">
        <v>6825000</v>
      </c>
      <c r="M206" s="178">
        <v>96.9296875</v>
      </c>
      <c r="N206" s="178">
        <v>3.1592517785999998</v>
      </c>
      <c r="O206" s="178">
        <v>-6626197.7188363308</v>
      </c>
      <c r="P206" s="174" t="s">
        <v>337</v>
      </c>
      <c r="Q206" s="174" t="s">
        <v>645</v>
      </c>
      <c r="R206" s="174" t="s">
        <v>23</v>
      </c>
      <c r="S206" s="174" t="s">
        <v>129</v>
      </c>
      <c r="T206" s="175" t="str">
        <f>VLOOKUP($S206,Mapping!$C:$C,1,0)</f>
        <v>Omgeo</v>
      </c>
      <c r="U206" s="175"/>
      <c r="V206" s="175"/>
      <c r="W206" s="175"/>
      <c r="X206" s="175"/>
      <c r="Y206" s="174" t="s">
        <v>469</v>
      </c>
      <c r="Z206" s="174" t="s">
        <v>586</v>
      </c>
      <c r="AA206" s="174" t="s">
        <v>24</v>
      </c>
      <c r="AB206" s="174"/>
      <c r="AC206" s="174" t="s">
        <v>1133</v>
      </c>
      <c r="AD206" s="174" t="s">
        <v>483</v>
      </c>
      <c r="AE206" s="176">
        <v>43164.57135416667</v>
      </c>
      <c r="AF206" s="175"/>
      <c r="AG206" s="176">
        <v>43164.650173611109</v>
      </c>
      <c r="AH206" s="176">
        <v>43164.650173611109</v>
      </c>
      <c r="AI206" s="175"/>
      <c r="AJ206" s="175"/>
      <c r="AK206" s="178">
        <v>1</v>
      </c>
    </row>
    <row r="207" spans="1:37" ht="15.95" customHeight="1" x14ac:dyDescent="0.25">
      <c r="A207" s="174" t="s">
        <v>461</v>
      </c>
      <c r="B207" s="174" t="s">
        <v>1140</v>
      </c>
      <c r="C207" s="175"/>
      <c r="D207" s="174" t="s">
        <v>463</v>
      </c>
      <c r="E207" s="174" t="s">
        <v>506</v>
      </c>
      <c r="F207" s="176">
        <v>43164</v>
      </c>
      <c r="G207" s="176">
        <v>43167</v>
      </c>
      <c r="H207" s="174" t="s">
        <v>1088</v>
      </c>
      <c r="I207" s="175" t="e">
        <f>VLOOKUP($H207,Mapping!$A:$A,1,0)</f>
        <v>#N/A</v>
      </c>
      <c r="J207" s="179" t="s">
        <v>486</v>
      </c>
      <c r="K207" s="174" t="s">
        <v>1083</v>
      </c>
      <c r="L207" s="178">
        <v>250000000</v>
      </c>
      <c r="M207" s="178">
        <v>99.069777779999995</v>
      </c>
      <c r="N207" s="178">
        <v>1.84</v>
      </c>
      <c r="O207" s="178">
        <v>-247674444.444444</v>
      </c>
      <c r="P207" s="174" t="s">
        <v>337</v>
      </c>
      <c r="Q207" s="174" t="s">
        <v>1084</v>
      </c>
      <c r="R207" s="174" t="s">
        <v>23</v>
      </c>
      <c r="S207" s="174" t="s">
        <v>129</v>
      </c>
      <c r="T207" s="175" t="str">
        <f>VLOOKUP($S207,Mapping!$C:$C,1,0)</f>
        <v>Omgeo</v>
      </c>
      <c r="U207" s="175"/>
      <c r="V207" s="175"/>
      <c r="W207" s="175"/>
      <c r="X207" s="175"/>
      <c r="Y207" s="174" t="s">
        <v>469</v>
      </c>
      <c r="Z207" s="174" t="s">
        <v>511</v>
      </c>
      <c r="AA207" s="174" t="s">
        <v>24</v>
      </c>
      <c r="AB207" s="174"/>
      <c r="AC207" s="174" t="s">
        <v>1085</v>
      </c>
      <c r="AD207" s="174" t="s">
        <v>472</v>
      </c>
      <c r="AE207" s="176">
        <v>43164.749062499999</v>
      </c>
      <c r="AF207" s="175"/>
      <c r="AG207" s="176">
        <v>43165.339571759258</v>
      </c>
      <c r="AH207" s="176">
        <v>43165.339571759258</v>
      </c>
      <c r="AI207" s="174" t="s">
        <v>473</v>
      </c>
      <c r="AJ207" s="175"/>
      <c r="AK207" s="178">
        <v>1</v>
      </c>
    </row>
    <row r="208" spans="1:37" ht="15.95" customHeight="1" x14ac:dyDescent="0.25">
      <c r="A208" s="174" t="s">
        <v>461</v>
      </c>
      <c r="B208" s="174" t="s">
        <v>1141</v>
      </c>
      <c r="C208" s="175"/>
      <c r="D208" s="174" t="s">
        <v>463</v>
      </c>
      <c r="E208" s="174" t="s">
        <v>935</v>
      </c>
      <c r="F208" s="176">
        <v>43164</v>
      </c>
      <c r="G208" s="176">
        <v>43165</v>
      </c>
      <c r="H208" s="174" t="s">
        <v>1142</v>
      </c>
      <c r="I208" s="175" t="e">
        <f>VLOOKUP($H208,Mapping!$A:$A,1,0)</f>
        <v>#N/A</v>
      </c>
      <c r="J208" s="179" t="s">
        <v>486</v>
      </c>
      <c r="K208" s="174" t="s">
        <v>467</v>
      </c>
      <c r="L208" s="178">
        <v>16200000</v>
      </c>
      <c r="M208" s="178">
        <v>99.924308999999994</v>
      </c>
      <c r="N208" s="178">
        <v>2.6412507645000001</v>
      </c>
      <c r="O208" s="178">
        <v>-16194671.481913041</v>
      </c>
      <c r="P208" s="174" t="s">
        <v>337</v>
      </c>
      <c r="Q208" s="174" t="s">
        <v>468</v>
      </c>
      <c r="R208" s="174" t="s">
        <v>23</v>
      </c>
      <c r="S208" s="174" t="s">
        <v>130</v>
      </c>
      <c r="T208" s="175" t="str">
        <f>VLOOKUP($S208,Mapping!$C:$C,1,0)</f>
        <v>Manual</v>
      </c>
      <c r="U208" s="175"/>
      <c r="V208" s="175"/>
      <c r="W208" s="175"/>
      <c r="X208" s="175"/>
      <c r="Y208" s="174" t="s">
        <v>469</v>
      </c>
      <c r="Z208" s="174" t="s">
        <v>938</v>
      </c>
      <c r="AA208" s="174" t="s">
        <v>24</v>
      </c>
      <c r="AB208" s="174"/>
      <c r="AC208" s="174" t="s">
        <v>1143</v>
      </c>
      <c r="AD208" s="174" t="s">
        <v>483</v>
      </c>
      <c r="AE208" s="175"/>
      <c r="AF208" s="175"/>
      <c r="AG208" s="176">
        <v>43164.657743055555</v>
      </c>
      <c r="AH208" s="176">
        <v>43164.657743055555</v>
      </c>
      <c r="AI208" s="174" t="s">
        <v>473</v>
      </c>
      <c r="AJ208" s="175"/>
      <c r="AK208" s="178">
        <v>1</v>
      </c>
    </row>
    <row r="209" spans="1:37" ht="15.95" customHeight="1" x14ac:dyDescent="0.25">
      <c r="A209" s="174" t="s">
        <v>461</v>
      </c>
      <c r="B209" s="174" t="s">
        <v>1144</v>
      </c>
      <c r="C209" s="175"/>
      <c r="D209" s="174" t="s">
        <v>463</v>
      </c>
      <c r="E209" s="174" t="s">
        <v>935</v>
      </c>
      <c r="F209" s="176">
        <v>43164</v>
      </c>
      <c r="G209" s="176">
        <v>43165</v>
      </c>
      <c r="H209" s="174" t="s">
        <v>1142</v>
      </c>
      <c r="I209" s="175" t="e">
        <f>VLOOKUP($H209,Mapping!$A:$A,1,0)</f>
        <v>#N/A</v>
      </c>
      <c r="J209" s="177" t="s">
        <v>466</v>
      </c>
      <c r="K209" s="174" t="s">
        <v>524</v>
      </c>
      <c r="L209" s="178">
        <v>26600000</v>
      </c>
      <c r="M209" s="178">
        <v>99.570312000000001</v>
      </c>
      <c r="N209" s="178">
        <v>2.4016510394999999</v>
      </c>
      <c r="O209" s="178">
        <v>26517115.975425407</v>
      </c>
      <c r="P209" s="174" t="s">
        <v>337</v>
      </c>
      <c r="Q209" s="174" t="s">
        <v>525</v>
      </c>
      <c r="R209" s="174" t="s">
        <v>23</v>
      </c>
      <c r="S209" s="174" t="s">
        <v>130</v>
      </c>
      <c r="T209" s="175" t="str">
        <f>VLOOKUP($S209,Mapping!$C:$C,1,0)</f>
        <v>Manual</v>
      </c>
      <c r="U209" s="175"/>
      <c r="V209" s="175"/>
      <c r="W209" s="175"/>
      <c r="X209" s="175"/>
      <c r="Y209" s="174" t="s">
        <v>469</v>
      </c>
      <c r="Z209" s="174" t="s">
        <v>938</v>
      </c>
      <c r="AA209" s="174" t="s">
        <v>24</v>
      </c>
      <c r="AB209" s="174"/>
      <c r="AC209" s="174" t="s">
        <v>1143</v>
      </c>
      <c r="AD209" s="174" t="s">
        <v>483</v>
      </c>
      <c r="AE209" s="175"/>
      <c r="AF209" s="175"/>
      <c r="AG209" s="176">
        <v>43164.657743055555</v>
      </c>
      <c r="AH209" s="176">
        <v>43164.657743055555</v>
      </c>
      <c r="AI209" s="174" t="s">
        <v>473</v>
      </c>
      <c r="AJ209" s="175"/>
      <c r="AK209" s="178">
        <v>1</v>
      </c>
    </row>
    <row r="210" spans="1:37" ht="15.95" customHeight="1" x14ac:dyDescent="0.25">
      <c r="A210" s="174" t="s">
        <v>461</v>
      </c>
      <c r="B210" s="174" t="s">
        <v>1145</v>
      </c>
      <c r="C210" s="175"/>
      <c r="D210" s="174" t="s">
        <v>463</v>
      </c>
      <c r="E210" s="174" t="s">
        <v>935</v>
      </c>
      <c r="F210" s="176">
        <v>43164</v>
      </c>
      <c r="G210" s="176">
        <v>43165</v>
      </c>
      <c r="H210" s="174" t="s">
        <v>1142</v>
      </c>
      <c r="I210" s="175" t="e">
        <f>VLOOKUP($H210,Mapping!$A:$A,1,0)</f>
        <v>#N/A</v>
      </c>
      <c r="J210" s="179" t="s">
        <v>486</v>
      </c>
      <c r="K210" s="174" t="s">
        <v>508</v>
      </c>
      <c r="L210" s="178">
        <v>11900000</v>
      </c>
      <c r="M210" s="178">
        <v>99.628147999999996</v>
      </c>
      <c r="N210" s="178">
        <v>2.8089629302999999</v>
      </c>
      <c r="O210" s="178">
        <v>-11861085.209826091</v>
      </c>
      <c r="P210" s="174" t="s">
        <v>337</v>
      </c>
      <c r="Q210" s="174" t="s">
        <v>509</v>
      </c>
      <c r="R210" s="174" t="s">
        <v>23</v>
      </c>
      <c r="S210" s="174" t="s">
        <v>130</v>
      </c>
      <c r="T210" s="175" t="str">
        <f>VLOOKUP($S210,Mapping!$C:$C,1,0)</f>
        <v>Manual</v>
      </c>
      <c r="U210" s="175"/>
      <c r="V210" s="175"/>
      <c r="W210" s="175"/>
      <c r="X210" s="175"/>
      <c r="Y210" s="174" t="s">
        <v>469</v>
      </c>
      <c r="Z210" s="174" t="s">
        <v>938</v>
      </c>
      <c r="AA210" s="174" t="s">
        <v>24</v>
      </c>
      <c r="AB210" s="174"/>
      <c r="AC210" s="174" t="s">
        <v>1143</v>
      </c>
      <c r="AD210" s="174" t="s">
        <v>483</v>
      </c>
      <c r="AE210" s="175"/>
      <c r="AF210" s="175"/>
      <c r="AG210" s="176">
        <v>43164.657743055555</v>
      </c>
      <c r="AH210" s="176">
        <v>43164.657743055555</v>
      </c>
      <c r="AI210" s="174" t="s">
        <v>473</v>
      </c>
      <c r="AJ210" s="175"/>
      <c r="AK210" s="178">
        <v>1</v>
      </c>
    </row>
    <row r="211" spans="1:37" ht="15.95" customHeight="1" x14ac:dyDescent="0.25">
      <c r="A211" s="174" t="s">
        <v>461</v>
      </c>
      <c r="B211" s="174" t="s">
        <v>1146</v>
      </c>
      <c r="C211" s="175"/>
      <c r="D211" s="174" t="s">
        <v>463</v>
      </c>
      <c r="E211" s="174" t="s">
        <v>935</v>
      </c>
      <c r="F211" s="176">
        <v>43164</v>
      </c>
      <c r="G211" s="176">
        <v>43165</v>
      </c>
      <c r="H211" s="174" t="s">
        <v>1142</v>
      </c>
      <c r="I211" s="175" t="e">
        <f>VLOOKUP($H211,Mapping!$A:$A,1,0)</f>
        <v>#N/A</v>
      </c>
      <c r="J211" s="177" t="s">
        <v>466</v>
      </c>
      <c r="K211" s="174" t="s">
        <v>754</v>
      </c>
      <c r="L211" s="178">
        <v>9200000</v>
      </c>
      <c r="M211" s="178">
        <v>94.476562000000001</v>
      </c>
      <c r="N211" s="178">
        <v>2.9077634458000001</v>
      </c>
      <c r="O211" s="178">
        <v>8755316.0796906091</v>
      </c>
      <c r="P211" s="174" t="s">
        <v>337</v>
      </c>
      <c r="Q211" s="174" t="s">
        <v>755</v>
      </c>
      <c r="R211" s="174" t="s">
        <v>23</v>
      </c>
      <c r="S211" s="174" t="s">
        <v>130</v>
      </c>
      <c r="T211" s="175" t="str">
        <f>VLOOKUP($S211,Mapping!$C:$C,1,0)</f>
        <v>Manual</v>
      </c>
      <c r="U211" s="175"/>
      <c r="V211" s="175"/>
      <c r="W211" s="175"/>
      <c r="X211" s="175"/>
      <c r="Y211" s="174" t="s">
        <v>469</v>
      </c>
      <c r="Z211" s="174" t="s">
        <v>938</v>
      </c>
      <c r="AA211" s="174" t="s">
        <v>24</v>
      </c>
      <c r="AB211" s="174"/>
      <c r="AC211" s="174" t="s">
        <v>1143</v>
      </c>
      <c r="AD211" s="174" t="s">
        <v>483</v>
      </c>
      <c r="AE211" s="175"/>
      <c r="AF211" s="175"/>
      <c r="AG211" s="176">
        <v>43164.657754629632</v>
      </c>
      <c r="AH211" s="176">
        <v>43164.657754629632</v>
      </c>
      <c r="AI211" s="174" t="s">
        <v>473</v>
      </c>
      <c r="AJ211" s="175"/>
      <c r="AK211" s="178">
        <v>1</v>
      </c>
    </row>
    <row r="212" spans="1:37" ht="15.95" customHeight="1" x14ac:dyDescent="0.25">
      <c r="A212" s="174" t="s">
        <v>461</v>
      </c>
      <c r="B212" s="174" t="s">
        <v>1147</v>
      </c>
      <c r="C212" s="175"/>
      <c r="D212" s="174" t="s">
        <v>463</v>
      </c>
      <c r="E212" s="174" t="s">
        <v>1148</v>
      </c>
      <c r="F212" s="176">
        <v>43164</v>
      </c>
      <c r="G212" s="176">
        <v>43165</v>
      </c>
      <c r="H212" s="174" t="s">
        <v>1142</v>
      </c>
      <c r="I212" s="175" t="e">
        <f>VLOOKUP($H212,Mapping!$A:$A,1,0)</f>
        <v>#N/A</v>
      </c>
      <c r="J212" s="177" t="s">
        <v>466</v>
      </c>
      <c r="K212" s="174" t="s">
        <v>524</v>
      </c>
      <c r="L212" s="178">
        <v>35400000</v>
      </c>
      <c r="M212" s="178">
        <v>99.589843999999999</v>
      </c>
      <c r="N212" s="178">
        <v>2.3947311765000001</v>
      </c>
      <c r="O212" s="178">
        <v>35296610.024618782</v>
      </c>
      <c r="P212" s="174" t="s">
        <v>337</v>
      </c>
      <c r="Q212" s="174" t="s">
        <v>525</v>
      </c>
      <c r="R212" s="174" t="s">
        <v>23</v>
      </c>
      <c r="S212" s="174" t="s">
        <v>130</v>
      </c>
      <c r="T212" s="175" t="str">
        <f>VLOOKUP($S212,Mapping!$C:$C,1,0)</f>
        <v>Manual</v>
      </c>
      <c r="U212" s="175"/>
      <c r="V212" s="175"/>
      <c r="W212" s="175"/>
      <c r="X212" s="175"/>
      <c r="Y212" s="174" t="s">
        <v>469</v>
      </c>
      <c r="Z212" s="174" t="s">
        <v>1149</v>
      </c>
      <c r="AA212" s="174" t="s">
        <v>24</v>
      </c>
      <c r="AB212" s="174"/>
      <c r="AC212" s="174" t="s">
        <v>1150</v>
      </c>
      <c r="AD212" s="174" t="s">
        <v>483</v>
      </c>
      <c r="AE212" s="175"/>
      <c r="AF212" s="175"/>
      <c r="AG212" s="176">
        <v>43164.662268518521</v>
      </c>
      <c r="AH212" s="176">
        <v>43164.662268518521</v>
      </c>
      <c r="AI212" s="174" t="s">
        <v>473</v>
      </c>
      <c r="AJ212" s="175"/>
      <c r="AK212" s="178">
        <v>1</v>
      </c>
    </row>
    <row r="213" spans="1:37" ht="15.95" customHeight="1" x14ac:dyDescent="0.25">
      <c r="A213" s="174" t="s">
        <v>461</v>
      </c>
      <c r="B213" s="174" t="s">
        <v>1151</v>
      </c>
      <c r="C213" s="175"/>
      <c r="D213" s="174" t="s">
        <v>463</v>
      </c>
      <c r="E213" s="174" t="s">
        <v>1148</v>
      </c>
      <c r="F213" s="176">
        <v>43164</v>
      </c>
      <c r="G213" s="176">
        <v>43165</v>
      </c>
      <c r="H213" s="174" t="s">
        <v>1142</v>
      </c>
      <c r="I213" s="175" t="e">
        <f>VLOOKUP($H213,Mapping!$A:$A,1,0)</f>
        <v>#N/A</v>
      </c>
      <c r="J213" s="179" t="s">
        <v>486</v>
      </c>
      <c r="K213" s="174" t="s">
        <v>508</v>
      </c>
      <c r="L213" s="178">
        <v>15800000</v>
      </c>
      <c r="M213" s="178">
        <v>99.76491</v>
      </c>
      <c r="N213" s="178">
        <v>2.7872309620000002</v>
      </c>
      <c r="O213" s="178">
        <v>-15769940.019130429</v>
      </c>
      <c r="P213" s="174" t="s">
        <v>337</v>
      </c>
      <c r="Q213" s="174" t="s">
        <v>509</v>
      </c>
      <c r="R213" s="174" t="s">
        <v>23</v>
      </c>
      <c r="S213" s="174" t="s">
        <v>130</v>
      </c>
      <c r="T213" s="175" t="str">
        <f>VLOOKUP($S213,Mapping!$C:$C,1,0)</f>
        <v>Manual</v>
      </c>
      <c r="U213" s="175"/>
      <c r="V213" s="175"/>
      <c r="W213" s="175"/>
      <c r="X213" s="175"/>
      <c r="Y213" s="174" t="s">
        <v>469</v>
      </c>
      <c r="Z213" s="174" t="s">
        <v>1149</v>
      </c>
      <c r="AA213" s="174" t="s">
        <v>24</v>
      </c>
      <c r="AB213" s="174"/>
      <c r="AC213" s="174" t="s">
        <v>1150</v>
      </c>
      <c r="AD213" s="174" t="s">
        <v>483</v>
      </c>
      <c r="AE213" s="175"/>
      <c r="AF213" s="175"/>
      <c r="AG213" s="176">
        <v>43164.662280092591</v>
      </c>
      <c r="AH213" s="176">
        <v>43164.662280092591</v>
      </c>
      <c r="AI213" s="174" t="s">
        <v>473</v>
      </c>
      <c r="AJ213" s="175"/>
      <c r="AK213" s="178">
        <v>1</v>
      </c>
    </row>
    <row r="214" spans="1:37" ht="15.95" customHeight="1" x14ac:dyDescent="0.25">
      <c r="A214" s="174" t="s">
        <v>461</v>
      </c>
      <c r="B214" s="174" t="s">
        <v>1152</v>
      </c>
      <c r="C214" s="175"/>
      <c r="D214" s="174" t="s">
        <v>463</v>
      </c>
      <c r="E214" s="174" t="s">
        <v>1148</v>
      </c>
      <c r="F214" s="176">
        <v>43164</v>
      </c>
      <c r="G214" s="176">
        <v>43165</v>
      </c>
      <c r="H214" s="174" t="s">
        <v>1142</v>
      </c>
      <c r="I214" s="175" t="e">
        <f>VLOOKUP($H214,Mapping!$A:$A,1,0)</f>
        <v>#N/A</v>
      </c>
      <c r="J214" s="179" t="s">
        <v>486</v>
      </c>
      <c r="K214" s="174" t="s">
        <v>871</v>
      </c>
      <c r="L214" s="178">
        <v>51800000</v>
      </c>
      <c r="M214" s="178">
        <v>100.00189399999999</v>
      </c>
      <c r="N214" s="178">
        <v>2.2489157518999998</v>
      </c>
      <c r="O214" s="178">
        <v>-51819983.809391297</v>
      </c>
      <c r="P214" s="174" t="s">
        <v>337</v>
      </c>
      <c r="Q214" s="174" t="s">
        <v>872</v>
      </c>
      <c r="R214" s="174" t="s">
        <v>23</v>
      </c>
      <c r="S214" s="174" t="s">
        <v>130</v>
      </c>
      <c r="T214" s="175" t="str">
        <f>VLOOKUP($S214,Mapping!$C:$C,1,0)</f>
        <v>Manual</v>
      </c>
      <c r="U214" s="175"/>
      <c r="V214" s="175"/>
      <c r="W214" s="175"/>
      <c r="X214" s="175"/>
      <c r="Y214" s="174" t="s">
        <v>469</v>
      </c>
      <c r="Z214" s="174" t="s">
        <v>1149</v>
      </c>
      <c r="AA214" s="174" t="s">
        <v>24</v>
      </c>
      <c r="AB214" s="174"/>
      <c r="AC214" s="174" t="s">
        <v>1150</v>
      </c>
      <c r="AD214" s="174" t="s">
        <v>483</v>
      </c>
      <c r="AE214" s="175"/>
      <c r="AF214" s="175"/>
      <c r="AG214" s="176">
        <v>43164.662291666667</v>
      </c>
      <c r="AH214" s="176">
        <v>43164.662291666667</v>
      </c>
      <c r="AI214" s="174" t="s">
        <v>473</v>
      </c>
      <c r="AJ214" s="175"/>
      <c r="AK214" s="178">
        <v>1</v>
      </c>
    </row>
    <row r="215" spans="1:37" ht="15.95" customHeight="1" x14ac:dyDescent="0.25">
      <c r="A215" s="174" t="s">
        <v>461</v>
      </c>
      <c r="B215" s="174" t="s">
        <v>1153</v>
      </c>
      <c r="C215" s="175"/>
      <c r="D215" s="174" t="s">
        <v>463</v>
      </c>
      <c r="E215" s="174" t="s">
        <v>1148</v>
      </c>
      <c r="F215" s="176">
        <v>43164</v>
      </c>
      <c r="G215" s="176">
        <v>43165</v>
      </c>
      <c r="H215" s="174" t="s">
        <v>1142</v>
      </c>
      <c r="I215" s="175" t="e">
        <f>VLOOKUP($H215,Mapping!$A:$A,1,0)</f>
        <v>#N/A</v>
      </c>
      <c r="J215" s="177" t="s">
        <v>466</v>
      </c>
      <c r="K215" s="174" t="s">
        <v>754</v>
      </c>
      <c r="L215" s="178">
        <v>12200000</v>
      </c>
      <c r="M215" s="178">
        <v>94.40625</v>
      </c>
      <c r="N215" s="178">
        <v>2.9164156384000002</v>
      </c>
      <c r="O215" s="178">
        <v>11601732.389502758</v>
      </c>
      <c r="P215" s="174" t="s">
        <v>337</v>
      </c>
      <c r="Q215" s="174" t="s">
        <v>755</v>
      </c>
      <c r="R215" s="174" t="s">
        <v>23</v>
      </c>
      <c r="S215" s="174" t="s">
        <v>130</v>
      </c>
      <c r="T215" s="175" t="str">
        <f>VLOOKUP($S215,Mapping!$C:$C,1,0)</f>
        <v>Manual</v>
      </c>
      <c r="U215" s="175"/>
      <c r="V215" s="175"/>
      <c r="W215" s="175"/>
      <c r="X215" s="175"/>
      <c r="Y215" s="174" t="s">
        <v>469</v>
      </c>
      <c r="Z215" s="174" t="s">
        <v>1149</v>
      </c>
      <c r="AA215" s="174" t="s">
        <v>24</v>
      </c>
      <c r="AB215" s="174"/>
      <c r="AC215" s="174" t="s">
        <v>1150</v>
      </c>
      <c r="AD215" s="174" t="s">
        <v>483</v>
      </c>
      <c r="AE215" s="175"/>
      <c r="AF215" s="175"/>
      <c r="AG215" s="176">
        <v>43164.662291666667</v>
      </c>
      <c r="AH215" s="176">
        <v>43164.662291666667</v>
      </c>
      <c r="AI215" s="174" t="s">
        <v>473</v>
      </c>
      <c r="AJ215" s="175"/>
      <c r="AK215" s="178">
        <v>1</v>
      </c>
    </row>
    <row r="216" spans="1:37" ht="15.95" customHeight="1" x14ac:dyDescent="0.25">
      <c r="A216" s="174" t="s">
        <v>484</v>
      </c>
      <c r="B216" s="174" t="s">
        <v>1154</v>
      </c>
      <c r="C216" s="175"/>
      <c r="D216" s="174" t="s">
        <v>478</v>
      </c>
      <c r="E216" s="174" t="s">
        <v>479</v>
      </c>
      <c r="F216" s="176">
        <v>43164</v>
      </c>
      <c r="G216" s="176">
        <v>43174</v>
      </c>
      <c r="H216" s="174" t="s">
        <v>1155</v>
      </c>
      <c r="I216" s="175" t="e">
        <f>VLOOKUP($H216,Mapping!$A:$A,1,0)</f>
        <v>#N/A</v>
      </c>
      <c r="J216" s="177" t="s">
        <v>466</v>
      </c>
      <c r="K216" s="174" t="s">
        <v>1156</v>
      </c>
      <c r="L216" s="178">
        <v>455000</v>
      </c>
      <c r="M216" s="178">
        <v>100.25</v>
      </c>
      <c r="N216" s="178">
        <v>3.9108712932</v>
      </c>
      <c r="O216" s="178">
        <v>456137.5</v>
      </c>
      <c r="P216" s="174" t="s">
        <v>337</v>
      </c>
      <c r="Q216" s="174" t="s">
        <v>1157</v>
      </c>
      <c r="R216" s="174" t="s">
        <v>22</v>
      </c>
      <c r="S216" s="174" t="s">
        <v>129</v>
      </c>
      <c r="T216" s="175" t="str">
        <f>VLOOKUP($S216,Mapping!$C:$C,1,0)</f>
        <v>Omgeo</v>
      </c>
      <c r="U216" s="174" t="s">
        <v>1158</v>
      </c>
      <c r="V216" s="174" t="s">
        <v>132</v>
      </c>
      <c r="W216" s="175"/>
      <c r="X216" s="175"/>
      <c r="Y216" s="174" t="s">
        <v>489</v>
      </c>
      <c r="Z216" s="174" t="s">
        <v>481</v>
      </c>
      <c r="AA216" s="174" t="s">
        <v>22</v>
      </c>
      <c r="AB216" s="174"/>
      <c r="AC216" s="175"/>
      <c r="AD216" s="174" t="s">
        <v>512</v>
      </c>
      <c r="AE216" s="176">
        <v>43164.390046296299</v>
      </c>
      <c r="AF216" s="174" t="s">
        <v>1158</v>
      </c>
      <c r="AG216" s="176">
        <v>43164.388287037036</v>
      </c>
      <c r="AH216" s="176">
        <v>43164.388356481482</v>
      </c>
      <c r="AI216" s="175"/>
      <c r="AJ216" s="175"/>
      <c r="AK216" s="178">
        <v>1</v>
      </c>
    </row>
    <row r="217" spans="1:37" ht="15.95" customHeight="1" x14ac:dyDescent="0.25">
      <c r="A217" s="174" t="s">
        <v>461</v>
      </c>
      <c r="B217" s="174" t="s">
        <v>1159</v>
      </c>
      <c r="C217" s="175"/>
      <c r="D217" s="174" t="s">
        <v>463</v>
      </c>
      <c r="E217" s="174" t="s">
        <v>1160</v>
      </c>
      <c r="F217" s="176">
        <v>43164</v>
      </c>
      <c r="G217" s="176">
        <v>43165</v>
      </c>
      <c r="H217" s="174" t="s">
        <v>1155</v>
      </c>
      <c r="I217" s="175" t="e">
        <f>VLOOKUP($H217,Mapping!$A:$A,1,0)</f>
        <v>#N/A</v>
      </c>
      <c r="J217" s="177" t="s">
        <v>466</v>
      </c>
      <c r="K217" s="174" t="s">
        <v>467</v>
      </c>
      <c r="L217" s="178">
        <v>25000000</v>
      </c>
      <c r="M217" s="178">
        <v>99.972321249999993</v>
      </c>
      <c r="N217" s="178">
        <v>2.6309041535</v>
      </c>
      <c r="O217" s="178">
        <v>25003780.040760867</v>
      </c>
      <c r="P217" s="174" t="s">
        <v>337</v>
      </c>
      <c r="Q217" s="174" t="s">
        <v>468</v>
      </c>
      <c r="R217" s="174" t="s">
        <v>22</v>
      </c>
      <c r="S217" s="174" t="s">
        <v>129</v>
      </c>
      <c r="T217" s="175" t="str">
        <f>VLOOKUP($S217,Mapping!$C:$C,1,0)</f>
        <v>Omgeo</v>
      </c>
      <c r="U217" s="174" t="s">
        <v>1161</v>
      </c>
      <c r="V217" s="174" t="s">
        <v>132</v>
      </c>
      <c r="W217" s="175"/>
      <c r="X217" s="175"/>
      <c r="Y217" s="174" t="s">
        <v>469</v>
      </c>
      <c r="Z217" s="174" t="s">
        <v>1162</v>
      </c>
      <c r="AA217" s="174" t="s">
        <v>22</v>
      </c>
      <c r="AB217" s="174"/>
      <c r="AC217" s="175"/>
      <c r="AD217" s="174" t="s">
        <v>512</v>
      </c>
      <c r="AE217" s="176">
        <v>43164.480451388888</v>
      </c>
      <c r="AF217" s="174" t="s">
        <v>1161</v>
      </c>
      <c r="AG217" s="176">
        <v>43164.47625</v>
      </c>
      <c r="AH217" s="176">
        <v>43164.476331018515</v>
      </c>
      <c r="AI217" s="174" t="s">
        <v>473</v>
      </c>
      <c r="AJ217" s="175"/>
      <c r="AK217" s="178">
        <v>1</v>
      </c>
    </row>
    <row r="218" spans="1:37" ht="15.95" customHeight="1" x14ac:dyDescent="0.25">
      <c r="A218" s="174" t="s">
        <v>461</v>
      </c>
      <c r="B218" s="174" t="s">
        <v>1163</v>
      </c>
      <c r="C218" s="175"/>
      <c r="D218" s="174" t="s">
        <v>463</v>
      </c>
      <c r="E218" s="174" t="s">
        <v>516</v>
      </c>
      <c r="F218" s="176">
        <v>43164</v>
      </c>
      <c r="G218" s="176">
        <v>43165</v>
      </c>
      <c r="H218" s="174" t="s">
        <v>1155</v>
      </c>
      <c r="I218" s="175" t="e">
        <f>VLOOKUP($H218,Mapping!$A:$A,1,0)</f>
        <v>#N/A</v>
      </c>
      <c r="J218" s="179" t="s">
        <v>486</v>
      </c>
      <c r="K218" s="174" t="s">
        <v>475</v>
      </c>
      <c r="L218" s="178">
        <v>150000</v>
      </c>
      <c r="M218" s="178">
        <v>98.87109375</v>
      </c>
      <c r="N218" s="178">
        <v>2.8812279563000001</v>
      </c>
      <c r="O218" s="178">
        <v>-148523.14614986</v>
      </c>
      <c r="P218" s="174" t="s">
        <v>337</v>
      </c>
      <c r="Q218" s="174" t="s">
        <v>476</v>
      </c>
      <c r="R218" s="174" t="s">
        <v>22</v>
      </c>
      <c r="S218" s="174" t="s">
        <v>129</v>
      </c>
      <c r="T218" s="175" t="str">
        <f>VLOOKUP($S218,Mapping!$C:$C,1,0)</f>
        <v>Omgeo</v>
      </c>
      <c r="U218" s="174" t="s">
        <v>1164</v>
      </c>
      <c r="V218" s="174" t="s">
        <v>132</v>
      </c>
      <c r="W218" s="175"/>
      <c r="X218" s="175"/>
      <c r="Y218" s="174" t="s">
        <v>469</v>
      </c>
      <c r="Z218" s="174" t="s">
        <v>518</v>
      </c>
      <c r="AA218" s="174" t="s">
        <v>22</v>
      </c>
      <c r="AB218" s="174"/>
      <c r="AC218" s="175"/>
      <c r="AD218" s="174" t="s">
        <v>512</v>
      </c>
      <c r="AE218" s="176">
        <v>43164.532129629632</v>
      </c>
      <c r="AF218" s="174" t="s">
        <v>1164</v>
      </c>
      <c r="AG218" s="176">
        <v>43164.528333333335</v>
      </c>
      <c r="AH218" s="176">
        <v>43164.528391203705</v>
      </c>
      <c r="AI218" s="174" t="s">
        <v>473</v>
      </c>
      <c r="AJ218" s="175"/>
      <c r="AK218" s="178">
        <v>1</v>
      </c>
    </row>
    <row r="219" spans="1:37" ht="15.95" customHeight="1" x14ac:dyDescent="0.25">
      <c r="A219" s="174" t="s">
        <v>461</v>
      </c>
      <c r="B219" s="174" t="s">
        <v>1165</v>
      </c>
      <c r="C219" s="175"/>
      <c r="D219" s="174" t="s">
        <v>463</v>
      </c>
      <c r="E219" s="174" t="s">
        <v>516</v>
      </c>
      <c r="F219" s="176">
        <v>43164</v>
      </c>
      <c r="G219" s="176">
        <v>43165</v>
      </c>
      <c r="H219" s="174" t="s">
        <v>1155</v>
      </c>
      <c r="I219" s="175" t="e">
        <f>VLOOKUP($H219,Mapping!$A:$A,1,0)</f>
        <v>#N/A</v>
      </c>
      <c r="J219" s="177" t="s">
        <v>466</v>
      </c>
      <c r="K219" s="174" t="s">
        <v>467</v>
      </c>
      <c r="L219" s="178">
        <v>100000</v>
      </c>
      <c r="M219" s="178">
        <v>99.92578125</v>
      </c>
      <c r="N219" s="178">
        <v>2.6409334109999998</v>
      </c>
      <c r="O219" s="178">
        <v>99968.580163039995</v>
      </c>
      <c r="P219" s="174" t="s">
        <v>337</v>
      </c>
      <c r="Q219" s="174" t="s">
        <v>468</v>
      </c>
      <c r="R219" s="174" t="s">
        <v>22</v>
      </c>
      <c r="S219" s="174" t="s">
        <v>129</v>
      </c>
      <c r="T219" s="175" t="str">
        <f>VLOOKUP($S219,Mapping!$C:$C,1,0)</f>
        <v>Omgeo</v>
      </c>
      <c r="U219" s="174" t="s">
        <v>1166</v>
      </c>
      <c r="V219" s="174" t="s">
        <v>132</v>
      </c>
      <c r="W219" s="175"/>
      <c r="X219" s="175"/>
      <c r="Y219" s="174" t="s">
        <v>469</v>
      </c>
      <c r="Z219" s="174" t="s">
        <v>518</v>
      </c>
      <c r="AA219" s="174" t="s">
        <v>22</v>
      </c>
      <c r="AB219" s="174"/>
      <c r="AC219" s="175"/>
      <c r="AD219" s="174" t="s">
        <v>1167</v>
      </c>
      <c r="AE219" s="176">
        <v>43164.532129629632</v>
      </c>
      <c r="AF219" s="174" t="s">
        <v>1166</v>
      </c>
      <c r="AG219" s="176">
        <v>43164.547731481478</v>
      </c>
      <c r="AH219" s="176">
        <v>43164.547731481478</v>
      </c>
      <c r="AI219" s="174" t="s">
        <v>473</v>
      </c>
      <c r="AJ219" s="175"/>
      <c r="AK219" s="178">
        <v>1</v>
      </c>
    </row>
    <row r="220" spans="1:37" ht="15.95" customHeight="1" x14ac:dyDescent="0.25">
      <c r="A220" s="174" t="s">
        <v>461</v>
      </c>
      <c r="B220" s="174" t="s">
        <v>1168</v>
      </c>
      <c r="C220" s="175"/>
      <c r="D220" s="174" t="s">
        <v>478</v>
      </c>
      <c r="E220" s="174" t="s">
        <v>582</v>
      </c>
      <c r="F220" s="176">
        <v>43164</v>
      </c>
      <c r="G220" s="176">
        <v>43165</v>
      </c>
      <c r="H220" s="174" t="s">
        <v>1155</v>
      </c>
      <c r="I220" s="175" t="e">
        <f>VLOOKUP($H220,Mapping!$A:$A,1,0)</f>
        <v>#N/A</v>
      </c>
      <c r="J220" s="179" t="s">
        <v>486</v>
      </c>
      <c r="K220" s="174" t="s">
        <v>644</v>
      </c>
      <c r="L220" s="178">
        <v>4550000</v>
      </c>
      <c r="M220" s="178">
        <v>96.85546875</v>
      </c>
      <c r="N220" s="178">
        <v>3.1631842498</v>
      </c>
      <c r="O220" s="178">
        <v>-4414088.1927658794</v>
      </c>
      <c r="P220" s="174" t="s">
        <v>337</v>
      </c>
      <c r="Q220" s="174" t="s">
        <v>645</v>
      </c>
      <c r="R220" s="174" t="s">
        <v>22</v>
      </c>
      <c r="S220" s="174" t="s">
        <v>129</v>
      </c>
      <c r="T220" s="175" t="str">
        <f>VLOOKUP($S220,Mapping!$C:$C,1,0)</f>
        <v>Omgeo</v>
      </c>
      <c r="U220" s="174" t="s">
        <v>1169</v>
      </c>
      <c r="V220" s="174" t="s">
        <v>132</v>
      </c>
      <c r="W220" s="175"/>
      <c r="X220" s="175"/>
      <c r="Y220" s="174" t="s">
        <v>469</v>
      </c>
      <c r="Z220" s="174" t="s">
        <v>586</v>
      </c>
      <c r="AA220" s="174" t="s">
        <v>22</v>
      </c>
      <c r="AB220" s="174"/>
      <c r="AC220" s="175"/>
      <c r="AD220" s="174" t="s">
        <v>512</v>
      </c>
      <c r="AE220" s="176">
        <v>43164.604398148149</v>
      </c>
      <c r="AF220" s="174" t="s">
        <v>1169</v>
      </c>
      <c r="AG220" s="176">
        <v>43164.597233796296</v>
      </c>
      <c r="AH220" s="176">
        <v>43164.597303240742</v>
      </c>
      <c r="AI220" s="175"/>
      <c r="AJ220" s="175"/>
      <c r="AK220" s="178">
        <v>1</v>
      </c>
    </row>
    <row r="221" spans="1:37" ht="15.95" customHeight="1" x14ac:dyDescent="0.25">
      <c r="A221" s="174" t="s">
        <v>651</v>
      </c>
      <c r="B221" s="174" t="s">
        <v>1170</v>
      </c>
      <c r="C221" s="175"/>
      <c r="D221" s="174" t="s">
        <v>824</v>
      </c>
      <c r="E221" s="174" t="s">
        <v>464</v>
      </c>
      <c r="F221" s="176">
        <v>43164</v>
      </c>
      <c r="G221" s="176">
        <v>43172</v>
      </c>
      <c r="H221" s="174" t="s">
        <v>1155</v>
      </c>
      <c r="I221" s="175" t="e">
        <f>VLOOKUP($H221,Mapping!$A:$A,1,0)</f>
        <v>#N/A</v>
      </c>
      <c r="J221" s="179" t="s">
        <v>486</v>
      </c>
      <c r="K221" s="174" t="s">
        <v>825</v>
      </c>
      <c r="L221" s="178">
        <v>35000000</v>
      </c>
      <c r="M221" s="178">
        <v>99.88671875</v>
      </c>
      <c r="N221" s="178">
        <v>3.4933710344</v>
      </c>
      <c r="O221" s="178">
        <v>-34960351.5625</v>
      </c>
      <c r="P221" s="174" t="s">
        <v>337</v>
      </c>
      <c r="Q221" s="174" t="s">
        <v>826</v>
      </c>
      <c r="R221" s="174" t="s">
        <v>23</v>
      </c>
      <c r="S221" s="174" t="s">
        <v>133</v>
      </c>
      <c r="T221" s="175" t="str">
        <f>VLOOKUP($S221,Mapping!$C:$C,1,0)</f>
        <v>Oasys</v>
      </c>
      <c r="U221" s="175"/>
      <c r="V221" s="175"/>
      <c r="W221" s="175"/>
      <c r="X221" s="175"/>
      <c r="Y221" s="174" t="s">
        <v>651</v>
      </c>
      <c r="Z221" s="174" t="s">
        <v>470</v>
      </c>
      <c r="AA221" s="174" t="s">
        <v>24</v>
      </c>
      <c r="AB221" s="174"/>
      <c r="AC221" s="174" t="s">
        <v>1171</v>
      </c>
      <c r="AD221" s="174" t="s">
        <v>483</v>
      </c>
      <c r="AE221" s="176">
        <v>43164.442037037035</v>
      </c>
      <c r="AF221" s="175"/>
      <c r="AG221" s="176">
        <v>43164.440706018519</v>
      </c>
      <c r="AH221" s="176">
        <v>43164.648263888892</v>
      </c>
      <c r="AI221" s="175"/>
      <c r="AJ221" s="175"/>
      <c r="AK221" s="178">
        <v>1</v>
      </c>
    </row>
    <row r="222" spans="1:37" ht="15.95" customHeight="1" x14ac:dyDescent="0.25">
      <c r="A222" s="174" t="s">
        <v>651</v>
      </c>
      <c r="B222" s="174" t="s">
        <v>1172</v>
      </c>
      <c r="C222" s="175"/>
      <c r="D222" s="174" t="s">
        <v>653</v>
      </c>
      <c r="E222" s="174" t="s">
        <v>666</v>
      </c>
      <c r="F222" s="176">
        <v>43164</v>
      </c>
      <c r="G222" s="176">
        <v>43174</v>
      </c>
      <c r="H222" s="174" t="s">
        <v>1155</v>
      </c>
      <c r="I222" s="175" t="e">
        <f>VLOOKUP($H222,Mapping!$A:$A,1,0)</f>
        <v>#N/A</v>
      </c>
      <c r="J222" s="177" t="s">
        <v>466</v>
      </c>
      <c r="K222" s="174" t="s">
        <v>1173</v>
      </c>
      <c r="L222" s="178">
        <v>2000000</v>
      </c>
      <c r="M222" s="178">
        <v>101.7109375</v>
      </c>
      <c r="N222" s="178">
        <v>3.3960529664000001</v>
      </c>
      <c r="O222" s="178">
        <v>2034218.75</v>
      </c>
      <c r="P222" s="174" t="s">
        <v>337</v>
      </c>
      <c r="Q222" s="174" t="s">
        <v>1174</v>
      </c>
      <c r="R222" s="174" t="s">
        <v>23</v>
      </c>
      <c r="S222" s="174" t="s">
        <v>133</v>
      </c>
      <c r="T222" s="175" t="str">
        <f>VLOOKUP($S222,Mapping!$C:$C,1,0)</f>
        <v>Oasys</v>
      </c>
      <c r="U222" s="175"/>
      <c r="V222" s="175"/>
      <c r="W222" s="175"/>
      <c r="X222" s="175"/>
      <c r="Y222" s="174" t="s">
        <v>651</v>
      </c>
      <c r="Z222" s="174" t="s">
        <v>670</v>
      </c>
      <c r="AA222" s="174" t="s">
        <v>24</v>
      </c>
      <c r="AB222" s="174"/>
      <c r="AC222" s="174" t="s">
        <v>1171</v>
      </c>
      <c r="AD222" s="174" t="s">
        <v>483</v>
      </c>
      <c r="AE222" s="176">
        <v>43164.460405092592</v>
      </c>
      <c r="AF222" s="175"/>
      <c r="AG222" s="176">
        <v>43164.459965277776</v>
      </c>
      <c r="AH222" s="176">
        <v>43164.648275462961</v>
      </c>
      <c r="AI222" s="175"/>
      <c r="AJ222" s="175"/>
      <c r="AK222" s="178">
        <v>1</v>
      </c>
    </row>
    <row r="223" spans="1:37" ht="15.95" customHeight="1" x14ac:dyDescent="0.25">
      <c r="A223" s="174" t="s">
        <v>651</v>
      </c>
      <c r="B223" s="174" t="s">
        <v>1175</v>
      </c>
      <c r="C223" s="175"/>
      <c r="D223" s="174" t="s">
        <v>653</v>
      </c>
      <c r="E223" s="174" t="s">
        <v>666</v>
      </c>
      <c r="F223" s="176">
        <v>43164</v>
      </c>
      <c r="G223" s="176">
        <v>43179</v>
      </c>
      <c r="H223" s="174" t="s">
        <v>1155</v>
      </c>
      <c r="I223" s="175" t="e">
        <f>VLOOKUP($H223,Mapping!$A:$A,1,0)</f>
        <v>#N/A</v>
      </c>
      <c r="J223" s="177" t="s">
        <v>466</v>
      </c>
      <c r="K223" s="174" t="s">
        <v>1176</v>
      </c>
      <c r="L223" s="178">
        <v>9000000</v>
      </c>
      <c r="M223" s="178">
        <v>97.69921875</v>
      </c>
      <c r="N223" s="178">
        <v>3.1099359517999998</v>
      </c>
      <c r="O223" s="178">
        <v>8792929.6875</v>
      </c>
      <c r="P223" s="174" t="s">
        <v>337</v>
      </c>
      <c r="Q223" s="174" t="s">
        <v>1177</v>
      </c>
      <c r="R223" s="174" t="s">
        <v>23</v>
      </c>
      <c r="S223" s="174" t="s">
        <v>133</v>
      </c>
      <c r="T223" s="175" t="str">
        <f>VLOOKUP($S223,Mapping!$C:$C,1,0)</f>
        <v>Oasys</v>
      </c>
      <c r="U223" s="175"/>
      <c r="V223" s="175"/>
      <c r="W223" s="175"/>
      <c r="X223" s="175"/>
      <c r="Y223" s="174" t="s">
        <v>651</v>
      </c>
      <c r="Z223" s="174" t="s">
        <v>670</v>
      </c>
      <c r="AA223" s="174" t="s">
        <v>24</v>
      </c>
      <c r="AB223" s="174"/>
      <c r="AC223" s="174" t="s">
        <v>1171</v>
      </c>
      <c r="AD223" s="174" t="s">
        <v>483</v>
      </c>
      <c r="AE223" s="176">
        <v>43164.467141203706</v>
      </c>
      <c r="AF223" s="175"/>
      <c r="AG223" s="176">
        <v>43164.46607638889</v>
      </c>
      <c r="AH223" s="176">
        <v>43164.648275462961</v>
      </c>
      <c r="AI223" s="175"/>
      <c r="AJ223" s="175"/>
      <c r="AK223" s="178">
        <v>1</v>
      </c>
    </row>
    <row r="224" spans="1:37" ht="15.95" customHeight="1" x14ac:dyDescent="0.25">
      <c r="A224" s="174" t="s">
        <v>651</v>
      </c>
      <c r="B224" s="174" t="s">
        <v>1178</v>
      </c>
      <c r="C224" s="175"/>
      <c r="D224" s="174" t="s">
        <v>653</v>
      </c>
      <c r="E224" s="174" t="s">
        <v>666</v>
      </c>
      <c r="F224" s="176">
        <v>43164</v>
      </c>
      <c r="G224" s="176">
        <v>43209</v>
      </c>
      <c r="H224" s="174" t="s">
        <v>1155</v>
      </c>
      <c r="I224" s="175" t="e">
        <f>VLOOKUP($H224,Mapping!$A:$A,1,0)</f>
        <v>#N/A</v>
      </c>
      <c r="J224" s="179" t="s">
        <v>486</v>
      </c>
      <c r="K224" s="174" t="s">
        <v>1179</v>
      </c>
      <c r="L224" s="178">
        <v>9000000</v>
      </c>
      <c r="M224" s="178">
        <v>97.5859375</v>
      </c>
      <c r="N224" s="178">
        <v>3.1179036891999998</v>
      </c>
      <c r="O224" s="178">
        <v>-8782734.375</v>
      </c>
      <c r="P224" s="174" t="s">
        <v>337</v>
      </c>
      <c r="Q224" s="174" t="s">
        <v>1180</v>
      </c>
      <c r="R224" s="174" t="s">
        <v>23</v>
      </c>
      <c r="S224" s="174" t="s">
        <v>133</v>
      </c>
      <c r="T224" s="175" t="str">
        <f>VLOOKUP($S224,Mapping!$C:$C,1,0)</f>
        <v>Oasys</v>
      </c>
      <c r="U224" s="175"/>
      <c r="V224" s="175"/>
      <c r="W224" s="175"/>
      <c r="X224" s="175"/>
      <c r="Y224" s="174" t="s">
        <v>651</v>
      </c>
      <c r="Z224" s="174" t="s">
        <v>670</v>
      </c>
      <c r="AA224" s="174" t="s">
        <v>24</v>
      </c>
      <c r="AB224" s="174"/>
      <c r="AC224" s="174" t="s">
        <v>1171</v>
      </c>
      <c r="AD224" s="174" t="s">
        <v>483</v>
      </c>
      <c r="AE224" s="176">
        <v>43164.467141203706</v>
      </c>
      <c r="AF224" s="175"/>
      <c r="AG224" s="176">
        <v>43164.46607638889</v>
      </c>
      <c r="AH224" s="176">
        <v>43164.648287037038</v>
      </c>
      <c r="AI224" s="175"/>
      <c r="AJ224" s="175"/>
      <c r="AK224" s="178">
        <v>1</v>
      </c>
    </row>
    <row r="225" spans="1:37" ht="15.95" customHeight="1" x14ac:dyDescent="0.25">
      <c r="A225" s="174" t="s">
        <v>461</v>
      </c>
      <c r="B225" s="174" t="s">
        <v>1181</v>
      </c>
      <c r="C225" s="175"/>
      <c r="D225" s="174" t="s">
        <v>463</v>
      </c>
      <c r="E225" s="174" t="s">
        <v>870</v>
      </c>
      <c r="F225" s="176">
        <v>43164</v>
      </c>
      <c r="G225" s="176">
        <v>43165</v>
      </c>
      <c r="H225" s="174" t="s">
        <v>1182</v>
      </c>
      <c r="I225" s="175" t="e">
        <f>VLOOKUP($H225,Mapping!$A:$A,1,0)</f>
        <v>#N/A</v>
      </c>
      <c r="J225" s="177" t="s">
        <v>466</v>
      </c>
      <c r="K225" s="174" t="s">
        <v>644</v>
      </c>
      <c r="L225" s="178">
        <v>8000000</v>
      </c>
      <c r="M225" s="178">
        <v>98.00390625</v>
      </c>
      <c r="N225" s="178">
        <v>3.1027730010000001</v>
      </c>
      <c r="O225" s="178">
        <v>7852909.1850828696</v>
      </c>
      <c r="P225" s="174" t="s">
        <v>337</v>
      </c>
      <c r="Q225" s="174" t="s">
        <v>645</v>
      </c>
      <c r="R225" s="174" t="s">
        <v>22</v>
      </c>
      <c r="S225" s="174" t="s">
        <v>129</v>
      </c>
      <c r="T225" s="175" t="str">
        <f>VLOOKUP($S225,Mapping!$C:$C,1,0)</f>
        <v>Omgeo</v>
      </c>
      <c r="U225" s="174" t="s">
        <v>1183</v>
      </c>
      <c r="V225" s="174" t="s">
        <v>132</v>
      </c>
      <c r="W225" s="175"/>
      <c r="X225" s="175"/>
      <c r="Y225" s="174" t="s">
        <v>469</v>
      </c>
      <c r="Z225" s="174" t="s">
        <v>873</v>
      </c>
      <c r="AA225" s="174" t="s">
        <v>22</v>
      </c>
      <c r="AB225" s="174"/>
      <c r="AC225" s="175"/>
      <c r="AD225" s="174" t="s">
        <v>512</v>
      </c>
      <c r="AE225" s="176">
        <v>43164.14875</v>
      </c>
      <c r="AF225" s="174" t="s">
        <v>1183</v>
      </c>
      <c r="AG225" s="176">
        <v>43164.145949074074</v>
      </c>
      <c r="AH225" s="176">
        <v>43164.146018518521</v>
      </c>
      <c r="AI225" s="174" t="s">
        <v>473</v>
      </c>
      <c r="AJ225" s="175"/>
      <c r="AK225" s="178">
        <v>1</v>
      </c>
    </row>
    <row r="226" spans="1:37" ht="15.95" customHeight="1" x14ac:dyDescent="0.25">
      <c r="A226" s="174" t="s">
        <v>484</v>
      </c>
      <c r="B226" s="174" t="s">
        <v>1184</v>
      </c>
      <c r="C226" s="175"/>
      <c r="D226" s="174" t="s">
        <v>478</v>
      </c>
      <c r="E226" s="174" t="s">
        <v>590</v>
      </c>
      <c r="F226" s="176">
        <v>43164</v>
      </c>
      <c r="G226" s="176">
        <v>43166</v>
      </c>
      <c r="H226" s="174" t="s">
        <v>1182</v>
      </c>
      <c r="I226" s="175" t="e">
        <f>VLOOKUP($H226,Mapping!$A:$A,1,0)</f>
        <v>#N/A</v>
      </c>
      <c r="J226" s="177" t="s">
        <v>466</v>
      </c>
      <c r="K226" s="174" t="s">
        <v>1185</v>
      </c>
      <c r="L226" s="178">
        <v>3000000</v>
      </c>
      <c r="M226" s="178">
        <v>97</v>
      </c>
      <c r="N226" s="178">
        <v>11.6342897657</v>
      </c>
      <c r="O226" s="178">
        <v>3028333.3333333298</v>
      </c>
      <c r="P226" s="174" t="s">
        <v>337</v>
      </c>
      <c r="Q226" s="174" t="s">
        <v>1186</v>
      </c>
      <c r="R226" s="174" t="s">
        <v>22</v>
      </c>
      <c r="S226" s="174" t="s">
        <v>129</v>
      </c>
      <c r="T226" s="175" t="str">
        <f>VLOOKUP($S226,Mapping!$C:$C,1,0)</f>
        <v>Omgeo</v>
      </c>
      <c r="U226" s="174" t="s">
        <v>1187</v>
      </c>
      <c r="V226" s="174" t="s">
        <v>132</v>
      </c>
      <c r="W226" s="175"/>
      <c r="X226" s="175"/>
      <c r="Y226" s="174" t="s">
        <v>489</v>
      </c>
      <c r="Z226" s="174" t="s">
        <v>594</v>
      </c>
      <c r="AA226" s="174" t="s">
        <v>22</v>
      </c>
      <c r="AB226" s="174"/>
      <c r="AC226" s="175"/>
      <c r="AD226" s="174" t="s">
        <v>512</v>
      </c>
      <c r="AE226" s="176">
        <v>43164.454664351855</v>
      </c>
      <c r="AF226" s="174" t="s">
        <v>1187</v>
      </c>
      <c r="AG226" s="176">
        <v>43164.446921296294</v>
      </c>
      <c r="AH226" s="176">
        <v>43164.446979166663</v>
      </c>
      <c r="AI226" s="175"/>
      <c r="AJ226" s="175"/>
      <c r="AK226" s="178">
        <v>1</v>
      </c>
    </row>
    <row r="227" spans="1:37" ht="15.95" customHeight="1" x14ac:dyDescent="0.25">
      <c r="A227" s="174" t="s">
        <v>484</v>
      </c>
      <c r="B227" s="174" t="s">
        <v>1188</v>
      </c>
      <c r="C227" s="175"/>
      <c r="D227" s="174" t="s">
        <v>478</v>
      </c>
      <c r="E227" s="174" t="s">
        <v>535</v>
      </c>
      <c r="F227" s="176">
        <v>43164</v>
      </c>
      <c r="G227" s="176">
        <v>43166</v>
      </c>
      <c r="H227" s="174" t="s">
        <v>1182</v>
      </c>
      <c r="I227" s="175" t="e">
        <f>VLOOKUP($H227,Mapping!$A:$A,1,0)</f>
        <v>#N/A</v>
      </c>
      <c r="J227" s="179" t="s">
        <v>486</v>
      </c>
      <c r="K227" s="174" t="s">
        <v>1189</v>
      </c>
      <c r="L227" s="178">
        <v>8000000</v>
      </c>
      <c r="M227" s="178">
        <v>106.49</v>
      </c>
      <c r="N227" s="178">
        <v>4.2437808076000003</v>
      </c>
      <c r="O227" s="178">
        <v>-8621588.8888888899</v>
      </c>
      <c r="P227" s="174" t="s">
        <v>337</v>
      </c>
      <c r="Q227" s="174" t="s">
        <v>1190</v>
      </c>
      <c r="R227" s="174" t="s">
        <v>22</v>
      </c>
      <c r="S227" s="174" t="s">
        <v>129</v>
      </c>
      <c r="T227" s="175" t="str">
        <f>VLOOKUP($S227,Mapping!$C:$C,1,0)</f>
        <v>Omgeo</v>
      </c>
      <c r="U227" s="174" t="s">
        <v>1191</v>
      </c>
      <c r="V227" s="174" t="s">
        <v>132</v>
      </c>
      <c r="W227" s="175"/>
      <c r="X227" s="175"/>
      <c r="Y227" s="174" t="s">
        <v>489</v>
      </c>
      <c r="Z227" s="174" t="s">
        <v>540</v>
      </c>
      <c r="AA227" s="174" t="s">
        <v>22</v>
      </c>
      <c r="AB227" s="174"/>
      <c r="AC227" s="175"/>
      <c r="AD227" s="174" t="s">
        <v>541</v>
      </c>
      <c r="AE227" s="176">
        <v>43164.467534722222</v>
      </c>
      <c r="AF227" s="174" t="s">
        <v>1191</v>
      </c>
      <c r="AG227" s="176">
        <v>43164.472326388888</v>
      </c>
      <c r="AH227" s="176">
        <v>43164.472326388888</v>
      </c>
      <c r="AI227" s="175"/>
      <c r="AJ227" s="175"/>
      <c r="AK227" s="178">
        <v>1</v>
      </c>
    </row>
    <row r="228" spans="1:37" ht="15.95" customHeight="1" x14ac:dyDescent="0.25">
      <c r="A228" s="174" t="s">
        <v>461</v>
      </c>
      <c r="B228" s="174" t="s">
        <v>1192</v>
      </c>
      <c r="C228" s="175"/>
      <c r="D228" s="174" t="s">
        <v>478</v>
      </c>
      <c r="E228" s="174" t="s">
        <v>535</v>
      </c>
      <c r="F228" s="176">
        <v>43164</v>
      </c>
      <c r="G228" s="176">
        <v>43165</v>
      </c>
      <c r="H228" s="174" t="s">
        <v>1182</v>
      </c>
      <c r="I228" s="175" t="e">
        <f>VLOOKUP($H228,Mapping!$A:$A,1,0)</f>
        <v>#N/A</v>
      </c>
      <c r="J228" s="177" t="s">
        <v>466</v>
      </c>
      <c r="K228" s="174" t="s">
        <v>543</v>
      </c>
      <c r="L228" s="178">
        <v>5740000</v>
      </c>
      <c r="M228" s="178">
        <v>92.5859375</v>
      </c>
      <c r="N228" s="178">
        <v>3.1353828385</v>
      </c>
      <c r="O228" s="178">
        <v>5362834.3318370199</v>
      </c>
      <c r="P228" s="174" t="s">
        <v>337</v>
      </c>
      <c r="Q228" s="174" t="s">
        <v>544</v>
      </c>
      <c r="R228" s="174" t="s">
        <v>22</v>
      </c>
      <c r="S228" s="174" t="s">
        <v>129</v>
      </c>
      <c r="T228" s="175" t="str">
        <f>VLOOKUP($S228,Mapping!$C:$C,1,0)</f>
        <v>Omgeo</v>
      </c>
      <c r="U228" s="174" t="s">
        <v>1193</v>
      </c>
      <c r="V228" s="174" t="s">
        <v>132</v>
      </c>
      <c r="W228" s="175"/>
      <c r="X228" s="175"/>
      <c r="Y228" s="174" t="s">
        <v>469</v>
      </c>
      <c r="Z228" s="174" t="s">
        <v>540</v>
      </c>
      <c r="AA228" s="174" t="s">
        <v>22</v>
      </c>
      <c r="AB228" s="174"/>
      <c r="AC228" s="175"/>
      <c r="AD228" s="174" t="s">
        <v>541</v>
      </c>
      <c r="AE228" s="176">
        <v>43164.467534722222</v>
      </c>
      <c r="AF228" s="174" t="s">
        <v>1193</v>
      </c>
      <c r="AG228" s="176">
        <v>43164.472488425927</v>
      </c>
      <c r="AH228" s="176">
        <v>43164.472488425927</v>
      </c>
      <c r="AI228" s="175"/>
      <c r="AJ228" s="175"/>
      <c r="AK228" s="178">
        <v>1</v>
      </c>
    </row>
    <row r="229" spans="1:37" ht="15.95" customHeight="1" x14ac:dyDescent="0.25">
      <c r="A229" s="174" t="s">
        <v>461</v>
      </c>
      <c r="B229" s="174" t="s">
        <v>1194</v>
      </c>
      <c r="C229" s="175"/>
      <c r="D229" s="174" t="s">
        <v>463</v>
      </c>
      <c r="E229" s="174" t="s">
        <v>553</v>
      </c>
      <c r="F229" s="176">
        <v>43164</v>
      </c>
      <c r="G229" s="176">
        <v>43165</v>
      </c>
      <c r="H229" s="174" t="s">
        <v>1182</v>
      </c>
      <c r="I229" s="175" t="e">
        <f>VLOOKUP($H229,Mapping!$A:$A,1,0)</f>
        <v>#N/A</v>
      </c>
      <c r="J229" s="179" t="s">
        <v>486</v>
      </c>
      <c r="K229" s="174" t="s">
        <v>1195</v>
      </c>
      <c r="L229" s="178">
        <v>100000000</v>
      </c>
      <c r="M229" s="178">
        <v>93.1796875</v>
      </c>
      <c r="N229" s="178">
        <v>2.8927259644999999</v>
      </c>
      <c r="O229" s="178">
        <v>-93792947.168508291</v>
      </c>
      <c r="P229" s="174" t="s">
        <v>337</v>
      </c>
      <c r="Q229" s="174" t="s">
        <v>1196</v>
      </c>
      <c r="R229" s="174" t="s">
        <v>22</v>
      </c>
      <c r="S229" s="174" t="s">
        <v>129</v>
      </c>
      <c r="T229" s="175" t="str">
        <f>VLOOKUP($S229,Mapping!$C:$C,1,0)</f>
        <v>Omgeo</v>
      </c>
      <c r="U229" s="174" t="s">
        <v>1197</v>
      </c>
      <c r="V229" s="174" t="s">
        <v>132</v>
      </c>
      <c r="W229" s="175"/>
      <c r="X229" s="175"/>
      <c r="Y229" s="174" t="s">
        <v>469</v>
      </c>
      <c r="Z229" s="174" t="s">
        <v>555</v>
      </c>
      <c r="AA229" s="174" t="s">
        <v>22</v>
      </c>
      <c r="AB229" s="174"/>
      <c r="AC229" s="175"/>
      <c r="AD229" s="174" t="s">
        <v>512</v>
      </c>
      <c r="AE229" s="176">
        <v>43164.486863425926</v>
      </c>
      <c r="AF229" s="174" t="s">
        <v>1197</v>
      </c>
      <c r="AG229" s="176">
        <v>43164.482442129629</v>
      </c>
      <c r="AH229" s="176">
        <v>43164.482523148145</v>
      </c>
      <c r="AI229" s="174" t="s">
        <v>473</v>
      </c>
      <c r="AJ229" s="175"/>
      <c r="AK229" s="178">
        <v>1</v>
      </c>
    </row>
    <row r="230" spans="1:37" ht="15.95" customHeight="1" x14ac:dyDescent="0.25">
      <c r="A230" s="174" t="s">
        <v>461</v>
      </c>
      <c r="B230" s="174" t="s">
        <v>1198</v>
      </c>
      <c r="C230" s="175"/>
      <c r="D230" s="174" t="s">
        <v>463</v>
      </c>
      <c r="E230" s="174" t="s">
        <v>553</v>
      </c>
      <c r="F230" s="176">
        <v>43164</v>
      </c>
      <c r="G230" s="176">
        <v>43165</v>
      </c>
      <c r="H230" s="174" t="s">
        <v>1182</v>
      </c>
      <c r="I230" s="175" t="e">
        <f>VLOOKUP($H230,Mapping!$A:$A,1,0)</f>
        <v>#N/A</v>
      </c>
      <c r="J230" s="177" t="s">
        <v>466</v>
      </c>
      <c r="K230" s="174" t="s">
        <v>475</v>
      </c>
      <c r="L230" s="178">
        <v>85900000</v>
      </c>
      <c r="M230" s="178">
        <v>98.875</v>
      </c>
      <c r="N230" s="178">
        <v>2.8807705845</v>
      </c>
      <c r="O230" s="178">
        <v>85057610.497237563</v>
      </c>
      <c r="P230" s="174" t="s">
        <v>337</v>
      </c>
      <c r="Q230" s="174" t="s">
        <v>476</v>
      </c>
      <c r="R230" s="174" t="s">
        <v>22</v>
      </c>
      <c r="S230" s="174" t="s">
        <v>129</v>
      </c>
      <c r="T230" s="175" t="str">
        <f>VLOOKUP($S230,Mapping!$C:$C,1,0)</f>
        <v>Omgeo</v>
      </c>
      <c r="U230" s="174" t="s">
        <v>1199</v>
      </c>
      <c r="V230" s="174" t="s">
        <v>132</v>
      </c>
      <c r="W230" s="175"/>
      <c r="X230" s="175"/>
      <c r="Y230" s="174" t="s">
        <v>469</v>
      </c>
      <c r="Z230" s="174" t="s">
        <v>555</v>
      </c>
      <c r="AA230" s="174" t="s">
        <v>22</v>
      </c>
      <c r="AB230" s="174"/>
      <c r="AC230" s="175"/>
      <c r="AD230" s="174" t="s">
        <v>512</v>
      </c>
      <c r="AE230" s="176">
        <v>43164.486863425926</v>
      </c>
      <c r="AF230" s="174" t="s">
        <v>1199</v>
      </c>
      <c r="AG230" s="176">
        <v>43164.482488425929</v>
      </c>
      <c r="AH230" s="176">
        <v>43164.482569444444</v>
      </c>
      <c r="AI230" s="174" t="s">
        <v>473</v>
      </c>
      <c r="AJ230" s="175"/>
      <c r="AK230" s="178">
        <v>1</v>
      </c>
    </row>
    <row r="231" spans="1:37" ht="15.95" customHeight="1" x14ac:dyDescent="0.25">
      <c r="A231" s="174" t="s">
        <v>484</v>
      </c>
      <c r="B231" s="174" t="s">
        <v>1200</v>
      </c>
      <c r="C231" s="175"/>
      <c r="D231" s="174" t="s">
        <v>478</v>
      </c>
      <c r="E231" s="174" t="s">
        <v>1201</v>
      </c>
      <c r="F231" s="176">
        <v>43164</v>
      </c>
      <c r="G231" s="176">
        <v>43166</v>
      </c>
      <c r="H231" s="174" t="s">
        <v>1182</v>
      </c>
      <c r="I231" s="175" t="e">
        <f>VLOOKUP($H231,Mapping!$A:$A,1,0)</f>
        <v>#N/A</v>
      </c>
      <c r="J231" s="179" t="s">
        <v>486</v>
      </c>
      <c r="K231" s="174" t="s">
        <v>1202</v>
      </c>
      <c r="L231" s="178">
        <v>3000000</v>
      </c>
      <c r="M231" s="178">
        <v>96.5</v>
      </c>
      <c r="N231" s="178">
        <v>10.4383617261</v>
      </c>
      <c r="O231" s="178">
        <v>-2937250</v>
      </c>
      <c r="P231" s="174" t="s">
        <v>337</v>
      </c>
      <c r="Q231" s="174" t="s">
        <v>1203</v>
      </c>
      <c r="R231" s="174" t="s">
        <v>22</v>
      </c>
      <c r="S231" s="174" t="s">
        <v>129</v>
      </c>
      <c r="T231" s="175" t="str">
        <f>VLOOKUP($S231,Mapping!$C:$C,1,0)</f>
        <v>Omgeo</v>
      </c>
      <c r="U231" s="174" t="s">
        <v>1204</v>
      </c>
      <c r="V231" s="174" t="s">
        <v>132</v>
      </c>
      <c r="W231" s="175"/>
      <c r="X231" s="175"/>
      <c r="Y231" s="174" t="s">
        <v>1205</v>
      </c>
      <c r="Z231" s="174" t="s">
        <v>1206</v>
      </c>
      <c r="AA231" s="174" t="s">
        <v>22</v>
      </c>
      <c r="AB231" s="174"/>
      <c r="AC231" s="175"/>
      <c r="AD231" s="174" t="s">
        <v>1207</v>
      </c>
      <c r="AE231" s="176">
        <v>43164.454664351855</v>
      </c>
      <c r="AF231" s="174" t="s">
        <v>1204</v>
      </c>
      <c r="AG231" s="176">
        <v>43164.486608796295</v>
      </c>
      <c r="AH231" s="176">
        <v>43164.486608796295</v>
      </c>
      <c r="AI231" s="175"/>
      <c r="AJ231" s="175"/>
      <c r="AK231" s="178">
        <v>1</v>
      </c>
    </row>
    <row r="232" spans="1:37" ht="15.95" customHeight="1" x14ac:dyDescent="0.25">
      <c r="A232" s="174" t="s">
        <v>461</v>
      </c>
      <c r="B232" s="174" t="s">
        <v>1208</v>
      </c>
      <c r="C232" s="175"/>
      <c r="D232" s="174" t="s">
        <v>463</v>
      </c>
      <c r="E232" s="174" t="s">
        <v>516</v>
      </c>
      <c r="F232" s="176">
        <v>43164</v>
      </c>
      <c r="G232" s="176">
        <v>43165</v>
      </c>
      <c r="H232" s="174" t="s">
        <v>1182</v>
      </c>
      <c r="I232" s="175" t="e">
        <f>VLOOKUP($H232,Mapping!$A:$A,1,0)</f>
        <v>#N/A</v>
      </c>
      <c r="J232" s="179" t="s">
        <v>486</v>
      </c>
      <c r="K232" s="174" t="s">
        <v>467</v>
      </c>
      <c r="L232" s="178">
        <v>480000000</v>
      </c>
      <c r="M232" s="178">
        <v>99.9296875</v>
      </c>
      <c r="N232" s="178">
        <v>2.6400914183999999</v>
      </c>
      <c r="O232" s="178">
        <v>-479867934.78260869</v>
      </c>
      <c r="P232" s="174" t="s">
        <v>337</v>
      </c>
      <c r="Q232" s="174" t="s">
        <v>468</v>
      </c>
      <c r="R232" s="174" t="s">
        <v>22</v>
      </c>
      <c r="S232" s="174" t="s">
        <v>129</v>
      </c>
      <c r="T232" s="175" t="str">
        <f>VLOOKUP($S232,Mapping!$C:$C,1,0)</f>
        <v>Omgeo</v>
      </c>
      <c r="U232" s="174" t="s">
        <v>1209</v>
      </c>
      <c r="V232" s="174" t="s">
        <v>132</v>
      </c>
      <c r="W232" s="175"/>
      <c r="X232" s="175"/>
      <c r="Y232" s="174" t="s">
        <v>469</v>
      </c>
      <c r="Z232" s="174" t="s">
        <v>518</v>
      </c>
      <c r="AA232" s="174" t="s">
        <v>22</v>
      </c>
      <c r="AB232" s="174"/>
      <c r="AC232" s="175"/>
      <c r="AD232" s="174" t="s">
        <v>512</v>
      </c>
      <c r="AE232" s="176">
        <v>43164.519016203703</v>
      </c>
      <c r="AF232" s="174" t="s">
        <v>1209</v>
      </c>
      <c r="AG232" s="176">
        <v>43164.514479166668</v>
      </c>
      <c r="AH232" s="176">
        <v>43164.514525462961</v>
      </c>
      <c r="AI232" s="174" t="s">
        <v>473</v>
      </c>
      <c r="AJ232" s="175"/>
      <c r="AK232" s="178">
        <v>1</v>
      </c>
    </row>
    <row r="233" spans="1:37" ht="15.95" customHeight="1" x14ac:dyDescent="0.25">
      <c r="A233" s="174" t="s">
        <v>461</v>
      </c>
      <c r="B233" s="174" t="s">
        <v>1210</v>
      </c>
      <c r="C233" s="175"/>
      <c r="D233" s="174" t="s">
        <v>463</v>
      </c>
      <c r="E233" s="174" t="s">
        <v>516</v>
      </c>
      <c r="F233" s="176">
        <v>43164</v>
      </c>
      <c r="G233" s="176">
        <v>43165</v>
      </c>
      <c r="H233" s="174" t="s">
        <v>1182</v>
      </c>
      <c r="I233" s="175" t="e">
        <f>VLOOKUP($H233,Mapping!$A:$A,1,0)</f>
        <v>#N/A</v>
      </c>
      <c r="J233" s="177" t="s">
        <v>466</v>
      </c>
      <c r="K233" s="174" t="s">
        <v>1211</v>
      </c>
      <c r="L233" s="178">
        <v>490000000</v>
      </c>
      <c r="M233" s="178">
        <v>98.789212000000006</v>
      </c>
      <c r="N233" s="178">
        <v>2.6394809173999998</v>
      </c>
      <c r="O233" s="178">
        <v>485160163.66187847</v>
      </c>
      <c r="P233" s="174" t="s">
        <v>337</v>
      </c>
      <c r="Q233" s="174" t="s">
        <v>1212</v>
      </c>
      <c r="R233" s="174" t="s">
        <v>22</v>
      </c>
      <c r="S233" s="174" t="s">
        <v>129</v>
      </c>
      <c r="T233" s="175" t="str">
        <f>VLOOKUP($S233,Mapping!$C:$C,1,0)</f>
        <v>Omgeo</v>
      </c>
      <c r="U233" s="174" t="s">
        <v>1213</v>
      </c>
      <c r="V233" s="174" t="s">
        <v>132</v>
      </c>
      <c r="W233" s="175"/>
      <c r="X233" s="175"/>
      <c r="Y233" s="174" t="s">
        <v>469</v>
      </c>
      <c r="Z233" s="174" t="s">
        <v>518</v>
      </c>
      <c r="AA233" s="174" t="s">
        <v>22</v>
      </c>
      <c r="AB233" s="174"/>
      <c r="AC233" s="175"/>
      <c r="AD233" s="174" t="s">
        <v>512</v>
      </c>
      <c r="AE233" s="176">
        <v>43164.519016203703</v>
      </c>
      <c r="AF233" s="174" t="s">
        <v>1213</v>
      </c>
      <c r="AG233" s="176">
        <v>43164.514479166668</v>
      </c>
      <c r="AH233" s="176">
        <v>43164.514537037037</v>
      </c>
      <c r="AI233" s="174" t="s">
        <v>473</v>
      </c>
      <c r="AJ233" s="175"/>
      <c r="AK233" s="178">
        <v>1</v>
      </c>
    </row>
    <row r="234" spans="1:37" ht="15.95" customHeight="1" x14ac:dyDescent="0.25">
      <c r="A234" s="174" t="s">
        <v>461</v>
      </c>
      <c r="B234" s="174" t="s">
        <v>1214</v>
      </c>
      <c r="C234" s="175"/>
      <c r="D234" s="174" t="s">
        <v>463</v>
      </c>
      <c r="E234" s="174" t="s">
        <v>506</v>
      </c>
      <c r="F234" s="176">
        <v>43164</v>
      </c>
      <c r="G234" s="176">
        <v>43165</v>
      </c>
      <c r="H234" s="174" t="s">
        <v>1182</v>
      </c>
      <c r="I234" s="175" t="e">
        <f>VLOOKUP($H234,Mapping!$A:$A,1,0)</f>
        <v>#N/A</v>
      </c>
      <c r="J234" s="177" t="s">
        <v>466</v>
      </c>
      <c r="K234" s="174" t="s">
        <v>467</v>
      </c>
      <c r="L234" s="178">
        <v>207600000</v>
      </c>
      <c r="M234" s="178">
        <v>99.75</v>
      </c>
      <c r="N234" s="178">
        <v>2.6788620698000001</v>
      </c>
      <c r="O234" s="178">
        <v>207169850.54347828</v>
      </c>
      <c r="P234" s="174" t="s">
        <v>337</v>
      </c>
      <c r="Q234" s="174" t="s">
        <v>468</v>
      </c>
      <c r="R234" s="174" t="s">
        <v>22</v>
      </c>
      <c r="S234" s="174" t="s">
        <v>129</v>
      </c>
      <c r="T234" s="175" t="str">
        <f>VLOOKUP($S234,Mapping!$C:$C,1,0)</f>
        <v>Omgeo</v>
      </c>
      <c r="U234" s="174" t="s">
        <v>1215</v>
      </c>
      <c r="V234" s="174" t="s">
        <v>132</v>
      </c>
      <c r="W234" s="175"/>
      <c r="X234" s="175"/>
      <c r="Y234" s="174" t="s">
        <v>469</v>
      </c>
      <c r="Z234" s="174" t="s">
        <v>511</v>
      </c>
      <c r="AA234" s="174" t="s">
        <v>22</v>
      </c>
      <c r="AB234" s="174"/>
      <c r="AC234" s="175"/>
      <c r="AD234" s="174" t="s">
        <v>512</v>
      </c>
      <c r="AE234" s="176">
        <v>43164.538611111115</v>
      </c>
      <c r="AF234" s="174" t="s">
        <v>1215</v>
      </c>
      <c r="AG234" s="176">
        <v>43164.533229166664</v>
      </c>
      <c r="AH234" s="176">
        <v>43164.53328703704</v>
      </c>
      <c r="AI234" s="174" t="s">
        <v>473</v>
      </c>
      <c r="AJ234" s="175"/>
      <c r="AK234" s="178">
        <v>1</v>
      </c>
    </row>
    <row r="235" spans="1:37" ht="15.95" customHeight="1" x14ac:dyDescent="0.25">
      <c r="A235" s="174" t="s">
        <v>461</v>
      </c>
      <c r="B235" s="174" t="s">
        <v>1216</v>
      </c>
      <c r="C235" s="175"/>
      <c r="D235" s="174" t="s">
        <v>463</v>
      </c>
      <c r="E235" s="174" t="s">
        <v>506</v>
      </c>
      <c r="F235" s="176">
        <v>43164</v>
      </c>
      <c r="G235" s="176">
        <v>43165</v>
      </c>
      <c r="H235" s="174" t="s">
        <v>1182</v>
      </c>
      <c r="I235" s="175" t="e">
        <f>VLOOKUP($H235,Mapping!$A:$A,1,0)</f>
        <v>#N/A</v>
      </c>
      <c r="J235" s="179" t="s">
        <v>486</v>
      </c>
      <c r="K235" s="174" t="s">
        <v>1217</v>
      </c>
      <c r="L235" s="178">
        <v>250000000</v>
      </c>
      <c r="M235" s="178">
        <v>97.1015625</v>
      </c>
      <c r="N235" s="178">
        <v>2.6159110225000002</v>
      </c>
      <c r="O235" s="178">
        <v>-244385467.02348065</v>
      </c>
      <c r="P235" s="174" t="s">
        <v>337</v>
      </c>
      <c r="Q235" s="174" t="s">
        <v>1218</v>
      </c>
      <c r="R235" s="174" t="s">
        <v>22</v>
      </c>
      <c r="S235" s="174" t="s">
        <v>129</v>
      </c>
      <c r="T235" s="175" t="str">
        <f>VLOOKUP($S235,Mapping!$C:$C,1,0)</f>
        <v>Omgeo</v>
      </c>
      <c r="U235" s="174" t="s">
        <v>1219</v>
      </c>
      <c r="V235" s="174" t="s">
        <v>132</v>
      </c>
      <c r="W235" s="175"/>
      <c r="X235" s="175"/>
      <c r="Y235" s="174" t="s">
        <v>469</v>
      </c>
      <c r="Z235" s="174" t="s">
        <v>511</v>
      </c>
      <c r="AA235" s="174" t="s">
        <v>22</v>
      </c>
      <c r="AB235" s="174"/>
      <c r="AC235" s="175"/>
      <c r="AD235" s="174" t="s">
        <v>512</v>
      </c>
      <c r="AE235" s="176">
        <v>43164.538611111115</v>
      </c>
      <c r="AF235" s="174" t="s">
        <v>1219</v>
      </c>
      <c r="AG235" s="176">
        <v>43164.533229166664</v>
      </c>
      <c r="AH235" s="176">
        <v>43164.53329861111</v>
      </c>
      <c r="AI235" s="174" t="s">
        <v>473</v>
      </c>
      <c r="AJ235" s="175"/>
      <c r="AK235" s="178">
        <v>1</v>
      </c>
    </row>
    <row r="236" spans="1:37" ht="15.95" customHeight="1" x14ac:dyDescent="0.25">
      <c r="A236" s="174" t="s">
        <v>484</v>
      </c>
      <c r="B236" s="174" t="s">
        <v>1220</v>
      </c>
      <c r="C236" s="175"/>
      <c r="D236" s="174" t="s">
        <v>478</v>
      </c>
      <c r="E236" s="174" t="s">
        <v>535</v>
      </c>
      <c r="F236" s="176">
        <v>43164</v>
      </c>
      <c r="G236" s="176">
        <v>43166</v>
      </c>
      <c r="H236" s="174" t="s">
        <v>1182</v>
      </c>
      <c r="I236" s="175" t="e">
        <f>VLOOKUP($H236,Mapping!$A:$A,1,0)</f>
        <v>#N/A</v>
      </c>
      <c r="J236" s="179" t="s">
        <v>486</v>
      </c>
      <c r="K236" s="174" t="s">
        <v>547</v>
      </c>
      <c r="L236" s="178">
        <v>4000000</v>
      </c>
      <c r="M236" s="178">
        <v>88.481999999999999</v>
      </c>
      <c r="N236" s="178">
        <v>4.5899902355000002</v>
      </c>
      <c r="O236" s="178">
        <v>-3613766.1111111101</v>
      </c>
      <c r="P236" s="174" t="s">
        <v>337</v>
      </c>
      <c r="Q236" s="174" t="s">
        <v>548</v>
      </c>
      <c r="R236" s="174" t="s">
        <v>22</v>
      </c>
      <c r="S236" s="174" t="s">
        <v>129</v>
      </c>
      <c r="T236" s="175" t="str">
        <f>VLOOKUP($S236,Mapping!$C:$C,1,0)</f>
        <v>Omgeo</v>
      </c>
      <c r="U236" s="174" t="s">
        <v>1221</v>
      </c>
      <c r="V236" s="174" t="s">
        <v>132</v>
      </c>
      <c r="W236" s="175"/>
      <c r="X236" s="175"/>
      <c r="Y236" s="174" t="s">
        <v>489</v>
      </c>
      <c r="Z236" s="174" t="s">
        <v>540</v>
      </c>
      <c r="AA236" s="174" t="s">
        <v>22</v>
      </c>
      <c r="AB236" s="174"/>
      <c r="AC236" s="175"/>
      <c r="AD236" s="174" t="s">
        <v>541</v>
      </c>
      <c r="AE236" s="176">
        <v>43164.577835648146</v>
      </c>
      <c r="AF236" s="174" t="s">
        <v>1221</v>
      </c>
      <c r="AG236" s="176">
        <v>43164.571261574078</v>
      </c>
      <c r="AH236" s="176">
        <v>43164.571261574078</v>
      </c>
      <c r="AI236" s="175"/>
      <c r="AJ236" s="175"/>
      <c r="AK236" s="178">
        <v>1</v>
      </c>
    </row>
    <row r="237" spans="1:37" ht="15.95" customHeight="1" x14ac:dyDescent="0.25">
      <c r="A237" s="174" t="s">
        <v>461</v>
      </c>
      <c r="B237" s="174" t="s">
        <v>1222</v>
      </c>
      <c r="C237" s="175"/>
      <c r="D237" s="174" t="s">
        <v>478</v>
      </c>
      <c r="E237" s="174" t="s">
        <v>535</v>
      </c>
      <c r="F237" s="176">
        <v>43164</v>
      </c>
      <c r="G237" s="176">
        <v>43165</v>
      </c>
      <c r="H237" s="174" t="s">
        <v>1182</v>
      </c>
      <c r="I237" s="175" t="e">
        <f>VLOOKUP($H237,Mapping!$A:$A,1,0)</f>
        <v>#N/A</v>
      </c>
      <c r="J237" s="177" t="s">
        <v>466</v>
      </c>
      <c r="K237" s="174" t="s">
        <v>543</v>
      </c>
      <c r="L237" s="178">
        <v>3260000</v>
      </c>
      <c r="M237" s="178">
        <v>91.94921875</v>
      </c>
      <c r="N237" s="178">
        <v>3.1703414808999999</v>
      </c>
      <c r="O237" s="178">
        <v>3025033.8958908799</v>
      </c>
      <c r="P237" s="174" t="s">
        <v>337</v>
      </c>
      <c r="Q237" s="174" t="s">
        <v>544</v>
      </c>
      <c r="R237" s="174" t="s">
        <v>22</v>
      </c>
      <c r="S237" s="174" t="s">
        <v>129</v>
      </c>
      <c r="T237" s="175" t="str">
        <f>VLOOKUP($S237,Mapping!$C:$C,1,0)</f>
        <v>Omgeo</v>
      </c>
      <c r="U237" s="174" t="s">
        <v>1223</v>
      </c>
      <c r="V237" s="174" t="s">
        <v>132</v>
      </c>
      <c r="W237" s="175"/>
      <c r="X237" s="175"/>
      <c r="Y237" s="174" t="s">
        <v>469</v>
      </c>
      <c r="Z237" s="174" t="s">
        <v>540</v>
      </c>
      <c r="AA237" s="174" t="s">
        <v>22</v>
      </c>
      <c r="AB237" s="174"/>
      <c r="AC237" s="175"/>
      <c r="AD237" s="174" t="s">
        <v>541</v>
      </c>
      <c r="AE237" s="176">
        <v>43164.57135416667</v>
      </c>
      <c r="AF237" s="174" t="s">
        <v>1223</v>
      </c>
      <c r="AG237" s="176">
        <v>43164.57135416667</v>
      </c>
      <c r="AH237" s="176">
        <v>43164.57135416667</v>
      </c>
      <c r="AI237" s="175"/>
      <c r="AJ237" s="175"/>
      <c r="AK237" s="178">
        <v>1</v>
      </c>
    </row>
    <row r="238" spans="1:37" ht="15.95" customHeight="1" x14ac:dyDescent="0.25">
      <c r="A238" s="174" t="s">
        <v>461</v>
      </c>
      <c r="B238" s="174" t="s">
        <v>1224</v>
      </c>
      <c r="C238" s="175"/>
      <c r="D238" s="174" t="s">
        <v>463</v>
      </c>
      <c r="E238" s="174" t="s">
        <v>935</v>
      </c>
      <c r="F238" s="176">
        <v>43164</v>
      </c>
      <c r="G238" s="176">
        <v>43165</v>
      </c>
      <c r="H238" s="174" t="s">
        <v>1182</v>
      </c>
      <c r="I238" s="175" t="e">
        <f>VLOOKUP($H238,Mapping!$A:$A,1,0)</f>
        <v>#N/A</v>
      </c>
      <c r="J238" s="177" t="s">
        <v>466</v>
      </c>
      <c r="K238" s="174" t="s">
        <v>475</v>
      </c>
      <c r="L238" s="178">
        <v>6000000</v>
      </c>
      <c r="M238" s="178">
        <v>98.81640625</v>
      </c>
      <c r="N238" s="178">
        <v>2.8876333270000001</v>
      </c>
      <c r="O238" s="178">
        <v>5937644.59599448</v>
      </c>
      <c r="P238" s="174" t="s">
        <v>337</v>
      </c>
      <c r="Q238" s="174" t="s">
        <v>476</v>
      </c>
      <c r="R238" s="174" t="s">
        <v>22</v>
      </c>
      <c r="S238" s="174" t="s">
        <v>129</v>
      </c>
      <c r="T238" s="175" t="str">
        <f>VLOOKUP($S238,Mapping!$C:$C,1,0)</f>
        <v>Omgeo</v>
      </c>
      <c r="U238" s="174" t="s">
        <v>1225</v>
      </c>
      <c r="V238" s="174" t="s">
        <v>132</v>
      </c>
      <c r="W238" s="175"/>
      <c r="X238" s="175"/>
      <c r="Y238" s="174" t="s">
        <v>469</v>
      </c>
      <c r="Z238" s="174" t="s">
        <v>938</v>
      </c>
      <c r="AA238" s="174" t="s">
        <v>22</v>
      </c>
      <c r="AB238" s="174"/>
      <c r="AC238" s="175"/>
      <c r="AD238" s="174" t="s">
        <v>512</v>
      </c>
      <c r="AE238" s="176">
        <v>43164.623680555553</v>
      </c>
      <c r="AF238" s="174" t="s">
        <v>1225</v>
      </c>
      <c r="AG238" s="176">
        <v>43164.616122685184</v>
      </c>
      <c r="AH238" s="176">
        <v>43164.616215277776</v>
      </c>
      <c r="AI238" s="174" t="s">
        <v>473</v>
      </c>
      <c r="AJ238" s="175"/>
      <c r="AK238" s="178">
        <v>1</v>
      </c>
    </row>
    <row r="239" spans="1:37" ht="15.95" customHeight="1" x14ac:dyDescent="0.25">
      <c r="A239" s="174" t="s">
        <v>461</v>
      </c>
      <c r="B239" s="174" t="s">
        <v>1226</v>
      </c>
      <c r="C239" s="175"/>
      <c r="D239" s="174" t="s">
        <v>463</v>
      </c>
      <c r="E239" s="174" t="s">
        <v>806</v>
      </c>
      <c r="F239" s="176">
        <v>43164</v>
      </c>
      <c r="G239" s="176">
        <v>43165</v>
      </c>
      <c r="H239" s="174" t="s">
        <v>1182</v>
      </c>
      <c r="I239" s="175" t="e">
        <f>VLOOKUP($H239,Mapping!$A:$A,1,0)</f>
        <v>#N/A</v>
      </c>
      <c r="J239" s="179" t="s">
        <v>486</v>
      </c>
      <c r="K239" s="174" t="s">
        <v>1227</v>
      </c>
      <c r="L239" s="178">
        <v>50000000</v>
      </c>
      <c r="M239" s="178">
        <v>110.69051</v>
      </c>
      <c r="N239" s="178">
        <v>3.1404360138</v>
      </c>
      <c r="O239" s="178">
        <v>-55920185.939226516</v>
      </c>
      <c r="P239" s="174" t="s">
        <v>337</v>
      </c>
      <c r="Q239" s="174" t="s">
        <v>1228</v>
      </c>
      <c r="R239" s="174" t="s">
        <v>22</v>
      </c>
      <c r="S239" s="174" t="s">
        <v>129</v>
      </c>
      <c r="T239" s="175" t="str">
        <f>VLOOKUP($S239,Mapping!$C:$C,1,0)</f>
        <v>Omgeo</v>
      </c>
      <c r="U239" s="174" t="s">
        <v>1229</v>
      </c>
      <c r="V239" s="174" t="s">
        <v>132</v>
      </c>
      <c r="W239" s="175"/>
      <c r="X239" s="175"/>
      <c r="Y239" s="174" t="s">
        <v>469</v>
      </c>
      <c r="Z239" s="174" t="s">
        <v>809</v>
      </c>
      <c r="AA239" s="174" t="s">
        <v>22</v>
      </c>
      <c r="AB239" s="174"/>
      <c r="AC239" s="175"/>
      <c r="AD239" s="174" t="s">
        <v>512</v>
      </c>
      <c r="AE239" s="176">
        <v>43164.643252314818</v>
      </c>
      <c r="AF239" s="174" t="s">
        <v>1229</v>
      </c>
      <c r="AG239" s="176">
        <v>43164.636747685188</v>
      </c>
      <c r="AH239" s="176">
        <v>43164.636817129627</v>
      </c>
      <c r="AI239" s="174" t="s">
        <v>473</v>
      </c>
      <c r="AJ239" s="175"/>
      <c r="AK239" s="178">
        <v>1</v>
      </c>
    </row>
    <row r="240" spans="1:37" ht="15.95" customHeight="1" x14ac:dyDescent="0.25">
      <c r="A240" s="174" t="s">
        <v>484</v>
      </c>
      <c r="B240" s="174" t="s">
        <v>1230</v>
      </c>
      <c r="C240" s="175"/>
      <c r="D240" s="174" t="s">
        <v>478</v>
      </c>
      <c r="E240" s="174" t="s">
        <v>1201</v>
      </c>
      <c r="F240" s="176">
        <v>43164</v>
      </c>
      <c r="G240" s="176">
        <v>43166</v>
      </c>
      <c r="H240" s="174" t="s">
        <v>1182</v>
      </c>
      <c r="I240" s="175" t="e">
        <f>VLOOKUP($H240,Mapping!$A:$A,1,0)</f>
        <v>#N/A</v>
      </c>
      <c r="J240" s="179" t="s">
        <v>486</v>
      </c>
      <c r="K240" s="174" t="s">
        <v>1231</v>
      </c>
      <c r="L240" s="178">
        <v>3000000</v>
      </c>
      <c r="M240" s="178">
        <v>92.75</v>
      </c>
      <c r="N240" s="178">
        <v>9.9008517931999993</v>
      </c>
      <c r="O240" s="178">
        <v>-2796708.3333333298</v>
      </c>
      <c r="P240" s="174" t="s">
        <v>337</v>
      </c>
      <c r="Q240" s="174" t="s">
        <v>1232</v>
      </c>
      <c r="R240" s="174" t="s">
        <v>22</v>
      </c>
      <c r="S240" s="174" t="s">
        <v>129</v>
      </c>
      <c r="T240" s="175" t="str">
        <f>VLOOKUP($S240,Mapping!$C:$C,1,0)</f>
        <v>Omgeo</v>
      </c>
      <c r="U240" s="174" t="s">
        <v>1233</v>
      </c>
      <c r="V240" s="174" t="s">
        <v>132</v>
      </c>
      <c r="W240" s="175"/>
      <c r="X240" s="175"/>
      <c r="Y240" s="174" t="s">
        <v>1205</v>
      </c>
      <c r="Z240" s="174" t="s">
        <v>1206</v>
      </c>
      <c r="AA240" s="174" t="s">
        <v>22</v>
      </c>
      <c r="AB240" s="174"/>
      <c r="AC240" s="175"/>
      <c r="AD240" s="174" t="s">
        <v>1207</v>
      </c>
      <c r="AE240" s="176">
        <v>43164.578206018516</v>
      </c>
      <c r="AF240" s="174" t="s">
        <v>1233</v>
      </c>
      <c r="AG240" s="176">
        <v>43164.639803240738</v>
      </c>
      <c r="AH240" s="176">
        <v>43164.639803240738</v>
      </c>
      <c r="AI240" s="175"/>
      <c r="AJ240" s="175"/>
      <c r="AK240" s="178">
        <v>1</v>
      </c>
    </row>
    <row r="241" spans="1:37" ht="15.95" customHeight="1" x14ac:dyDescent="0.25">
      <c r="A241" s="174" t="s">
        <v>484</v>
      </c>
      <c r="B241" s="174" t="s">
        <v>1234</v>
      </c>
      <c r="C241" s="175"/>
      <c r="D241" s="174" t="s">
        <v>478</v>
      </c>
      <c r="E241" s="174" t="s">
        <v>590</v>
      </c>
      <c r="F241" s="176">
        <v>43164</v>
      </c>
      <c r="G241" s="176">
        <v>43166</v>
      </c>
      <c r="H241" s="174" t="s">
        <v>1182</v>
      </c>
      <c r="I241" s="175" t="e">
        <f>VLOOKUP($H241,Mapping!$A:$A,1,0)</f>
        <v>#N/A</v>
      </c>
      <c r="J241" s="177" t="s">
        <v>466</v>
      </c>
      <c r="K241" s="174" t="s">
        <v>1235</v>
      </c>
      <c r="L241" s="178">
        <v>2000000</v>
      </c>
      <c r="M241" s="178">
        <v>65.375</v>
      </c>
      <c r="N241" s="178">
        <v>18.141715797500002</v>
      </c>
      <c r="O241" s="178">
        <v>1328083.33333333</v>
      </c>
      <c r="P241" s="174" t="s">
        <v>337</v>
      </c>
      <c r="Q241" s="174" t="s">
        <v>1236</v>
      </c>
      <c r="R241" s="174" t="s">
        <v>22</v>
      </c>
      <c r="S241" s="174" t="s">
        <v>129</v>
      </c>
      <c r="T241" s="175" t="str">
        <f>VLOOKUP($S241,Mapping!$C:$C,1,0)</f>
        <v>Omgeo</v>
      </c>
      <c r="U241" s="174" t="s">
        <v>1237</v>
      </c>
      <c r="V241" s="174" t="s">
        <v>132</v>
      </c>
      <c r="W241" s="175"/>
      <c r="X241" s="175"/>
      <c r="Y241" s="174" t="s">
        <v>489</v>
      </c>
      <c r="Z241" s="174" t="s">
        <v>594</v>
      </c>
      <c r="AA241" s="174" t="s">
        <v>22</v>
      </c>
      <c r="AB241" s="174"/>
      <c r="AC241" s="175"/>
      <c r="AD241" s="174" t="s">
        <v>512</v>
      </c>
      <c r="AE241" s="176">
        <v>43164.689270833333</v>
      </c>
      <c r="AF241" s="174" t="s">
        <v>1237</v>
      </c>
      <c r="AG241" s="176">
        <v>43164.682222222225</v>
      </c>
      <c r="AH241" s="176">
        <v>43164.682280092595</v>
      </c>
      <c r="AI241" s="175"/>
      <c r="AJ241" s="175"/>
      <c r="AK241" s="178">
        <v>1</v>
      </c>
    </row>
    <row r="242" spans="1:37" ht="15.95" customHeight="1" x14ac:dyDescent="0.25">
      <c r="A242" s="174" t="s">
        <v>461</v>
      </c>
      <c r="B242" s="174" t="s">
        <v>1238</v>
      </c>
      <c r="C242" s="175"/>
      <c r="D242" s="174" t="s">
        <v>566</v>
      </c>
      <c r="E242" s="174" t="s">
        <v>1239</v>
      </c>
      <c r="F242" s="176">
        <v>43164</v>
      </c>
      <c r="G242" s="176">
        <v>43167</v>
      </c>
      <c r="H242" s="174" t="s">
        <v>1240</v>
      </c>
      <c r="I242" s="175" t="e">
        <f>VLOOKUP($H242,Mapping!$A:$A,1,0)</f>
        <v>#N/A</v>
      </c>
      <c r="J242" s="177" t="s">
        <v>466</v>
      </c>
      <c r="K242" s="174" t="s">
        <v>1241</v>
      </c>
      <c r="L242" s="178">
        <v>150000000</v>
      </c>
      <c r="M242" s="178">
        <v>94.197519999999997</v>
      </c>
      <c r="N242" s="178">
        <v>9.1499994749999995</v>
      </c>
      <c r="O242" s="178">
        <v>142553820</v>
      </c>
      <c r="P242" s="174" t="s">
        <v>839</v>
      </c>
      <c r="Q242" s="174" t="s">
        <v>1242</v>
      </c>
      <c r="R242" s="174" t="s">
        <v>22</v>
      </c>
      <c r="S242" s="174" t="s">
        <v>129</v>
      </c>
      <c r="T242" s="175" t="str">
        <f>VLOOKUP($S242,Mapping!$C:$C,1,0)</f>
        <v>Omgeo</v>
      </c>
      <c r="U242" s="174" t="s">
        <v>1243</v>
      </c>
      <c r="V242" s="174" t="s">
        <v>132</v>
      </c>
      <c r="W242" s="175"/>
      <c r="X242" s="175"/>
      <c r="Y242" s="174" t="s">
        <v>842</v>
      </c>
      <c r="Z242" s="174" t="s">
        <v>1244</v>
      </c>
      <c r="AA242" s="174" t="s">
        <v>22</v>
      </c>
      <c r="AB242" s="174"/>
      <c r="AC242" s="175"/>
      <c r="AD242" s="174" t="s">
        <v>512</v>
      </c>
      <c r="AE242" s="176">
        <v>43164.300023148149</v>
      </c>
      <c r="AF242" s="174" t="s">
        <v>1243</v>
      </c>
      <c r="AG242" s="176">
        <v>43164.294710648152</v>
      </c>
      <c r="AH242" s="176">
        <v>43164.294791666667</v>
      </c>
      <c r="AI242" s="175"/>
      <c r="AJ242" s="175"/>
      <c r="AK242" s="178">
        <v>1</v>
      </c>
    </row>
    <row r="243" spans="1:37" ht="15.95" customHeight="1" x14ac:dyDescent="0.25">
      <c r="A243" s="174" t="s">
        <v>461</v>
      </c>
      <c r="B243" s="174" t="s">
        <v>1245</v>
      </c>
      <c r="C243" s="175"/>
      <c r="D243" s="174" t="s">
        <v>463</v>
      </c>
      <c r="E243" s="174" t="s">
        <v>506</v>
      </c>
      <c r="F243" s="176">
        <v>43164</v>
      </c>
      <c r="G243" s="176">
        <v>43165</v>
      </c>
      <c r="H243" s="174" t="s">
        <v>1240</v>
      </c>
      <c r="I243" s="175" t="e">
        <f>VLOOKUP($H243,Mapping!$A:$A,1,0)</f>
        <v>#N/A</v>
      </c>
      <c r="J243" s="177" t="s">
        <v>466</v>
      </c>
      <c r="K243" s="174" t="s">
        <v>871</v>
      </c>
      <c r="L243" s="178">
        <v>83000000</v>
      </c>
      <c r="M243" s="178">
        <v>100</v>
      </c>
      <c r="N243" s="178">
        <v>2.2498973025</v>
      </c>
      <c r="O243" s="178">
        <v>83030448.369565219</v>
      </c>
      <c r="P243" s="174" t="s">
        <v>337</v>
      </c>
      <c r="Q243" s="174" t="s">
        <v>872</v>
      </c>
      <c r="R243" s="174" t="s">
        <v>22</v>
      </c>
      <c r="S243" s="174" t="s">
        <v>129</v>
      </c>
      <c r="T243" s="175" t="str">
        <f>VLOOKUP($S243,Mapping!$C:$C,1,0)</f>
        <v>Omgeo</v>
      </c>
      <c r="U243" s="174" t="s">
        <v>1246</v>
      </c>
      <c r="V243" s="174" t="s">
        <v>132</v>
      </c>
      <c r="W243" s="175"/>
      <c r="X243" s="175"/>
      <c r="Y243" s="174" t="s">
        <v>469</v>
      </c>
      <c r="Z243" s="174" t="s">
        <v>511</v>
      </c>
      <c r="AA243" s="174" t="s">
        <v>22</v>
      </c>
      <c r="AB243" s="174"/>
      <c r="AC243" s="175"/>
      <c r="AD243" s="174" t="s">
        <v>512</v>
      </c>
      <c r="AE243" s="176">
        <v>43164.370659722219</v>
      </c>
      <c r="AF243" s="174" t="s">
        <v>1246</v>
      </c>
      <c r="AG243" s="176">
        <v>43164.367881944447</v>
      </c>
      <c r="AH243" s="176">
        <v>43164.367928240739</v>
      </c>
      <c r="AI243" s="174" t="s">
        <v>473</v>
      </c>
      <c r="AJ243" s="175"/>
      <c r="AK243" s="178">
        <v>1</v>
      </c>
    </row>
    <row r="244" spans="1:37" ht="15.95" customHeight="1" x14ac:dyDescent="0.25">
      <c r="A244" s="174" t="s">
        <v>461</v>
      </c>
      <c r="B244" s="174" t="s">
        <v>1247</v>
      </c>
      <c r="C244" s="175"/>
      <c r="D244" s="174" t="s">
        <v>463</v>
      </c>
      <c r="E244" s="174" t="s">
        <v>506</v>
      </c>
      <c r="F244" s="176">
        <v>43164</v>
      </c>
      <c r="G244" s="176">
        <v>43165</v>
      </c>
      <c r="H244" s="174" t="s">
        <v>1240</v>
      </c>
      <c r="I244" s="175" t="e">
        <f>VLOOKUP($H244,Mapping!$A:$A,1,0)</f>
        <v>#N/A</v>
      </c>
      <c r="J244" s="179" t="s">
        <v>486</v>
      </c>
      <c r="K244" s="174" t="s">
        <v>1248</v>
      </c>
      <c r="L244" s="178">
        <v>100000000</v>
      </c>
      <c r="M244" s="178">
        <v>98.83984375</v>
      </c>
      <c r="N244" s="178">
        <v>2.2185950198</v>
      </c>
      <c r="O244" s="178">
        <v>-99361943.197513804</v>
      </c>
      <c r="P244" s="174" t="s">
        <v>337</v>
      </c>
      <c r="Q244" s="174" t="s">
        <v>1249</v>
      </c>
      <c r="R244" s="174" t="s">
        <v>22</v>
      </c>
      <c r="S244" s="174" t="s">
        <v>129</v>
      </c>
      <c r="T244" s="175" t="str">
        <f>VLOOKUP($S244,Mapping!$C:$C,1,0)</f>
        <v>Omgeo</v>
      </c>
      <c r="U244" s="174" t="s">
        <v>1250</v>
      </c>
      <c r="V244" s="174" t="s">
        <v>132</v>
      </c>
      <c r="W244" s="175"/>
      <c r="X244" s="175"/>
      <c r="Y244" s="174" t="s">
        <v>469</v>
      </c>
      <c r="Z244" s="174" t="s">
        <v>511</v>
      </c>
      <c r="AA244" s="174" t="s">
        <v>22</v>
      </c>
      <c r="AB244" s="174"/>
      <c r="AC244" s="175"/>
      <c r="AD244" s="174" t="s">
        <v>512</v>
      </c>
      <c r="AE244" s="176">
        <v>43164.370659722219</v>
      </c>
      <c r="AF244" s="174" t="s">
        <v>1250</v>
      </c>
      <c r="AG244" s="176">
        <v>43164.367893518516</v>
      </c>
      <c r="AH244" s="176">
        <v>43164.367939814816</v>
      </c>
      <c r="AI244" s="174" t="s">
        <v>473</v>
      </c>
      <c r="AJ244" s="175"/>
      <c r="AK244" s="178">
        <v>1</v>
      </c>
    </row>
    <row r="245" spans="1:37" ht="15.95" customHeight="1" x14ac:dyDescent="0.25">
      <c r="A245" s="174" t="s">
        <v>461</v>
      </c>
      <c r="B245" s="174" t="s">
        <v>1251</v>
      </c>
      <c r="C245" s="175"/>
      <c r="D245" s="174" t="s">
        <v>566</v>
      </c>
      <c r="E245" s="174" t="s">
        <v>946</v>
      </c>
      <c r="F245" s="176">
        <v>43164</v>
      </c>
      <c r="G245" s="176">
        <v>43166</v>
      </c>
      <c r="H245" s="174" t="s">
        <v>1240</v>
      </c>
      <c r="I245" s="175" t="e">
        <f>VLOOKUP($H245,Mapping!$A:$A,1,0)</f>
        <v>#N/A</v>
      </c>
      <c r="J245" s="177" t="s">
        <v>466</v>
      </c>
      <c r="K245" s="174" t="s">
        <v>1252</v>
      </c>
      <c r="L245" s="178">
        <v>2000000</v>
      </c>
      <c r="M245" s="178">
        <v>89.8</v>
      </c>
      <c r="N245" s="178">
        <v>4.8782533953999998</v>
      </c>
      <c r="O245" s="178">
        <v>1803693.1506849399</v>
      </c>
      <c r="P245" s="174" t="s">
        <v>386</v>
      </c>
      <c r="Q245" s="174" t="s">
        <v>1253</v>
      </c>
      <c r="R245" s="174" t="s">
        <v>22</v>
      </c>
      <c r="S245" s="174" t="s">
        <v>129</v>
      </c>
      <c r="T245" s="175" t="str">
        <f>VLOOKUP($S245,Mapping!$C:$C,1,0)</f>
        <v>Omgeo</v>
      </c>
      <c r="U245" s="174" t="s">
        <v>1254</v>
      </c>
      <c r="V245" s="174" t="s">
        <v>132</v>
      </c>
      <c r="W245" s="175"/>
      <c r="X245" s="175"/>
      <c r="Y245" s="174" t="s">
        <v>950</v>
      </c>
      <c r="Z245" s="174" t="s">
        <v>951</v>
      </c>
      <c r="AA245" s="174" t="s">
        <v>22</v>
      </c>
      <c r="AB245" s="174"/>
      <c r="AC245" s="175"/>
      <c r="AD245" s="174" t="s">
        <v>952</v>
      </c>
      <c r="AE245" s="176">
        <v>43164.415682870371</v>
      </c>
      <c r="AF245" s="174" t="s">
        <v>1254</v>
      </c>
      <c r="AG245" s="176">
        <v>43164.408645833333</v>
      </c>
      <c r="AH245" s="176">
        <v>43164.408645833333</v>
      </c>
      <c r="AI245" s="175"/>
      <c r="AJ245" s="175"/>
      <c r="AK245" s="178">
        <v>1</v>
      </c>
    </row>
    <row r="246" spans="1:37" ht="15.95" customHeight="1" x14ac:dyDescent="0.25">
      <c r="A246" s="174" t="s">
        <v>484</v>
      </c>
      <c r="B246" s="174" t="s">
        <v>1255</v>
      </c>
      <c r="C246" s="175"/>
      <c r="D246" s="174" t="s">
        <v>478</v>
      </c>
      <c r="E246" s="174" t="s">
        <v>903</v>
      </c>
      <c r="F246" s="176">
        <v>43164</v>
      </c>
      <c r="G246" s="176">
        <v>43166</v>
      </c>
      <c r="H246" s="174" t="s">
        <v>1240</v>
      </c>
      <c r="I246" s="175" t="e">
        <f>VLOOKUP($H246,Mapping!$A:$A,1,0)</f>
        <v>#N/A</v>
      </c>
      <c r="J246" s="177" t="s">
        <v>466</v>
      </c>
      <c r="K246" s="174" t="s">
        <v>1256</v>
      </c>
      <c r="L246" s="178">
        <v>3250000</v>
      </c>
      <c r="M246" s="178">
        <v>99.25</v>
      </c>
      <c r="N246" s="178">
        <v>8.0026650730999993</v>
      </c>
      <c r="O246" s="178">
        <v>3251929.6875000005</v>
      </c>
      <c r="P246" s="174" t="s">
        <v>337</v>
      </c>
      <c r="Q246" s="174" t="s">
        <v>1257</v>
      </c>
      <c r="R246" s="174" t="s">
        <v>22</v>
      </c>
      <c r="S246" s="174" t="s">
        <v>129</v>
      </c>
      <c r="T246" s="175" t="str">
        <f>VLOOKUP($S246,Mapping!$C:$C,1,0)</f>
        <v>Omgeo</v>
      </c>
      <c r="U246" s="174" t="s">
        <v>1258</v>
      </c>
      <c r="V246" s="174" t="s">
        <v>132</v>
      </c>
      <c r="W246" s="175"/>
      <c r="X246" s="175"/>
      <c r="Y246" s="174" t="s">
        <v>633</v>
      </c>
      <c r="Z246" s="174" t="s">
        <v>906</v>
      </c>
      <c r="AA246" s="174" t="s">
        <v>22</v>
      </c>
      <c r="AB246" s="174"/>
      <c r="AC246" s="175"/>
      <c r="AD246" s="174" t="s">
        <v>907</v>
      </c>
      <c r="AE246" s="176">
        <v>43164.38354166667</v>
      </c>
      <c r="AF246" s="174" t="s">
        <v>1258</v>
      </c>
      <c r="AG246" s="176">
        <v>43164.450277777774</v>
      </c>
      <c r="AH246" s="176">
        <v>43164.450277777774</v>
      </c>
      <c r="AI246" s="175"/>
      <c r="AJ246" s="175"/>
      <c r="AK246" s="178">
        <v>1</v>
      </c>
    </row>
    <row r="247" spans="1:37" ht="15.95" customHeight="1" x14ac:dyDescent="0.25">
      <c r="A247" s="174" t="s">
        <v>461</v>
      </c>
      <c r="B247" s="174" t="s">
        <v>1259</v>
      </c>
      <c r="C247" s="175"/>
      <c r="D247" s="174" t="s">
        <v>566</v>
      </c>
      <c r="E247" s="174" t="s">
        <v>1260</v>
      </c>
      <c r="F247" s="176">
        <v>43164</v>
      </c>
      <c r="G247" s="176">
        <v>43166</v>
      </c>
      <c r="H247" s="174" t="s">
        <v>1240</v>
      </c>
      <c r="I247" s="175" t="e">
        <f>VLOOKUP($H247,Mapping!$A:$A,1,0)</f>
        <v>#N/A</v>
      </c>
      <c r="J247" s="179" t="s">
        <v>486</v>
      </c>
      <c r="K247" s="174" t="s">
        <v>1261</v>
      </c>
      <c r="L247" s="178">
        <v>89400000</v>
      </c>
      <c r="M247" s="178">
        <v>101.65</v>
      </c>
      <c r="N247" s="178">
        <v>0.2599613543</v>
      </c>
      <c r="O247" s="178">
        <v>-90899593.150684923</v>
      </c>
      <c r="P247" s="174" t="s">
        <v>386</v>
      </c>
      <c r="Q247" s="174" t="s">
        <v>1262</v>
      </c>
      <c r="R247" s="174" t="s">
        <v>22</v>
      </c>
      <c r="S247" s="174" t="s">
        <v>129</v>
      </c>
      <c r="T247" s="175" t="str">
        <f>VLOOKUP($S247,Mapping!$C:$C,1,0)</f>
        <v>Omgeo</v>
      </c>
      <c r="U247" s="174" t="s">
        <v>1263</v>
      </c>
      <c r="V247" s="174" t="s">
        <v>132</v>
      </c>
      <c r="W247" s="175"/>
      <c r="X247" s="175"/>
      <c r="Y247" s="174" t="s">
        <v>575</v>
      </c>
      <c r="Z247" s="174" t="s">
        <v>1264</v>
      </c>
      <c r="AA247" s="174" t="s">
        <v>22</v>
      </c>
      <c r="AB247" s="174"/>
      <c r="AC247" s="175"/>
      <c r="AD247" s="174" t="s">
        <v>512</v>
      </c>
      <c r="AE247" s="176">
        <v>43164.577835648146</v>
      </c>
      <c r="AF247" s="174" t="s">
        <v>1263</v>
      </c>
      <c r="AG247" s="176">
        <v>43164.573622685188</v>
      </c>
      <c r="AH247" s="176">
        <v>43164.57366898148</v>
      </c>
      <c r="AI247" s="175"/>
      <c r="AJ247" s="175"/>
      <c r="AK247" s="178">
        <v>1</v>
      </c>
    </row>
    <row r="248" spans="1:37" ht="15.95" customHeight="1" x14ac:dyDescent="0.25">
      <c r="A248" s="174" t="s">
        <v>461</v>
      </c>
      <c r="B248" s="174" t="s">
        <v>1265</v>
      </c>
      <c r="C248" s="175"/>
      <c r="D248" s="174" t="s">
        <v>566</v>
      </c>
      <c r="E248" s="174" t="s">
        <v>1260</v>
      </c>
      <c r="F248" s="176">
        <v>43164</v>
      </c>
      <c r="G248" s="176">
        <v>43166</v>
      </c>
      <c r="H248" s="174" t="s">
        <v>1240</v>
      </c>
      <c r="I248" s="175" t="e">
        <f>VLOOKUP($H248,Mapping!$A:$A,1,0)</f>
        <v>#N/A</v>
      </c>
      <c r="J248" s="177" t="s">
        <v>466</v>
      </c>
      <c r="K248" s="174" t="s">
        <v>1266</v>
      </c>
      <c r="L248" s="178">
        <v>72000000</v>
      </c>
      <c r="M248" s="178">
        <v>97.762590000000003</v>
      </c>
      <c r="N248" s="178">
        <v>0.50646152870000005</v>
      </c>
      <c r="O248" s="178">
        <v>70398927.813698635</v>
      </c>
      <c r="P248" s="174" t="s">
        <v>386</v>
      </c>
      <c r="Q248" s="174" t="s">
        <v>1267</v>
      </c>
      <c r="R248" s="174" t="s">
        <v>22</v>
      </c>
      <c r="S248" s="174" t="s">
        <v>129</v>
      </c>
      <c r="T248" s="175" t="str">
        <f>VLOOKUP($S248,Mapping!$C:$C,1,0)</f>
        <v>Omgeo</v>
      </c>
      <c r="U248" s="174" t="s">
        <v>1268</v>
      </c>
      <c r="V248" s="174" t="s">
        <v>132</v>
      </c>
      <c r="W248" s="175"/>
      <c r="X248" s="175"/>
      <c r="Y248" s="174" t="s">
        <v>575</v>
      </c>
      <c r="Z248" s="174" t="s">
        <v>1264</v>
      </c>
      <c r="AA248" s="174" t="s">
        <v>22</v>
      </c>
      <c r="AB248" s="174"/>
      <c r="AC248" s="175"/>
      <c r="AD248" s="174" t="s">
        <v>512</v>
      </c>
      <c r="AE248" s="176">
        <v>43164.577835648146</v>
      </c>
      <c r="AF248" s="174" t="s">
        <v>1268</v>
      </c>
      <c r="AG248" s="176">
        <v>43164.573634259257</v>
      </c>
      <c r="AH248" s="176">
        <v>43164.57371527778</v>
      </c>
      <c r="AI248" s="175"/>
      <c r="AJ248" s="175"/>
      <c r="AK248" s="178">
        <v>1</v>
      </c>
    </row>
    <row r="249" spans="1:37" ht="15.95" customHeight="1" x14ac:dyDescent="0.25">
      <c r="A249" s="174" t="s">
        <v>461</v>
      </c>
      <c r="B249" s="174" t="s">
        <v>1269</v>
      </c>
      <c r="C249" s="175"/>
      <c r="D249" s="174" t="s">
        <v>497</v>
      </c>
      <c r="E249" s="174" t="s">
        <v>753</v>
      </c>
      <c r="F249" s="176">
        <v>43164</v>
      </c>
      <c r="G249" s="176">
        <v>43165</v>
      </c>
      <c r="H249" s="174" t="s">
        <v>1240</v>
      </c>
      <c r="I249" s="175" t="e">
        <f>VLOOKUP($H249,Mapping!$A:$A,1,0)</f>
        <v>#N/A</v>
      </c>
      <c r="J249" s="179" t="s">
        <v>486</v>
      </c>
      <c r="K249" s="174" t="s">
        <v>997</v>
      </c>
      <c r="L249" s="178">
        <v>6300000</v>
      </c>
      <c r="M249" s="178">
        <v>125.11539999999999</v>
      </c>
      <c r="N249" s="178">
        <v>1.4760233615</v>
      </c>
      <c r="O249" s="178">
        <v>-7947736.5461538499</v>
      </c>
      <c r="P249" s="174" t="s">
        <v>998</v>
      </c>
      <c r="Q249" s="174" t="s">
        <v>999</v>
      </c>
      <c r="R249" s="174" t="s">
        <v>22</v>
      </c>
      <c r="S249" s="174" t="s">
        <v>129</v>
      </c>
      <c r="T249" s="175" t="str">
        <f>VLOOKUP($S249,Mapping!$C:$C,1,0)</f>
        <v>Omgeo</v>
      </c>
      <c r="U249" s="174" t="s">
        <v>1270</v>
      </c>
      <c r="V249" s="174" t="s">
        <v>132</v>
      </c>
      <c r="W249" s="175"/>
      <c r="X249" s="175"/>
      <c r="Y249" s="174" t="s">
        <v>1001</v>
      </c>
      <c r="Z249" s="174" t="s">
        <v>757</v>
      </c>
      <c r="AA249" s="174" t="s">
        <v>22</v>
      </c>
      <c r="AB249" s="174"/>
      <c r="AC249" s="175"/>
      <c r="AD249" s="174" t="s">
        <v>512</v>
      </c>
      <c r="AE249" s="176">
        <v>43164.610729166663</v>
      </c>
      <c r="AF249" s="174" t="s">
        <v>1270</v>
      </c>
      <c r="AG249" s="176">
        <v>43164.607303240744</v>
      </c>
      <c r="AH249" s="176">
        <v>43164.607395833336</v>
      </c>
      <c r="AI249" s="175"/>
      <c r="AJ249" s="175"/>
      <c r="AK249" s="178">
        <v>1</v>
      </c>
    </row>
    <row r="250" spans="1:37" ht="15.95" customHeight="1" x14ac:dyDescent="0.25">
      <c r="A250" s="174" t="s">
        <v>461</v>
      </c>
      <c r="B250" s="174" t="s">
        <v>1271</v>
      </c>
      <c r="C250" s="175"/>
      <c r="D250" s="174" t="s">
        <v>497</v>
      </c>
      <c r="E250" s="174" t="s">
        <v>753</v>
      </c>
      <c r="F250" s="176">
        <v>43164</v>
      </c>
      <c r="G250" s="176">
        <v>43165</v>
      </c>
      <c r="H250" s="174" t="s">
        <v>1240</v>
      </c>
      <c r="I250" s="175" t="e">
        <f>VLOOKUP($H250,Mapping!$A:$A,1,0)</f>
        <v>#N/A</v>
      </c>
      <c r="J250" s="177" t="s">
        <v>466</v>
      </c>
      <c r="K250" s="174" t="s">
        <v>1272</v>
      </c>
      <c r="L250" s="178">
        <v>8200000</v>
      </c>
      <c r="M250" s="178">
        <v>100.95</v>
      </c>
      <c r="N250" s="178">
        <v>1.3795231228</v>
      </c>
      <c r="O250" s="178">
        <v>8292510.4972375697</v>
      </c>
      <c r="P250" s="174" t="s">
        <v>998</v>
      </c>
      <c r="Q250" s="174" t="s">
        <v>1273</v>
      </c>
      <c r="R250" s="174" t="s">
        <v>22</v>
      </c>
      <c r="S250" s="174" t="s">
        <v>129</v>
      </c>
      <c r="T250" s="175" t="str">
        <f>VLOOKUP($S250,Mapping!$C:$C,1,0)</f>
        <v>Omgeo</v>
      </c>
      <c r="U250" s="174" t="s">
        <v>1274</v>
      </c>
      <c r="V250" s="174" t="s">
        <v>132</v>
      </c>
      <c r="W250" s="175"/>
      <c r="X250" s="175"/>
      <c r="Y250" s="174" t="s">
        <v>1001</v>
      </c>
      <c r="Z250" s="174" t="s">
        <v>757</v>
      </c>
      <c r="AA250" s="174" t="s">
        <v>22</v>
      </c>
      <c r="AB250" s="174"/>
      <c r="AC250" s="175"/>
      <c r="AD250" s="174" t="s">
        <v>512</v>
      </c>
      <c r="AE250" s="176">
        <v>43164.610729166663</v>
      </c>
      <c r="AF250" s="174" t="s">
        <v>1274</v>
      </c>
      <c r="AG250" s="176">
        <v>43164.607303240744</v>
      </c>
      <c r="AH250" s="176">
        <v>43164.607418981483</v>
      </c>
      <c r="AI250" s="175"/>
      <c r="AJ250" s="175"/>
      <c r="AK250" s="178">
        <v>1</v>
      </c>
    </row>
    <row r="251" spans="1:37" ht="15.95" customHeight="1" x14ac:dyDescent="0.25">
      <c r="A251" s="174" t="s">
        <v>461</v>
      </c>
      <c r="B251" s="174" t="s">
        <v>1275</v>
      </c>
      <c r="C251" s="175"/>
      <c r="D251" s="174" t="s">
        <v>478</v>
      </c>
      <c r="E251" s="174" t="s">
        <v>582</v>
      </c>
      <c r="F251" s="176">
        <v>43164</v>
      </c>
      <c r="G251" s="176">
        <v>43165</v>
      </c>
      <c r="H251" s="174" t="s">
        <v>1276</v>
      </c>
      <c r="I251" s="175" t="e">
        <f>VLOOKUP($H251,Mapping!$A:$A,1,0)</f>
        <v>#N/A</v>
      </c>
      <c r="J251" s="177" t="s">
        <v>466</v>
      </c>
      <c r="K251" s="174" t="s">
        <v>644</v>
      </c>
      <c r="L251" s="178">
        <v>9100000</v>
      </c>
      <c r="M251" s="178">
        <v>97.03125</v>
      </c>
      <c r="N251" s="178">
        <v>3.1538769017999999</v>
      </c>
      <c r="O251" s="178">
        <v>8844172.4792817701</v>
      </c>
      <c r="P251" s="174" t="s">
        <v>337</v>
      </c>
      <c r="Q251" s="174" t="s">
        <v>645</v>
      </c>
      <c r="R251" s="174" t="s">
        <v>23</v>
      </c>
      <c r="S251" s="174" t="s">
        <v>129</v>
      </c>
      <c r="T251" s="175" t="str">
        <f>VLOOKUP($S251,Mapping!$C:$C,1,0)</f>
        <v>Omgeo</v>
      </c>
      <c r="U251" s="175"/>
      <c r="V251" s="175"/>
      <c r="W251" s="175"/>
      <c r="X251" s="175"/>
      <c r="Y251" s="174" t="s">
        <v>469</v>
      </c>
      <c r="Z251" s="174" t="s">
        <v>586</v>
      </c>
      <c r="AA251" s="174" t="s">
        <v>24</v>
      </c>
      <c r="AB251" s="174"/>
      <c r="AC251" s="174" t="s">
        <v>1277</v>
      </c>
      <c r="AD251" s="174" t="s">
        <v>483</v>
      </c>
      <c r="AE251" s="176">
        <v>43164.525648148148</v>
      </c>
      <c r="AF251" s="175"/>
      <c r="AG251" s="176">
        <v>43164.600752314815</v>
      </c>
      <c r="AH251" s="176">
        <v>43164.600752314815</v>
      </c>
      <c r="AI251" s="175"/>
      <c r="AJ251" s="175"/>
      <c r="AK251" s="178">
        <v>1</v>
      </c>
    </row>
    <row r="252" spans="1:37" ht="15.95" customHeight="1" x14ac:dyDescent="0.25">
      <c r="A252" s="174" t="s">
        <v>484</v>
      </c>
      <c r="B252" s="174" t="s">
        <v>1278</v>
      </c>
      <c r="C252" s="175"/>
      <c r="D252" s="174" t="s">
        <v>478</v>
      </c>
      <c r="E252" s="174" t="s">
        <v>479</v>
      </c>
      <c r="F252" s="176">
        <v>43164</v>
      </c>
      <c r="G252" s="176">
        <v>43166</v>
      </c>
      <c r="H252" s="174" t="s">
        <v>1276</v>
      </c>
      <c r="I252" s="175" t="e">
        <f>VLOOKUP($H252,Mapping!$A:$A,1,0)</f>
        <v>#N/A</v>
      </c>
      <c r="J252" s="179" t="s">
        <v>486</v>
      </c>
      <c r="K252" s="174" t="s">
        <v>1279</v>
      </c>
      <c r="L252" s="178">
        <v>614000</v>
      </c>
      <c r="M252" s="178">
        <v>104.22499999999999</v>
      </c>
      <c r="N252" s="178">
        <v>2.9870166341000002</v>
      </c>
      <c r="O252" s="178">
        <v>-641630</v>
      </c>
      <c r="P252" s="174" t="s">
        <v>337</v>
      </c>
      <c r="Q252" s="174" t="s">
        <v>1280</v>
      </c>
      <c r="R252" s="174" t="s">
        <v>23</v>
      </c>
      <c r="S252" s="174" t="s">
        <v>129</v>
      </c>
      <c r="T252" s="175" t="str">
        <f>VLOOKUP($S252,Mapping!$C:$C,1,0)</f>
        <v>Omgeo</v>
      </c>
      <c r="U252" s="175"/>
      <c r="V252" s="175"/>
      <c r="W252" s="175"/>
      <c r="X252" s="175"/>
      <c r="Y252" s="174" t="s">
        <v>489</v>
      </c>
      <c r="Z252" s="174" t="s">
        <v>481</v>
      </c>
      <c r="AA252" s="174" t="s">
        <v>24</v>
      </c>
      <c r="AB252" s="174"/>
      <c r="AC252" s="174" t="s">
        <v>1277</v>
      </c>
      <c r="AD252" s="174" t="s">
        <v>483</v>
      </c>
      <c r="AE252" s="176">
        <v>43164.564699074072</v>
      </c>
      <c r="AF252" s="175"/>
      <c r="AG252" s="176">
        <v>43164.619444444441</v>
      </c>
      <c r="AH252" s="176">
        <v>43164.619444444441</v>
      </c>
      <c r="AI252" s="175"/>
      <c r="AJ252" s="175"/>
      <c r="AK252" s="178">
        <v>1</v>
      </c>
    </row>
    <row r="253" spans="1:37" ht="15.95" customHeight="1" x14ac:dyDescent="0.25">
      <c r="A253" s="174" t="s">
        <v>461</v>
      </c>
      <c r="B253" s="174" t="s">
        <v>1281</v>
      </c>
      <c r="C253" s="175"/>
      <c r="D253" s="174" t="s">
        <v>478</v>
      </c>
      <c r="E253" s="174" t="s">
        <v>479</v>
      </c>
      <c r="F253" s="176">
        <v>43164</v>
      </c>
      <c r="G253" s="176">
        <v>43165</v>
      </c>
      <c r="H253" s="174" t="s">
        <v>1276</v>
      </c>
      <c r="I253" s="175" t="e">
        <f>VLOOKUP($H253,Mapping!$A:$A,1,0)</f>
        <v>#N/A</v>
      </c>
      <c r="J253" s="177" t="s">
        <v>466</v>
      </c>
      <c r="K253" s="174" t="s">
        <v>524</v>
      </c>
      <c r="L253" s="178">
        <v>628000</v>
      </c>
      <c r="M253" s="178">
        <v>99.5546875</v>
      </c>
      <c r="N253" s="178">
        <v>2.4071877039</v>
      </c>
      <c r="O253" s="178">
        <v>625945.06733424996</v>
      </c>
      <c r="P253" s="174" t="s">
        <v>337</v>
      </c>
      <c r="Q253" s="174" t="s">
        <v>525</v>
      </c>
      <c r="R253" s="174" t="s">
        <v>23</v>
      </c>
      <c r="S253" s="174" t="s">
        <v>129</v>
      </c>
      <c r="T253" s="175" t="str">
        <f>VLOOKUP($S253,Mapping!$C:$C,1,0)</f>
        <v>Omgeo</v>
      </c>
      <c r="U253" s="175"/>
      <c r="V253" s="175"/>
      <c r="W253" s="175"/>
      <c r="X253" s="175"/>
      <c r="Y253" s="174" t="s">
        <v>469</v>
      </c>
      <c r="Z253" s="174" t="s">
        <v>481</v>
      </c>
      <c r="AA253" s="174" t="s">
        <v>24</v>
      </c>
      <c r="AB253" s="174"/>
      <c r="AC253" s="174" t="s">
        <v>1277</v>
      </c>
      <c r="AD253" s="174" t="s">
        <v>483</v>
      </c>
      <c r="AE253" s="176">
        <v>43164.564699074072</v>
      </c>
      <c r="AF253" s="175"/>
      <c r="AG253" s="176">
        <v>43164.619444444441</v>
      </c>
      <c r="AH253" s="176">
        <v>43164.619444444441</v>
      </c>
      <c r="AI253" s="175"/>
      <c r="AJ253" s="175"/>
      <c r="AK253" s="178">
        <v>1</v>
      </c>
    </row>
    <row r="254" spans="1:37" ht="15.95" customHeight="1" x14ac:dyDescent="0.25">
      <c r="A254" s="174" t="s">
        <v>461</v>
      </c>
      <c r="B254" s="174" t="s">
        <v>1282</v>
      </c>
      <c r="C254" s="175"/>
      <c r="D254" s="174" t="s">
        <v>463</v>
      </c>
      <c r="E254" s="174" t="s">
        <v>516</v>
      </c>
      <c r="F254" s="176">
        <v>43164</v>
      </c>
      <c r="G254" s="176">
        <v>43165</v>
      </c>
      <c r="H254" s="174" t="s">
        <v>1283</v>
      </c>
      <c r="I254" s="175" t="e">
        <f>VLOOKUP($H254,Mapping!$A:$A,1,0)</f>
        <v>#N/A</v>
      </c>
      <c r="J254" s="179" t="s">
        <v>486</v>
      </c>
      <c r="K254" s="174" t="s">
        <v>475</v>
      </c>
      <c r="L254" s="178">
        <v>8200000</v>
      </c>
      <c r="M254" s="178">
        <v>98.875</v>
      </c>
      <c r="N254" s="178">
        <v>2.8807705845</v>
      </c>
      <c r="O254" s="178">
        <v>-8119585.6353591206</v>
      </c>
      <c r="P254" s="174" t="s">
        <v>337</v>
      </c>
      <c r="Q254" s="174" t="s">
        <v>476</v>
      </c>
      <c r="R254" s="174" t="s">
        <v>23</v>
      </c>
      <c r="S254" s="174" t="s">
        <v>130</v>
      </c>
      <c r="T254" s="175" t="str">
        <f>VLOOKUP($S254,Mapping!$C:$C,1,0)</f>
        <v>Manual</v>
      </c>
      <c r="U254" s="175"/>
      <c r="V254" s="175"/>
      <c r="W254" s="175"/>
      <c r="X254" s="175"/>
      <c r="Y254" s="174" t="s">
        <v>469</v>
      </c>
      <c r="Z254" s="174" t="s">
        <v>518</v>
      </c>
      <c r="AA254" s="174" t="s">
        <v>24</v>
      </c>
      <c r="AB254" s="174"/>
      <c r="AC254" s="174" t="s">
        <v>794</v>
      </c>
      <c r="AD254" s="174" t="s">
        <v>483</v>
      </c>
      <c r="AE254" s="175"/>
      <c r="AF254" s="175"/>
      <c r="AG254" s="176">
        <v>43164.75640046296</v>
      </c>
      <c r="AH254" s="176">
        <v>43164.75640046296</v>
      </c>
      <c r="AI254" s="174" t="s">
        <v>473</v>
      </c>
      <c r="AJ254" s="175"/>
      <c r="AK254" s="178">
        <v>1</v>
      </c>
    </row>
    <row r="255" spans="1:37" ht="15.95" customHeight="1" x14ac:dyDescent="0.25">
      <c r="A255" s="174" t="s">
        <v>461</v>
      </c>
      <c r="B255" s="174" t="s">
        <v>1284</v>
      </c>
      <c r="C255" s="175"/>
      <c r="D255" s="174" t="s">
        <v>463</v>
      </c>
      <c r="E255" s="174" t="s">
        <v>516</v>
      </c>
      <c r="F255" s="176">
        <v>43164</v>
      </c>
      <c r="G255" s="176">
        <v>43165</v>
      </c>
      <c r="H255" s="174" t="s">
        <v>1283</v>
      </c>
      <c r="I255" s="175" t="e">
        <f>VLOOKUP($H255,Mapping!$A:$A,1,0)</f>
        <v>#N/A</v>
      </c>
      <c r="J255" s="177" t="s">
        <v>466</v>
      </c>
      <c r="K255" s="174" t="s">
        <v>1285</v>
      </c>
      <c r="L255" s="178">
        <v>10000000</v>
      </c>
      <c r="M255" s="178">
        <v>89.671875</v>
      </c>
      <c r="N255" s="178">
        <v>2.8864217342999998</v>
      </c>
      <c r="O255" s="178">
        <v>8975060.4281767998</v>
      </c>
      <c r="P255" s="174" t="s">
        <v>337</v>
      </c>
      <c r="Q255" s="174" t="s">
        <v>1286</v>
      </c>
      <c r="R255" s="174" t="s">
        <v>23</v>
      </c>
      <c r="S255" s="174" t="s">
        <v>130</v>
      </c>
      <c r="T255" s="175" t="str">
        <f>VLOOKUP($S255,Mapping!$C:$C,1,0)</f>
        <v>Manual</v>
      </c>
      <c r="U255" s="175"/>
      <c r="V255" s="175"/>
      <c r="W255" s="175"/>
      <c r="X255" s="175"/>
      <c r="Y255" s="174" t="s">
        <v>469</v>
      </c>
      <c r="Z255" s="174" t="s">
        <v>518</v>
      </c>
      <c r="AA255" s="174" t="s">
        <v>24</v>
      </c>
      <c r="AB255" s="174"/>
      <c r="AC255" s="174" t="s">
        <v>794</v>
      </c>
      <c r="AD255" s="174" t="s">
        <v>483</v>
      </c>
      <c r="AE255" s="175"/>
      <c r="AF255" s="175"/>
      <c r="AG255" s="176">
        <v>43164.756412037037</v>
      </c>
      <c r="AH255" s="176">
        <v>43164.756412037037</v>
      </c>
      <c r="AI255" s="174" t="s">
        <v>473</v>
      </c>
      <c r="AJ255" s="175"/>
      <c r="AK255" s="178">
        <v>1</v>
      </c>
    </row>
    <row r="256" spans="1:37" ht="15.95" customHeight="1" x14ac:dyDescent="0.25">
      <c r="A256" s="174" t="s">
        <v>461</v>
      </c>
      <c r="B256" s="174" t="s">
        <v>1287</v>
      </c>
      <c r="C256" s="175"/>
      <c r="D256" s="174" t="s">
        <v>463</v>
      </c>
      <c r="E256" s="174" t="s">
        <v>516</v>
      </c>
      <c r="F256" s="176">
        <v>43164</v>
      </c>
      <c r="G256" s="176">
        <v>43165</v>
      </c>
      <c r="H256" s="174" t="s">
        <v>1283</v>
      </c>
      <c r="I256" s="175" t="e">
        <f>VLOOKUP($H256,Mapping!$A:$A,1,0)</f>
        <v>#N/A</v>
      </c>
      <c r="J256" s="179" t="s">
        <v>486</v>
      </c>
      <c r="K256" s="174" t="s">
        <v>475</v>
      </c>
      <c r="L256" s="178">
        <v>41250000</v>
      </c>
      <c r="M256" s="178">
        <v>98.875</v>
      </c>
      <c r="N256" s="178">
        <v>2.8807705845</v>
      </c>
      <c r="O256" s="178">
        <v>-40845476.519337021</v>
      </c>
      <c r="P256" s="174" t="s">
        <v>337</v>
      </c>
      <c r="Q256" s="174" t="s">
        <v>476</v>
      </c>
      <c r="R256" s="174" t="s">
        <v>23</v>
      </c>
      <c r="S256" s="174" t="s">
        <v>130</v>
      </c>
      <c r="T256" s="175" t="str">
        <f>VLOOKUP($S256,Mapping!$C:$C,1,0)</f>
        <v>Manual</v>
      </c>
      <c r="U256" s="175"/>
      <c r="V256" s="175"/>
      <c r="W256" s="175"/>
      <c r="X256" s="175"/>
      <c r="Y256" s="174" t="s">
        <v>469</v>
      </c>
      <c r="Z256" s="174" t="s">
        <v>518</v>
      </c>
      <c r="AA256" s="174" t="s">
        <v>24</v>
      </c>
      <c r="AB256" s="174"/>
      <c r="AC256" s="174" t="s">
        <v>794</v>
      </c>
      <c r="AD256" s="174" t="s">
        <v>483</v>
      </c>
      <c r="AE256" s="175"/>
      <c r="AF256" s="175"/>
      <c r="AG256" s="176">
        <v>43164.756423611114</v>
      </c>
      <c r="AH256" s="176">
        <v>43164.756423611114</v>
      </c>
      <c r="AI256" s="174" t="s">
        <v>473</v>
      </c>
      <c r="AJ256" s="175"/>
      <c r="AK256" s="178">
        <v>1</v>
      </c>
    </row>
    <row r="257" spans="1:37" ht="15.95" customHeight="1" x14ac:dyDescent="0.25">
      <c r="A257" s="174" t="s">
        <v>461</v>
      </c>
      <c r="B257" s="174" t="s">
        <v>1288</v>
      </c>
      <c r="C257" s="175"/>
      <c r="D257" s="174" t="s">
        <v>463</v>
      </c>
      <c r="E257" s="174" t="s">
        <v>516</v>
      </c>
      <c r="F257" s="176">
        <v>43164</v>
      </c>
      <c r="G257" s="176">
        <v>43165</v>
      </c>
      <c r="H257" s="174" t="s">
        <v>1283</v>
      </c>
      <c r="I257" s="175" t="e">
        <f>VLOOKUP($H257,Mapping!$A:$A,1,0)</f>
        <v>#N/A</v>
      </c>
      <c r="J257" s="177" t="s">
        <v>466</v>
      </c>
      <c r="K257" s="174" t="s">
        <v>1195</v>
      </c>
      <c r="L257" s="178">
        <v>48000000</v>
      </c>
      <c r="M257" s="178">
        <v>93.1796875</v>
      </c>
      <c r="N257" s="178">
        <v>2.8927259644999999</v>
      </c>
      <c r="O257" s="178">
        <v>45020614.640883982</v>
      </c>
      <c r="P257" s="174" t="s">
        <v>337</v>
      </c>
      <c r="Q257" s="174" t="s">
        <v>1196</v>
      </c>
      <c r="R257" s="174" t="s">
        <v>23</v>
      </c>
      <c r="S257" s="174" t="s">
        <v>130</v>
      </c>
      <c r="T257" s="175" t="str">
        <f>VLOOKUP($S257,Mapping!$C:$C,1,0)</f>
        <v>Manual</v>
      </c>
      <c r="U257" s="175"/>
      <c r="V257" s="175"/>
      <c r="W257" s="175"/>
      <c r="X257" s="175"/>
      <c r="Y257" s="174" t="s">
        <v>469</v>
      </c>
      <c r="Z257" s="174" t="s">
        <v>518</v>
      </c>
      <c r="AA257" s="174" t="s">
        <v>24</v>
      </c>
      <c r="AB257" s="174"/>
      <c r="AC257" s="174" t="s">
        <v>794</v>
      </c>
      <c r="AD257" s="174" t="s">
        <v>483</v>
      </c>
      <c r="AE257" s="175"/>
      <c r="AF257" s="175"/>
      <c r="AG257" s="176">
        <v>43164.756435185183</v>
      </c>
      <c r="AH257" s="176">
        <v>43164.756435185183</v>
      </c>
      <c r="AI257" s="174" t="s">
        <v>473</v>
      </c>
      <c r="AJ257" s="175"/>
      <c r="AK257" s="178">
        <v>1</v>
      </c>
    </row>
    <row r="258" spans="1:37" ht="15.95" customHeight="1" x14ac:dyDescent="0.25">
      <c r="A258" s="174" t="s">
        <v>461</v>
      </c>
      <c r="B258" s="174" t="s">
        <v>1289</v>
      </c>
      <c r="C258" s="175"/>
      <c r="D258" s="174" t="s">
        <v>463</v>
      </c>
      <c r="E258" s="174" t="s">
        <v>516</v>
      </c>
      <c r="F258" s="176">
        <v>43164</v>
      </c>
      <c r="G258" s="176">
        <v>43165</v>
      </c>
      <c r="H258" s="174" t="s">
        <v>1283</v>
      </c>
      <c r="I258" s="175" t="e">
        <f>VLOOKUP($H258,Mapping!$A:$A,1,0)</f>
        <v>#N/A</v>
      </c>
      <c r="J258" s="179" t="s">
        <v>486</v>
      </c>
      <c r="K258" s="174" t="s">
        <v>475</v>
      </c>
      <c r="L258" s="178">
        <v>38700000</v>
      </c>
      <c r="M258" s="178">
        <v>98.875</v>
      </c>
      <c r="N258" s="178">
        <v>2.8807705845</v>
      </c>
      <c r="O258" s="178">
        <v>-38320483.425414354</v>
      </c>
      <c r="P258" s="174" t="s">
        <v>337</v>
      </c>
      <c r="Q258" s="174" t="s">
        <v>476</v>
      </c>
      <c r="R258" s="174" t="s">
        <v>23</v>
      </c>
      <c r="S258" s="174" t="s">
        <v>130</v>
      </c>
      <c r="T258" s="175" t="str">
        <f>VLOOKUP($S258,Mapping!$C:$C,1,0)</f>
        <v>Manual</v>
      </c>
      <c r="U258" s="175"/>
      <c r="V258" s="175"/>
      <c r="W258" s="175"/>
      <c r="X258" s="175"/>
      <c r="Y258" s="174" t="s">
        <v>469</v>
      </c>
      <c r="Z258" s="174" t="s">
        <v>518</v>
      </c>
      <c r="AA258" s="174" t="s">
        <v>24</v>
      </c>
      <c r="AB258" s="174"/>
      <c r="AC258" s="174" t="s">
        <v>794</v>
      </c>
      <c r="AD258" s="174" t="s">
        <v>483</v>
      </c>
      <c r="AE258" s="175"/>
      <c r="AF258" s="175"/>
      <c r="AG258" s="176">
        <v>43164.756435185183</v>
      </c>
      <c r="AH258" s="176">
        <v>43164.756435185183</v>
      </c>
      <c r="AI258" s="174" t="s">
        <v>473</v>
      </c>
      <c r="AJ258" s="175"/>
      <c r="AK258" s="178">
        <v>1</v>
      </c>
    </row>
    <row r="259" spans="1:37" ht="15.95" customHeight="1" x14ac:dyDescent="0.25">
      <c r="A259" s="174" t="s">
        <v>461</v>
      </c>
      <c r="B259" s="174" t="s">
        <v>1290</v>
      </c>
      <c r="C259" s="175"/>
      <c r="D259" s="174" t="s">
        <v>463</v>
      </c>
      <c r="E259" s="174" t="s">
        <v>516</v>
      </c>
      <c r="F259" s="176">
        <v>43164</v>
      </c>
      <c r="G259" s="176">
        <v>43165</v>
      </c>
      <c r="H259" s="174" t="s">
        <v>1283</v>
      </c>
      <c r="I259" s="175" t="e">
        <f>VLOOKUP($H259,Mapping!$A:$A,1,0)</f>
        <v>#N/A</v>
      </c>
      <c r="J259" s="177" t="s">
        <v>466</v>
      </c>
      <c r="K259" s="174" t="s">
        <v>1195</v>
      </c>
      <c r="L259" s="178">
        <v>45000000</v>
      </c>
      <c r="M259" s="178">
        <v>93.1796875</v>
      </c>
      <c r="N259" s="178">
        <v>2.8927259644999999</v>
      </c>
      <c r="O259" s="178">
        <v>42206826.22582873</v>
      </c>
      <c r="P259" s="174" t="s">
        <v>337</v>
      </c>
      <c r="Q259" s="174" t="s">
        <v>1196</v>
      </c>
      <c r="R259" s="174" t="s">
        <v>23</v>
      </c>
      <c r="S259" s="174" t="s">
        <v>130</v>
      </c>
      <c r="T259" s="175" t="str">
        <f>VLOOKUP($S259,Mapping!$C:$C,1,0)</f>
        <v>Manual</v>
      </c>
      <c r="U259" s="175"/>
      <c r="V259" s="175"/>
      <c r="W259" s="175"/>
      <c r="X259" s="175"/>
      <c r="Y259" s="174" t="s">
        <v>469</v>
      </c>
      <c r="Z259" s="174" t="s">
        <v>518</v>
      </c>
      <c r="AA259" s="174" t="s">
        <v>24</v>
      </c>
      <c r="AB259" s="174"/>
      <c r="AC259" s="174" t="s">
        <v>794</v>
      </c>
      <c r="AD259" s="174" t="s">
        <v>483</v>
      </c>
      <c r="AE259" s="175"/>
      <c r="AF259" s="175"/>
      <c r="AG259" s="176">
        <v>43164.75644675926</v>
      </c>
      <c r="AH259" s="176">
        <v>43164.75644675926</v>
      </c>
      <c r="AI259" s="174" t="s">
        <v>473</v>
      </c>
      <c r="AJ259" s="175"/>
      <c r="AK259" s="178">
        <v>1</v>
      </c>
    </row>
    <row r="260" spans="1:37" ht="15.95" customHeight="1" x14ac:dyDescent="0.25">
      <c r="A260" s="174" t="s">
        <v>461</v>
      </c>
      <c r="B260" s="174" t="s">
        <v>1291</v>
      </c>
      <c r="C260" s="175"/>
      <c r="D260" s="174" t="s">
        <v>463</v>
      </c>
      <c r="E260" s="174" t="s">
        <v>516</v>
      </c>
      <c r="F260" s="176">
        <v>43164</v>
      </c>
      <c r="G260" s="176">
        <v>43165</v>
      </c>
      <c r="H260" s="174" t="s">
        <v>1283</v>
      </c>
      <c r="I260" s="175" t="e">
        <f>VLOOKUP($H260,Mapping!$A:$A,1,0)</f>
        <v>#N/A</v>
      </c>
      <c r="J260" s="179" t="s">
        <v>486</v>
      </c>
      <c r="K260" s="174" t="s">
        <v>475</v>
      </c>
      <c r="L260" s="178">
        <v>27500000</v>
      </c>
      <c r="M260" s="178">
        <v>98.875</v>
      </c>
      <c r="N260" s="178">
        <v>2.8807705845</v>
      </c>
      <c r="O260" s="178">
        <v>-27230317.679558009</v>
      </c>
      <c r="P260" s="174" t="s">
        <v>337</v>
      </c>
      <c r="Q260" s="174" t="s">
        <v>476</v>
      </c>
      <c r="R260" s="174" t="s">
        <v>23</v>
      </c>
      <c r="S260" s="174" t="s">
        <v>130</v>
      </c>
      <c r="T260" s="175" t="str">
        <f>VLOOKUP($S260,Mapping!$C:$C,1,0)</f>
        <v>Manual</v>
      </c>
      <c r="U260" s="175"/>
      <c r="V260" s="175"/>
      <c r="W260" s="175"/>
      <c r="X260" s="175"/>
      <c r="Y260" s="174" t="s">
        <v>469</v>
      </c>
      <c r="Z260" s="174" t="s">
        <v>518</v>
      </c>
      <c r="AA260" s="174" t="s">
        <v>24</v>
      </c>
      <c r="AB260" s="174"/>
      <c r="AC260" s="174" t="s">
        <v>794</v>
      </c>
      <c r="AD260" s="174" t="s">
        <v>483</v>
      </c>
      <c r="AE260" s="175"/>
      <c r="AF260" s="175"/>
      <c r="AG260" s="176">
        <v>43164.75644675926</v>
      </c>
      <c r="AH260" s="176">
        <v>43164.75644675926</v>
      </c>
      <c r="AI260" s="174" t="s">
        <v>473</v>
      </c>
      <c r="AJ260" s="175"/>
      <c r="AK260" s="178">
        <v>1</v>
      </c>
    </row>
    <row r="261" spans="1:37" ht="15.95" customHeight="1" x14ac:dyDescent="0.25">
      <c r="A261" s="174" t="s">
        <v>461</v>
      </c>
      <c r="B261" s="174" t="s">
        <v>1292</v>
      </c>
      <c r="C261" s="175"/>
      <c r="D261" s="174" t="s">
        <v>463</v>
      </c>
      <c r="E261" s="174" t="s">
        <v>516</v>
      </c>
      <c r="F261" s="176">
        <v>43164</v>
      </c>
      <c r="G261" s="176">
        <v>43165</v>
      </c>
      <c r="H261" s="174" t="s">
        <v>1283</v>
      </c>
      <c r="I261" s="175" t="e">
        <f>VLOOKUP($H261,Mapping!$A:$A,1,0)</f>
        <v>#N/A</v>
      </c>
      <c r="J261" s="177" t="s">
        <v>466</v>
      </c>
      <c r="K261" s="174" t="s">
        <v>1195</v>
      </c>
      <c r="L261" s="178">
        <v>32000000</v>
      </c>
      <c r="M261" s="178">
        <v>93.1796875</v>
      </c>
      <c r="N261" s="178">
        <v>2.8927259644999999</v>
      </c>
      <c r="O261" s="178">
        <v>30013743.093922652</v>
      </c>
      <c r="P261" s="174" t="s">
        <v>337</v>
      </c>
      <c r="Q261" s="174" t="s">
        <v>1196</v>
      </c>
      <c r="R261" s="174" t="s">
        <v>23</v>
      </c>
      <c r="S261" s="174" t="s">
        <v>130</v>
      </c>
      <c r="T261" s="175" t="str">
        <f>VLOOKUP($S261,Mapping!$C:$C,1,0)</f>
        <v>Manual</v>
      </c>
      <c r="U261" s="175"/>
      <c r="V261" s="175"/>
      <c r="W261" s="175"/>
      <c r="X261" s="175"/>
      <c r="Y261" s="174" t="s">
        <v>469</v>
      </c>
      <c r="Z261" s="174" t="s">
        <v>518</v>
      </c>
      <c r="AA261" s="174" t="s">
        <v>24</v>
      </c>
      <c r="AB261" s="174"/>
      <c r="AC261" s="174" t="s">
        <v>794</v>
      </c>
      <c r="AD261" s="174" t="s">
        <v>483</v>
      </c>
      <c r="AE261" s="175"/>
      <c r="AF261" s="175"/>
      <c r="AG261" s="176">
        <v>43164.756458333337</v>
      </c>
      <c r="AH261" s="176">
        <v>43164.756458333337</v>
      </c>
      <c r="AI261" s="174" t="s">
        <v>473</v>
      </c>
      <c r="AJ261" s="175"/>
      <c r="AK261" s="178">
        <v>1</v>
      </c>
    </row>
    <row r="262" spans="1:37" ht="15.95" customHeight="1" x14ac:dyDescent="0.25">
      <c r="A262" s="174" t="s">
        <v>461</v>
      </c>
      <c r="B262" s="174" t="s">
        <v>1293</v>
      </c>
      <c r="C262" s="175"/>
      <c r="D262" s="174" t="s">
        <v>463</v>
      </c>
      <c r="E262" s="174" t="s">
        <v>516</v>
      </c>
      <c r="F262" s="176">
        <v>43164</v>
      </c>
      <c r="G262" s="176">
        <v>43165</v>
      </c>
      <c r="H262" s="174" t="s">
        <v>1283</v>
      </c>
      <c r="I262" s="175" t="e">
        <f>VLOOKUP($H262,Mapping!$A:$A,1,0)</f>
        <v>#N/A</v>
      </c>
      <c r="J262" s="179" t="s">
        <v>486</v>
      </c>
      <c r="K262" s="174" t="s">
        <v>475</v>
      </c>
      <c r="L262" s="178">
        <v>12050000</v>
      </c>
      <c r="M262" s="178">
        <v>98.875</v>
      </c>
      <c r="N262" s="178">
        <v>2.8807705845</v>
      </c>
      <c r="O262" s="178">
        <v>-11931830.110497238</v>
      </c>
      <c r="P262" s="174" t="s">
        <v>337</v>
      </c>
      <c r="Q262" s="174" t="s">
        <v>476</v>
      </c>
      <c r="R262" s="174" t="s">
        <v>23</v>
      </c>
      <c r="S262" s="174" t="s">
        <v>130</v>
      </c>
      <c r="T262" s="175" t="str">
        <f>VLOOKUP($S262,Mapping!$C:$C,1,0)</f>
        <v>Manual</v>
      </c>
      <c r="U262" s="175"/>
      <c r="V262" s="175"/>
      <c r="W262" s="175"/>
      <c r="X262" s="175"/>
      <c r="Y262" s="174" t="s">
        <v>469</v>
      </c>
      <c r="Z262" s="174" t="s">
        <v>518</v>
      </c>
      <c r="AA262" s="174" t="s">
        <v>24</v>
      </c>
      <c r="AB262" s="174"/>
      <c r="AC262" s="174" t="s">
        <v>794</v>
      </c>
      <c r="AD262" s="174" t="s">
        <v>483</v>
      </c>
      <c r="AE262" s="175"/>
      <c r="AF262" s="175"/>
      <c r="AG262" s="176">
        <v>43164.756469907406</v>
      </c>
      <c r="AH262" s="176">
        <v>43164.756469907406</v>
      </c>
      <c r="AI262" s="174" t="s">
        <v>473</v>
      </c>
      <c r="AJ262" s="175"/>
      <c r="AK262" s="178">
        <v>1</v>
      </c>
    </row>
    <row r="263" spans="1:37" ht="15.95" customHeight="1" x14ac:dyDescent="0.25">
      <c r="A263" s="174" t="s">
        <v>461</v>
      </c>
      <c r="B263" s="174" t="s">
        <v>1294</v>
      </c>
      <c r="C263" s="175"/>
      <c r="D263" s="174" t="s">
        <v>463</v>
      </c>
      <c r="E263" s="174" t="s">
        <v>516</v>
      </c>
      <c r="F263" s="176">
        <v>43164</v>
      </c>
      <c r="G263" s="176">
        <v>43165</v>
      </c>
      <c r="H263" s="174" t="s">
        <v>1283</v>
      </c>
      <c r="I263" s="175" t="e">
        <f>VLOOKUP($H263,Mapping!$A:$A,1,0)</f>
        <v>#N/A</v>
      </c>
      <c r="J263" s="177" t="s">
        <v>466</v>
      </c>
      <c r="K263" s="174" t="s">
        <v>1195</v>
      </c>
      <c r="L263" s="178">
        <v>14000000</v>
      </c>
      <c r="M263" s="178">
        <v>93.1796875</v>
      </c>
      <c r="N263" s="178">
        <v>2.8927259644999999</v>
      </c>
      <c r="O263" s="178">
        <v>13131012.603591159</v>
      </c>
      <c r="P263" s="174" t="s">
        <v>337</v>
      </c>
      <c r="Q263" s="174" t="s">
        <v>1196</v>
      </c>
      <c r="R263" s="174" t="s">
        <v>23</v>
      </c>
      <c r="S263" s="174" t="s">
        <v>130</v>
      </c>
      <c r="T263" s="175" t="str">
        <f>VLOOKUP($S263,Mapping!$C:$C,1,0)</f>
        <v>Manual</v>
      </c>
      <c r="U263" s="175"/>
      <c r="V263" s="175"/>
      <c r="W263" s="175"/>
      <c r="X263" s="175"/>
      <c r="Y263" s="174" t="s">
        <v>469</v>
      </c>
      <c r="Z263" s="174" t="s">
        <v>518</v>
      </c>
      <c r="AA263" s="174" t="s">
        <v>24</v>
      </c>
      <c r="AB263" s="174"/>
      <c r="AC263" s="174" t="s">
        <v>794</v>
      </c>
      <c r="AD263" s="174" t="s">
        <v>483</v>
      </c>
      <c r="AE263" s="175"/>
      <c r="AF263" s="175"/>
      <c r="AG263" s="176">
        <v>43164.756481481483</v>
      </c>
      <c r="AH263" s="176">
        <v>43164.756481481483</v>
      </c>
      <c r="AI263" s="174" t="s">
        <v>473</v>
      </c>
      <c r="AJ263" s="175"/>
      <c r="AK263" s="178">
        <v>1</v>
      </c>
    </row>
    <row r="264" spans="1:37" ht="15.95" customHeight="1" x14ac:dyDescent="0.25">
      <c r="A264" s="174" t="s">
        <v>461</v>
      </c>
      <c r="B264" s="174" t="s">
        <v>1295</v>
      </c>
      <c r="C264" s="175"/>
      <c r="D264" s="174" t="s">
        <v>463</v>
      </c>
      <c r="E264" s="174" t="s">
        <v>516</v>
      </c>
      <c r="F264" s="176">
        <v>43164</v>
      </c>
      <c r="G264" s="176">
        <v>43165</v>
      </c>
      <c r="H264" s="174" t="s">
        <v>1283</v>
      </c>
      <c r="I264" s="175" t="e">
        <f>VLOOKUP($H264,Mapping!$A:$A,1,0)</f>
        <v>#N/A</v>
      </c>
      <c r="J264" s="179" t="s">
        <v>486</v>
      </c>
      <c r="K264" s="174" t="s">
        <v>475</v>
      </c>
      <c r="L264" s="178">
        <v>52450000</v>
      </c>
      <c r="M264" s="178">
        <v>98.875</v>
      </c>
      <c r="N264" s="178">
        <v>2.8807705845</v>
      </c>
      <c r="O264" s="178">
        <v>-51935642.265193366</v>
      </c>
      <c r="P264" s="174" t="s">
        <v>337</v>
      </c>
      <c r="Q264" s="174" t="s">
        <v>476</v>
      </c>
      <c r="R264" s="174" t="s">
        <v>23</v>
      </c>
      <c r="S264" s="174" t="s">
        <v>130</v>
      </c>
      <c r="T264" s="175" t="str">
        <f>VLOOKUP($S264,Mapping!$C:$C,1,0)</f>
        <v>Manual</v>
      </c>
      <c r="U264" s="175"/>
      <c r="V264" s="175"/>
      <c r="W264" s="175"/>
      <c r="X264" s="175"/>
      <c r="Y264" s="174" t="s">
        <v>469</v>
      </c>
      <c r="Z264" s="174" t="s">
        <v>518</v>
      </c>
      <c r="AA264" s="174" t="s">
        <v>24</v>
      </c>
      <c r="AB264" s="174"/>
      <c r="AC264" s="174" t="s">
        <v>794</v>
      </c>
      <c r="AD264" s="174" t="s">
        <v>483</v>
      </c>
      <c r="AE264" s="175"/>
      <c r="AF264" s="175"/>
      <c r="AG264" s="176">
        <v>43164.756493055553</v>
      </c>
      <c r="AH264" s="176">
        <v>43164.756493055553</v>
      </c>
      <c r="AI264" s="174" t="s">
        <v>473</v>
      </c>
      <c r="AJ264" s="175"/>
      <c r="AK264" s="178">
        <v>1</v>
      </c>
    </row>
    <row r="265" spans="1:37" ht="15.95" customHeight="1" x14ac:dyDescent="0.25">
      <c r="A265" s="174" t="s">
        <v>461</v>
      </c>
      <c r="B265" s="174" t="s">
        <v>1296</v>
      </c>
      <c r="C265" s="175"/>
      <c r="D265" s="174" t="s">
        <v>463</v>
      </c>
      <c r="E265" s="174" t="s">
        <v>516</v>
      </c>
      <c r="F265" s="176">
        <v>43164</v>
      </c>
      <c r="G265" s="176">
        <v>43165</v>
      </c>
      <c r="H265" s="174" t="s">
        <v>1283</v>
      </c>
      <c r="I265" s="175" t="e">
        <f>VLOOKUP($H265,Mapping!$A:$A,1,0)</f>
        <v>#N/A</v>
      </c>
      <c r="J265" s="177" t="s">
        <v>466</v>
      </c>
      <c r="K265" s="174" t="s">
        <v>1195</v>
      </c>
      <c r="L265" s="178">
        <v>61000000</v>
      </c>
      <c r="M265" s="178">
        <v>93.1796875</v>
      </c>
      <c r="N265" s="178">
        <v>2.8927259644999999</v>
      </c>
      <c r="O265" s="178">
        <v>57213697.772790059</v>
      </c>
      <c r="P265" s="174" t="s">
        <v>337</v>
      </c>
      <c r="Q265" s="174" t="s">
        <v>1196</v>
      </c>
      <c r="R265" s="174" t="s">
        <v>23</v>
      </c>
      <c r="S265" s="174" t="s">
        <v>130</v>
      </c>
      <c r="T265" s="175" t="str">
        <f>VLOOKUP($S265,Mapping!$C:$C,1,0)</f>
        <v>Manual</v>
      </c>
      <c r="U265" s="175"/>
      <c r="V265" s="175"/>
      <c r="W265" s="175"/>
      <c r="X265" s="175"/>
      <c r="Y265" s="174" t="s">
        <v>469</v>
      </c>
      <c r="Z265" s="174" t="s">
        <v>518</v>
      </c>
      <c r="AA265" s="174" t="s">
        <v>24</v>
      </c>
      <c r="AB265" s="174"/>
      <c r="AC265" s="174" t="s">
        <v>794</v>
      </c>
      <c r="AD265" s="174" t="s">
        <v>483</v>
      </c>
      <c r="AE265" s="175"/>
      <c r="AF265" s="175"/>
      <c r="AG265" s="176">
        <v>43164.756504629629</v>
      </c>
      <c r="AH265" s="176">
        <v>43164.756504629629</v>
      </c>
      <c r="AI265" s="174" t="s">
        <v>473</v>
      </c>
      <c r="AJ265" s="175"/>
      <c r="AK265" s="178">
        <v>1</v>
      </c>
    </row>
    <row r="266" spans="1:37" ht="15.95" customHeight="1" x14ac:dyDescent="0.25">
      <c r="A266" s="174" t="s">
        <v>461</v>
      </c>
      <c r="B266" s="174" t="s">
        <v>1297</v>
      </c>
      <c r="C266" s="175"/>
      <c r="D266" s="174" t="s">
        <v>463</v>
      </c>
      <c r="E266" s="174" t="s">
        <v>516</v>
      </c>
      <c r="F266" s="176">
        <v>43164</v>
      </c>
      <c r="G266" s="176">
        <v>43165</v>
      </c>
      <c r="H266" s="174" t="s">
        <v>1283</v>
      </c>
      <c r="I266" s="175" t="e">
        <f>VLOOKUP($H266,Mapping!$A:$A,1,0)</f>
        <v>#N/A</v>
      </c>
      <c r="J266" s="179" t="s">
        <v>486</v>
      </c>
      <c r="K266" s="174" t="s">
        <v>475</v>
      </c>
      <c r="L266" s="178">
        <v>42700000</v>
      </c>
      <c r="M266" s="178">
        <v>98.875</v>
      </c>
      <c r="N266" s="178">
        <v>2.8807705845</v>
      </c>
      <c r="O266" s="178">
        <v>-42281256.906077348</v>
      </c>
      <c r="P266" s="174" t="s">
        <v>337</v>
      </c>
      <c r="Q266" s="174" t="s">
        <v>476</v>
      </c>
      <c r="R266" s="174" t="s">
        <v>23</v>
      </c>
      <c r="S266" s="174" t="s">
        <v>130</v>
      </c>
      <c r="T266" s="175" t="str">
        <f>VLOOKUP($S266,Mapping!$C:$C,1,0)</f>
        <v>Manual</v>
      </c>
      <c r="U266" s="175"/>
      <c r="V266" s="175"/>
      <c r="W266" s="175"/>
      <c r="X266" s="175"/>
      <c r="Y266" s="174" t="s">
        <v>469</v>
      </c>
      <c r="Z266" s="174" t="s">
        <v>518</v>
      </c>
      <c r="AA266" s="174" t="s">
        <v>24</v>
      </c>
      <c r="AB266" s="174"/>
      <c r="AC266" s="174" t="s">
        <v>794</v>
      </c>
      <c r="AD266" s="174" t="s">
        <v>483</v>
      </c>
      <c r="AE266" s="175"/>
      <c r="AF266" s="175"/>
      <c r="AG266" s="176">
        <v>43164.756516203706</v>
      </c>
      <c r="AH266" s="176">
        <v>43164.756516203706</v>
      </c>
      <c r="AI266" s="174" t="s">
        <v>473</v>
      </c>
      <c r="AJ266" s="175"/>
      <c r="AK266" s="178">
        <v>1</v>
      </c>
    </row>
    <row r="267" spans="1:37" ht="15.95" customHeight="1" x14ac:dyDescent="0.25">
      <c r="A267" s="174" t="s">
        <v>461</v>
      </c>
      <c r="B267" s="174" t="s">
        <v>1298</v>
      </c>
      <c r="C267" s="175"/>
      <c r="D267" s="174" t="s">
        <v>463</v>
      </c>
      <c r="E267" s="174" t="s">
        <v>516</v>
      </c>
      <c r="F267" s="176">
        <v>43164</v>
      </c>
      <c r="G267" s="176">
        <v>43165</v>
      </c>
      <c r="H267" s="174" t="s">
        <v>1283</v>
      </c>
      <c r="I267" s="175" t="e">
        <f>VLOOKUP($H267,Mapping!$A:$A,1,0)</f>
        <v>#N/A</v>
      </c>
      <c r="J267" s="177" t="s">
        <v>466</v>
      </c>
      <c r="K267" s="174" t="s">
        <v>1299</v>
      </c>
      <c r="L267" s="178">
        <v>53000000</v>
      </c>
      <c r="M267" s="178">
        <v>90.9296875</v>
      </c>
      <c r="N267" s="178">
        <v>2.8752556767000002</v>
      </c>
      <c r="O267" s="178">
        <v>48456819.319751374</v>
      </c>
      <c r="P267" s="174" t="s">
        <v>337</v>
      </c>
      <c r="Q267" s="174" t="s">
        <v>1300</v>
      </c>
      <c r="R267" s="174" t="s">
        <v>23</v>
      </c>
      <c r="S267" s="174" t="s">
        <v>130</v>
      </c>
      <c r="T267" s="175" t="str">
        <f>VLOOKUP($S267,Mapping!$C:$C,1,0)</f>
        <v>Manual</v>
      </c>
      <c r="U267" s="175"/>
      <c r="V267" s="175"/>
      <c r="W267" s="175"/>
      <c r="X267" s="175"/>
      <c r="Y267" s="174" t="s">
        <v>469</v>
      </c>
      <c r="Z267" s="174" t="s">
        <v>518</v>
      </c>
      <c r="AA267" s="174" t="s">
        <v>24</v>
      </c>
      <c r="AB267" s="174"/>
      <c r="AC267" s="174" t="s">
        <v>794</v>
      </c>
      <c r="AD267" s="174" t="s">
        <v>483</v>
      </c>
      <c r="AE267" s="175"/>
      <c r="AF267" s="175"/>
      <c r="AG267" s="176">
        <v>43164.756516203706</v>
      </c>
      <c r="AH267" s="176">
        <v>43164.756516203706</v>
      </c>
      <c r="AI267" s="174" t="s">
        <v>473</v>
      </c>
      <c r="AJ267" s="175"/>
      <c r="AK267" s="178">
        <v>1</v>
      </c>
    </row>
    <row r="268" spans="1:37" ht="15.95" customHeight="1" x14ac:dyDescent="0.25">
      <c r="A268" s="174" t="s">
        <v>461</v>
      </c>
      <c r="B268" s="174" t="s">
        <v>1301</v>
      </c>
      <c r="C268" s="175"/>
      <c r="D268" s="174" t="s">
        <v>463</v>
      </c>
      <c r="E268" s="174" t="s">
        <v>806</v>
      </c>
      <c r="F268" s="176">
        <v>43164</v>
      </c>
      <c r="G268" s="176">
        <v>43165</v>
      </c>
      <c r="H268" s="174" t="s">
        <v>1283</v>
      </c>
      <c r="I268" s="175" t="e">
        <f>VLOOKUP($H268,Mapping!$A:$A,1,0)</f>
        <v>#N/A</v>
      </c>
      <c r="J268" s="177" t="s">
        <v>466</v>
      </c>
      <c r="K268" s="174" t="s">
        <v>524</v>
      </c>
      <c r="L268" s="178">
        <v>10850000</v>
      </c>
      <c r="M268" s="178">
        <v>99.5</v>
      </c>
      <c r="N268" s="178">
        <v>2.4265748014000001</v>
      </c>
      <c r="O268" s="178">
        <v>10808563.190607728</v>
      </c>
      <c r="P268" s="174" t="s">
        <v>337</v>
      </c>
      <c r="Q268" s="174" t="s">
        <v>525</v>
      </c>
      <c r="R268" s="174" t="s">
        <v>23</v>
      </c>
      <c r="S268" s="174" t="s">
        <v>130</v>
      </c>
      <c r="T268" s="175" t="str">
        <f>VLOOKUP($S268,Mapping!$C:$C,1,0)</f>
        <v>Manual</v>
      </c>
      <c r="U268" s="175"/>
      <c r="V268" s="175"/>
      <c r="W268" s="175"/>
      <c r="X268" s="175"/>
      <c r="Y268" s="174" t="s">
        <v>469</v>
      </c>
      <c r="Z268" s="174" t="s">
        <v>809</v>
      </c>
      <c r="AA268" s="174" t="s">
        <v>24</v>
      </c>
      <c r="AB268" s="174"/>
      <c r="AC268" s="174" t="s">
        <v>794</v>
      </c>
      <c r="AD268" s="174" t="s">
        <v>483</v>
      </c>
      <c r="AE268" s="175"/>
      <c r="AF268" s="175"/>
      <c r="AG268" s="176">
        <v>43164.756516203706</v>
      </c>
      <c r="AH268" s="176">
        <v>43164.756516203706</v>
      </c>
      <c r="AI268" s="174" t="s">
        <v>473</v>
      </c>
      <c r="AJ268" s="175"/>
      <c r="AK268" s="178">
        <v>1</v>
      </c>
    </row>
    <row r="269" spans="1:37" ht="15.95" customHeight="1" x14ac:dyDescent="0.25">
      <c r="A269" s="174" t="s">
        <v>461</v>
      </c>
      <c r="B269" s="174" t="s">
        <v>1302</v>
      </c>
      <c r="C269" s="175"/>
      <c r="D269" s="174" t="s">
        <v>463</v>
      </c>
      <c r="E269" s="174" t="s">
        <v>806</v>
      </c>
      <c r="F269" s="176">
        <v>43164</v>
      </c>
      <c r="G269" s="176">
        <v>43165</v>
      </c>
      <c r="H269" s="174" t="s">
        <v>1283</v>
      </c>
      <c r="I269" s="175" t="e">
        <f>VLOOKUP($H269,Mapping!$A:$A,1,0)</f>
        <v>#N/A</v>
      </c>
      <c r="J269" s="179" t="s">
        <v>486</v>
      </c>
      <c r="K269" s="174" t="s">
        <v>1303</v>
      </c>
      <c r="L269" s="178">
        <v>10000000</v>
      </c>
      <c r="M269" s="178">
        <v>98.484375</v>
      </c>
      <c r="N269" s="178">
        <v>2.4898560397999998</v>
      </c>
      <c r="O269" s="178">
        <v>-9901184.7527472489</v>
      </c>
      <c r="P269" s="174" t="s">
        <v>337</v>
      </c>
      <c r="Q269" s="174" t="s">
        <v>1304</v>
      </c>
      <c r="R269" s="174" t="s">
        <v>23</v>
      </c>
      <c r="S269" s="174" t="s">
        <v>130</v>
      </c>
      <c r="T269" s="175" t="str">
        <f>VLOOKUP($S269,Mapping!$C:$C,1,0)</f>
        <v>Manual</v>
      </c>
      <c r="U269" s="175"/>
      <c r="V269" s="175"/>
      <c r="W269" s="175"/>
      <c r="X269" s="175"/>
      <c r="Y269" s="174" t="s">
        <v>469</v>
      </c>
      <c r="Z269" s="174" t="s">
        <v>809</v>
      </c>
      <c r="AA269" s="174" t="s">
        <v>24</v>
      </c>
      <c r="AB269" s="174"/>
      <c r="AC269" s="174" t="s">
        <v>794</v>
      </c>
      <c r="AD269" s="174" t="s">
        <v>483</v>
      </c>
      <c r="AE269" s="175"/>
      <c r="AF269" s="175"/>
      <c r="AG269" s="176">
        <v>43164.756527777776</v>
      </c>
      <c r="AH269" s="176">
        <v>43164.756527777776</v>
      </c>
      <c r="AI269" s="174" t="s">
        <v>473</v>
      </c>
      <c r="AJ269" s="175"/>
      <c r="AK269" s="178">
        <v>1</v>
      </c>
    </row>
    <row r="270" spans="1:37" ht="15.95" customHeight="1" x14ac:dyDescent="0.25">
      <c r="A270" s="174" t="s">
        <v>461</v>
      </c>
      <c r="B270" s="174" t="s">
        <v>1305</v>
      </c>
      <c r="C270" s="175"/>
      <c r="D270" s="174" t="s">
        <v>463</v>
      </c>
      <c r="E270" s="174" t="s">
        <v>806</v>
      </c>
      <c r="F270" s="176">
        <v>43164</v>
      </c>
      <c r="G270" s="176">
        <v>43165</v>
      </c>
      <c r="H270" s="174" t="s">
        <v>1283</v>
      </c>
      <c r="I270" s="175" t="e">
        <f>VLOOKUP($H270,Mapping!$A:$A,1,0)</f>
        <v>#N/A</v>
      </c>
      <c r="J270" s="179" t="s">
        <v>486</v>
      </c>
      <c r="K270" s="174" t="s">
        <v>508</v>
      </c>
      <c r="L270" s="178">
        <v>12550000</v>
      </c>
      <c r="M270" s="178">
        <v>99.5</v>
      </c>
      <c r="N270" s="178">
        <v>2.8293568444999999</v>
      </c>
      <c r="O270" s="178">
        <v>-12492877.03804348</v>
      </c>
      <c r="P270" s="174" t="s">
        <v>337</v>
      </c>
      <c r="Q270" s="174" t="s">
        <v>509</v>
      </c>
      <c r="R270" s="174" t="s">
        <v>23</v>
      </c>
      <c r="S270" s="174" t="s">
        <v>130</v>
      </c>
      <c r="T270" s="175" t="str">
        <f>VLOOKUP($S270,Mapping!$C:$C,1,0)</f>
        <v>Manual</v>
      </c>
      <c r="U270" s="175"/>
      <c r="V270" s="175"/>
      <c r="W270" s="175"/>
      <c r="X270" s="175"/>
      <c r="Y270" s="174" t="s">
        <v>469</v>
      </c>
      <c r="Z270" s="174" t="s">
        <v>809</v>
      </c>
      <c r="AA270" s="174" t="s">
        <v>24</v>
      </c>
      <c r="AB270" s="174"/>
      <c r="AC270" s="174" t="s">
        <v>794</v>
      </c>
      <c r="AD270" s="174" t="s">
        <v>483</v>
      </c>
      <c r="AE270" s="175"/>
      <c r="AF270" s="175"/>
      <c r="AG270" s="176">
        <v>43164.756527777776</v>
      </c>
      <c r="AH270" s="176">
        <v>43164.756527777776</v>
      </c>
      <c r="AI270" s="174" t="s">
        <v>473</v>
      </c>
      <c r="AJ270" s="175"/>
      <c r="AK270" s="178">
        <v>1</v>
      </c>
    </row>
    <row r="271" spans="1:37" ht="15.95" customHeight="1" x14ac:dyDescent="0.25">
      <c r="A271" s="174" t="s">
        <v>461</v>
      </c>
      <c r="B271" s="174" t="s">
        <v>1306</v>
      </c>
      <c r="C271" s="175"/>
      <c r="D271" s="174" t="s">
        <v>463</v>
      </c>
      <c r="E271" s="174" t="s">
        <v>806</v>
      </c>
      <c r="F271" s="176">
        <v>43164</v>
      </c>
      <c r="G271" s="176">
        <v>43165</v>
      </c>
      <c r="H271" s="174" t="s">
        <v>1283</v>
      </c>
      <c r="I271" s="175" t="e">
        <f>VLOOKUP($H271,Mapping!$A:$A,1,0)</f>
        <v>#N/A</v>
      </c>
      <c r="J271" s="177" t="s">
        <v>466</v>
      </c>
      <c r="K271" s="174" t="s">
        <v>1307</v>
      </c>
      <c r="L271" s="178">
        <v>15000000</v>
      </c>
      <c r="M271" s="178">
        <v>97.3125</v>
      </c>
      <c r="N271" s="178">
        <v>2.7525416674000001</v>
      </c>
      <c r="O271" s="178">
        <v>14657475.828729281</v>
      </c>
      <c r="P271" s="174" t="s">
        <v>337</v>
      </c>
      <c r="Q271" s="174" t="s">
        <v>1308</v>
      </c>
      <c r="R271" s="174" t="s">
        <v>23</v>
      </c>
      <c r="S271" s="174" t="s">
        <v>130</v>
      </c>
      <c r="T271" s="175" t="str">
        <f>VLOOKUP($S271,Mapping!$C:$C,1,0)</f>
        <v>Manual</v>
      </c>
      <c r="U271" s="175"/>
      <c r="V271" s="175"/>
      <c r="W271" s="175"/>
      <c r="X271" s="175"/>
      <c r="Y271" s="174" t="s">
        <v>469</v>
      </c>
      <c r="Z271" s="174" t="s">
        <v>809</v>
      </c>
      <c r="AA271" s="174" t="s">
        <v>24</v>
      </c>
      <c r="AB271" s="174"/>
      <c r="AC271" s="174" t="s">
        <v>794</v>
      </c>
      <c r="AD271" s="174" t="s">
        <v>483</v>
      </c>
      <c r="AE271" s="175"/>
      <c r="AF271" s="175"/>
      <c r="AG271" s="176">
        <v>43164.756539351853</v>
      </c>
      <c r="AH271" s="176">
        <v>43164.756539351853</v>
      </c>
      <c r="AI271" s="174" t="s">
        <v>473</v>
      </c>
      <c r="AJ271" s="175"/>
      <c r="AK271" s="178">
        <v>1</v>
      </c>
    </row>
    <row r="272" spans="1:37" ht="15.95" customHeight="1" x14ac:dyDescent="0.25">
      <c r="A272" s="174" t="s">
        <v>461</v>
      </c>
      <c r="B272" s="174" t="s">
        <v>1309</v>
      </c>
      <c r="C272" s="175"/>
      <c r="D272" s="174" t="s">
        <v>463</v>
      </c>
      <c r="E272" s="174" t="s">
        <v>553</v>
      </c>
      <c r="F272" s="176">
        <v>43164</v>
      </c>
      <c r="G272" s="176">
        <v>43165</v>
      </c>
      <c r="H272" s="174" t="s">
        <v>1283</v>
      </c>
      <c r="I272" s="175" t="e">
        <f>VLOOKUP($H272,Mapping!$A:$A,1,0)</f>
        <v>#N/A</v>
      </c>
      <c r="J272" s="177" t="s">
        <v>466</v>
      </c>
      <c r="K272" s="174" t="s">
        <v>1310</v>
      </c>
      <c r="L272" s="178">
        <v>10000000</v>
      </c>
      <c r="M272" s="178">
        <v>96.22265625</v>
      </c>
      <c r="N272" s="178">
        <v>2.4454257015</v>
      </c>
      <c r="O272" s="178">
        <v>9624099.8641304281</v>
      </c>
      <c r="P272" s="174" t="s">
        <v>337</v>
      </c>
      <c r="Q272" s="174" t="s">
        <v>1311</v>
      </c>
      <c r="R272" s="174" t="s">
        <v>23</v>
      </c>
      <c r="S272" s="174" t="s">
        <v>130</v>
      </c>
      <c r="T272" s="175" t="str">
        <f>VLOOKUP($S272,Mapping!$C:$C,1,0)</f>
        <v>Manual</v>
      </c>
      <c r="U272" s="175"/>
      <c r="V272" s="175"/>
      <c r="W272" s="175"/>
      <c r="X272" s="175"/>
      <c r="Y272" s="174" t="s">
        <v>469</v>
      </c>
      <c r="Z272" s="174" t="s">
        <v>555</v>
      </c>
      <c r="AA272" s="174" t="s">
        <v>24</v>
      </c>
      <c r="AB272" s="174"/>
      <c r="AC272" s="174" t="s">
        <v>794</v>
      </c>
      <c r="AD272" s="174" t="s">
        <v>483</v>
      </c>
      <c r="AE272" s="175"/>
      <c r="AF272" s="175"/>
      <c r="AG272" s="176">
        <v>43164.756550925929</v>
      </c>
      <c r="AH272" s="176">
        <v>43164.756550925929</v>
      </c>
      <c r="AI272" s="174" t="s">
        <v>473</v>
      </c>
      <c r="AJ272" s="175"/>
      <c r="AK272" s="178">
        <v>1</v>
      </c>
    </row>
    <row r="273" spans="1:37" ht="15.95" customHeight="1" x14ac:dyDescent="0.25">
      <c r="A273" s="174" t="s">
        <v>461</v>
      </c>
      <c r="B273" s="174" t="s">
        <v>1312</v>
      </c>
      <c r="C273" s="175"/>
      <c r="D273" s="174" t="s">
        <v>463</v>
      </c>
      <c r="E273" s="174" t="s">
        <v>553</v>
      </c>
      <c r="F273" s="176">
        <v>43164</v>
      </c>
      <c r="G273" s="176">
        <v>43165</v>
      </c>
      <c r="H273" s="174" t="s">
        <v>1283</v>
      </c>
      <c r="I273" s="175" t="e">
        <f>VLOOKUP($H273,Mapping!$A:$A,1,0)</f>
        <v>#N/A</v>
      </c>
      <c r="J273" s="179" t="s">
        <v>486</v>
      </c>
      <c r="K273" s="174" t="s">
        <v>524</v>
      </c>
      <c r="L273" s="178">
        <v>9900000</v>
      </c>
      <c r="M273" s="178">
        <v>99.5</v>
      </c>
      <c r="N273" s="178">
        <v>2.4265748014000001</v>
      </c>
      <c r="O273" s="178">
        <v>-9862191.298342539</v>
      </c>
      <c r="P273" s="174" t="s">
        <v>337</v>
      </c>
      <c r="Q273" s="174" t="s">
        <v>525</v>
      </c>
      <c r="R273" s="174" t="s">
        <v>23</v>
      </c>
      <c r="S273" s="174" t="s">
        <v>130</v>
      </c>
      <c r="T273" s="175" t="str">
        <f>VLOOKUP($S273,Mapping!$C:$C,1,0)</f>
        <v>Manual</v>
      </c>
      <c r="U273" s="175"/>
      <c r="V273" s="175"/>
      <c r="W273" s="175"/>
      <c r="X273" s="175"/>
      <c r="Y273" s="174" t="s">
        <v>469</v>
      </c>
      <c r="Z273" s="174" t="s">
        <v>555</v>
      </c>
      <c r="AA273" s="174" t="s">
        <v>24</v>
      </c>
      <c r="AB273" s="174"/>
      <c r="AC273" s="174" t="s">
        <v>794</v>
      </c>
      <c r="AD273" s="174" t="s">
        <v>483</v>
      </c>
      <c r="AE273" s="175"/>
      <c r="AF273" s="175"/>
      <c r="AG273" s="176">
        <v>43164.756550925929</v>
      </c>
      <c r="AH273" s="176">
        <v>43164.756550925929</v>
      </c>
      <c r="AI273" s="174" t="s">
        <v>473</v>
      </c>
      <c r="AJ273" s="175"/>
      <c r="AK273" s="178">
        <v>1</v>
      </c>
    </row>
    <row r="274" spans="1:37" ht="15.95" customHeight="1" x14ac:dyDescent="0.25">
      <c r="A274" s="174" t="s">
        <v>461</v>
      </c>
      <c r="B274" s="174" t="s">
        <v>1313</v>
      </c>
      <c r="C274" s="175"/>
      <c r="D274" s="174" t="s">
        <v>463</v>
      </c>
      <c r="E274" s="174" t="s">
        <v>553</v>
      </c>
      <c r="F274" s="176">
        <v>43164</v>
      </c>
      <c r="G274" s="176">
        <v>43165</v>
      </c>
      <c r="H274" s="174" t="s">
        <v>1283</v>
      </c>
      <c r="I274" s="175" t="e">
        <f>VLOOKUP($H274,Mapping!$A:$A,1,0)</f>
        <v>#N/A</v>
      </c>
      <c r="J274" s="179" t="s">
        <v>486</v>
      </c>
      <c r="K274" s="174" t="s">
        <v>798</v>
      </c>
      <c r="L274" s="178">
        <v>10000000</v>
      </c>
      <c r="M274" s="178">
        <v>98.841796875</v>
      </c>
      <c r="N274" s="178">
        <v>2.4208878978000001</v>
      </c>
      <c r="O274" s="178">
        <v>-9911803.9968922697</v>
      </c>
      <c r="P274" s="174" t="s">
        <v>337</v>
      </c>
      <c r="Q274" s="174" t="s">
        <v>799</v>
      </c>
      <c r="R274" s="174" t="s">
        <v>23</v>
      </c>
      <c r="S274" s="174" t="s">
        <v>130</v>
      </c>
      <c r="T274" s="175" t="str">
        <f>VLOOKUP($S274,Mapping!$C:$C,1,0)</f>
        <v>Manual</v>
      </c>
      <c r="U274" s="175"/>
      <c r="V274" s="175"/>
      <c r="W274" s="175"/>
      <c r="X274" s="175"/>
      <c r="Y274" s="174" t="s">
        <v>469</v>
      </c>
      <c r="Z274" s="174" t="s">
        <v>555</v>
      </c>
      <c r="AA274" s="174" t="s">
        <v>24</v>
      </c>
      <c r="AB274" s="174"/>
      <c r="AC274" s="174" t="s">
        <v>794</v>
      </c>
      <c r="AD274" s="174" t="s">
        <v>483</v>
      </c>
      <c r="AE274" s="175"/>
      <c r="AF274" s="175"/>
      <c r="AG274" s="176">
        <v>43164.756562499999</v>
      </c>
      <c r="AH274" s="176">
        <v>43164.756562499999</v>
      </c>
      <c r="AI274" s="174" t="s">
        <v>473</v>
      </c>
      <c r="AJ274" s="175"/>
      <c r="AK274" s="178">
        <v>1</v>
      </c>
    </row>
    <row r="275" spans="1:37" ht="15.95" customHeight="1" x14ac:dyDescent="0.25">
      <c r="A275" s="174" t="s">
        <v>461</v>
      </c>
      <c r="B275" s="174" t="s">
        <v>1314</v>
      </c>
      <c r="C275" s="175"/>
      <c r="D275" s="174" t="s">
        <v>463</v>
      </c>
      <c r="E275" s="174" t="s">
        <v>553</v>
      </c>
      <c r="F275" s="176">
        <v>43164</v>
      </c>
      <c r="G275" s="176">
        <v>43165</v>
      </c>
      <c r="H275" s="174" t="s">
        <v>1283</v>
      </c>
      <c r="I275" s="175" t="e">
        <f>VLOOKUP($H275,Mapping!$A:$A,1,0)</f>
        <v>#N/A</v>
      </c>
      <c r="J275" s="177" t="s">
        <v>466</v>
      </c>
      <c r="K275" s="174" t="s">
        <v>524</v>
      </c>
      <c r="L275" s="178">
        <v>9700000</v>
      </c>
      <c r="M275" s="178">
        <v>99.5</v>
      </c>
      <c r="N275" s="178">
        <v>2.4265748014000001</v>
      </c>
      <c r="O275" s="178">
        <v>9662955.1104972381</v>
      </c>
      <c r="P275" s="174" t="s">
        <v>337</v>
      </c>
      <c r="Q275" s="174" t="s">
        <v>525</v>
      </c>
      <c r="R275" s="174" t="s">
        <v>23</v>
      </c>
      <c r="S275" s="174" t="s">
        <v>130</v>
      </c>
      <c r="T275" s="175" t="str">
        <f>VLOOKUP($S275,Mapping!$C:$C,1,0)</f>
        <v>Manual</v>
      </c>
      <c r="U275" s="175"/>
      <c r="V275" s="175"/>
      <c r="W275" s="175"/>
      <c r="X275" s="175"/>
      <c r="Y275" s="174" t="s">
        <v>469</v>
      </c>
      <c r="Z275" s="174" t="s">
        <v>555</v>
      </c>
      <c r="AA275" s="174" t="s">
        <v>24</v>
      </c>
      <c r="AB275" s="174"/>
      <c r="AC275" s="174" t="s">
        <v>794</v>
      </c>
      <c r="AD275" s="174" t="s">
        <v>483</v>
      </c>
      <c r="AE275" s="175"/>
      <c r="AF275" s="175"/>
      <c r="AG275" s="176">
        <v>43164.756562499999</v>
      </c>
      <c r="AH275" s="176">
        <v>43164.756562499999</v>
      </c>
      <c r="AI275" s="174" t="s">
        <v>473</v>
      </c>
      <c r="AJ275" s="175"/>
      <c r="AK275" s="178">
        <v>1</v>
      </c>
    </row>
    <row r="276" spans="1:37" ht="15.95" customHeight="1" x14ac:dyDescent="0.25">
      <c r="A276" s="174" t="s">
        <v>461</v>
      </c>
      <c r="B276" s="174" t="s">
        <v>1315</v>
      </c>
      <c r="C276" s="175"/>
      <c r="D276" s="174" t="s">
        <v>463</v>
      </c>
      <c r="E276" s="174" t="s">
        <v>806</v>
      </c>
      <c r="F276" s="176">
        <v>43164</v>
      </c>
      <c r="G276" s="176">
        <v>43165</v>
      </c>
      <c r="H276" s="174" t="s">
        <v>1283</v>
      </c>
      <c r="I276" s="175" t="e">
        <f>VLOOKUP($H276,Mapping!$A:$A,1,0)</f>
        <v>#N/A</v>
      </c>
      <c r="J276" s="179" t="s">
        <v>486</v>
      </c>
      <c r="K276" s="174" t="s">
        <v>467</v>
      </c>
      <c r="L276" s="178">
        <v>23500000</v>
      </c>
      <c r="M276" s="178">
        <v>99.75</v>
      </c>
      <c r="N276" s="178">
        <v>2.6788620698000001</v>
      </c>
      <c r="O276" s="178">
        <v>-23451307.744565219</v>
      </c>
      <c r="P276" s="174" t="s">
        <v>337</v>
      </c>
      <c r="Q276" s="174" t="s">
        <v>468</v>
      </c>
      <c r="R276" s="174" t="s">
        <v>23</v>
      </c>
      <c r="S276" s="174" t="s">
        <v>130</v>
      </c>
      <c r="T276" s="175" t="str">
        <f>VLOOKUP($S276,Mapping!$C:$C,1,0)</f>
        <v>Manual</v>
      </c>
      <c r="U276" s="175"/>
      <c r="V276" s="175"/>
      <c r="W276" s="175"/>
      <c r="X276" s="175"/>
      <c r="Y276" s="174" t="s">
        <v>469</v>
      </c>
      <c r="Z276" s="174" t="s">
        <v>809</v>
      </c>
      <c r="AA276" s="174" t="s">
        <v>24</v>
      </c>
      <c r="AB276" s="174"/>
      <c r="AC276" s="174" t="s">
        <v>794</v>
      </c>
      <c r="AD276" s="174" t="s">
        <v>483</v>
      </c>
      <c r="AE276" s="175"/>
      <c r="AF276" s="175"/>
      <c r="AG276" s="176">
        <v>43164.756562499999</v>
      </c>
      <c r="AH276" s="176">
        <v>43164.756562499999</v>
      </c>
      <c r="AI276" s="174" t="s">
        <v>473</v>
      </c>
      <c r="AJ276" s="175"/>
      <c r="AK276" s="178">
        <v>1</v>
      </c>
    </row>
    <row r="277" spans="1:37" ht="15.95" customHeight="1" x14ac:dyDescent="0.25">
      <c r="A277" s="174" t="s">
        <v>461</v>
      </c>
      <c r="B277" s="174" t="s">
        <v>1316</v>
      </c>
      <c r="C277" s="175"/>
      <c r="D277" s="174" t="s">
        <v>463</v>
      </c>
      <c r="E277" s="174" t="s">
        <v>806</v>
      </c>
      <c r="F277" s="176">
        <v>43164</v>
      </c>
      <c r="G277" s="176">
        <v>43165</v>
      </c>
      <c r="H277" s="174" t="s">
        <v>1283</v>
      </c>
      <c r="I277" s="175" t="e">
        <f>VLOOKUP($H277,Mapping!$A:$A,1,0)</f>
        <v>#N/A</v>
      </c>
      <c r="J277" s="177" t="s">
        <v>466</v>
      </c>
      <c r="K277" s="174" t="s">
        <v>1317</v>
      </c>
      <c r="L277" s="178">
        <v>25000000</v>
      </c>
      <c r="M277" s="178">
        <v>97.0625</v>
      </c>
      <c r="N277" s="178">
        <v>2.6639062905999999</v>
      </c>
      <c r="O277" s="178">
        <v>24397004.881868128</v>
      </c>
      <c r="P277" s="174" t="s">
        <v>337</v>
      </c>
      <c r="Q277" s="174" t="s">
        <v>1318</v>
      </c>
      <c r="R277" s="174" t="s">
        <v>23</v>
      </c>
      <c r="S277" s="174" t="s">
        <v>130</v>
      </c>
      <c r="T277" s="175" t="str">
        <f>VLOOKUP($S277,Mapping!$C:$C,1,0)</f>
        <v>Manual</v>
      </c>
      <c r="U277" s="175"/>
      <c r="V277" s="175"/>
      <c r="W277" s="175"/>
      <c r="X277" s="175"/>
      <c r="Y277" s="174" t="s">
        <v>469</v>
      </c>
      <c r="Z277" s="174" t="s">
        <v>809</v>
      </c>
      <c r="AA277" s="174" t="s">
        <v>24</v>
      </c>
      <c r="AB277" s="174"/>
      <c r="AC277" s="174" t="s">
        <v>794</v>
      </c>
      <c r="AD277" s="174" t="s">
        <v>483</v>
      </c>
      <c r="AE277" s="175"/>
      <c r="AF277" s="175"/>
      <c r="AG277" s="176">
        <v>43164.756574074076</v>
      </c>
      <c r="AH277" s="176">
        <v>43164.756574074076</v>
      </c>
      <c r="AI277" s="174" t="s">
        <v>473</v>
      </c>
      <c r="AJ277" s="175"/>
      <c r="AK277" s="178">
        <v>1</v>
      </c>
    </row>
    <row r="278" spans="1:37" ht="15.95" customHeight="1" x14ac:dyDescent="0.25">
      <c r="A278" s="174" t="s">
        <v>461</v>
      </c>
      <c r="B278" s="174" t="s">
        <v>1319</v>
      </c>
      <c r="C278" s="175"/>
      <c r="D278" s="174" t="s">
        <v>463</v>
      </c>
      <c r="E278" s="174" t="s">
        <v>553</v>
      </c>
      <c r="F278" s="176">
        <v>43164</v>
      </c>
      <c r="G278" s="176">
        <v>43165</v>
      </c>
      <c r="H278" s="174" t="s">
        <v>1283</v>
      </c>
      <c r="I278" s="175" t="e">
        <f>VLOOKUP($H278,Mapping!$A:$A,1,0)</f>
        <v>#N/A</v>
      </c>
      <c r="J278" s="177" t="s">
        <v>466</v>
      </c>
      <c r="K278" s="174" t="s">
        <v>1320</v>
      </c>
      <c r="L278" s="178">
        <v>75000000</v>
      </c>
      <c r="M278" s="178">
        <v>96.564499999999995</v>
      </c>
      <c r="N278" s="178">
        <v>2.8164549539000001</v>
      </c>
      <c r="O278" s="178">
        <v>72940812.845303878</v>
      </c>
      <c r="P278" s="174" t="s">
        <v>337</v>
      </c>
      <c r="Q278" s="174" t="s">
        <v>1321</v>
      </c>
      <c r="R278" s="174" t="s">
        <v>23</v>
      </c>
      <c r="S278" s="174" t="s">
        <v>130</v>
      </c>
      <c r="T278" s="175" t="str">
        <f>VLOOKUP($S278,Mapping!$C:$C,1,0)</f>
        <v>Manual</v>
      </c>
      <c r="U278" s="175"/>
      <c r="V278" s="175"/>
      <c r="W278" s="175"/>
      <c r="X278" s="175"/>
      <c r="Y278" s="174" t="s">
        <v>469</v>
      </c>
      <c r="Z278" s="174" t="s">
        <v>555</v>
      </c>
      <c r="AA278" s="174" t="s">
        <v>24</v>
      </c>
      <c r="AB278" s="174"/>
      <c r="AC278" s="174" t="s">
        <v>794</v>
      </c>
      <c r="AD278" s="174" t="s">
        <v>483</v>
      </c>
      <c r="AE278" s="175"/>
      <c r="AF278" s="175"/>
      <c r="AG278" s="176">
        <v>43164.756574074076</v>
      </c>
      <c r="AH278" s="176">
        <v>43164.756574074076</v>
      </c>
      <c r="AI278" s="174" t="s">
        <v>473</v>
      </c>
      <c r="AJ278" s="175"/>
      <c r="AK278" s="178">
        <v>1</v>
      </c>
    </row>
    <row r="279" spans="1:37" ht="15.95" customHeight="1" x14ac:dyDescent="0.25">
      <c r="A279" s="174" t="s">
        <v>461</v>
      </c>
      <c r="B279" s="174" t="s">
        <v>1325</v>
      </c>
      <c r="C279" s="175"/>
      <c r="D279" s="174" t="s">
        <v>463</v>
      </c>
      <c r="E279" s="174" t="s">
        <v>516</v>
      </c>
      <c r="F279" s="176">
        <v>43164</v>
      </c>
      <c r="G279" s="176">
        <v>43165</v>
      </c>
      <c r="H279" s="174" t="s">
        <v>1322</v>
      </c>
      <c r="I279" s="175" t="e">
        <f>VLOOKUP($H279,Mapping!$A:$A,1,0)</f>
        <v>#N/A</v>
      </c>
      <c r="J279" s="177" t="s">
        <v>466</v>
      </c>
      <c r="K279" s="174" t="s">
        <v>467</v>
      </c>
      <c r="L279" s="178">
        <v>7000000</v>
      </c>
      <c r="M279" s="178">
        <v>100.08259</v>
      </c>
      <c r="N279" s="178">
        <v>2.6071627901999999</v>
      </c>
      <c r="O279" s="178">
        <v>7008777.22391304</v>
      </c>
      <c r="P279" s="174" t="s">
        <v>337</v>
      </c>
      <c r="Q279" s="174" t="s">
        <v>468</v>
      </c>
      <c r="R279" s="174" t="s">
        <v>23</v>
      </c>
      <c r="S279" s="174" t="s">
        <v>130</v>
      </c>
      <c r="T279" s="175" t="str">
        <f>VLOOKUP($S279,Mapping!$C:$C,1,0)</f>
        <v>Manual</v>
      </c>
      <c r="U279" s="175"/>
      <c r="V279" s="175"/>
      <c r="W279" s="175"/>
      <c r="X279" s="175"/>
      <c r="Y279" s="174" t="s">
        <v>469</v>
      </c>
      <c r="Z279" s="174" t="s">
        <v>518</v>
      </c>
      <c r="AA279" s="174" t="s">
        <v>24</v>
      </c>
      <c r="AB279" s="174"/>
      <c r="AC279" s="174" t="s">
        <v>794</v>
      </c>
      <c r="AD279" s="174" t="s">
        <v>483</v>
      </c>
      <c r="AE279" s="175"/>
      <c r="AF279" s="175"/>
      <c r="AG279" s="176">
        <v>43164.756585648145</v>
      </c>
      <c r="AH279" s="176">
        <v>43164.756585648145</v>
      </c>
      <c r="AI279" s="174" t="s">
        <v>473</v>
      </c>
      <c r="AJ279" s="175"/>
      <c r="AK279" s="178">
        <v>1</v>
      </c>
    </row>
    <row r="280" spans="1:37" ht="15.95" customHeight="1" x14ac:dyDescent="0.25">
      <c r="A280" s="174" t="s">
        <v>461</v>
      </c>
      <c r="B280" s="174" t="s">
        <v>1326</v>
      </c>
      <c r="C280" s="175"/>
      <c r="D280" s="174" t="s">
        <v>463</v>
      </c>
      <c r="E280" s="174" t="s">
        <v>516</v>
      </c>
      <c r="F280" s="176">
        <v>43164</v>
      </c>
      <c r="G280" s="176">
        <v>43165</v>
      </c>
      <c r="H280" s="174" t="s">
        <v>1322</v>
      </c>
      <c r="I280" s="175" t="e">
        <f>VLOOKUP($H280,Mapping!$A:$A,1,0)</f>
        <v>#N/A</v>
      </c>
      <c r="J280" s="177" t="s">
        <v>466</v>
      </c>
      <c r="K280" s="174" t="s">
        <v>524</v>
      </c>
      <c r="L280" s="178">
        <v>12000000</v>
      </c>
      <c r="M280" s="178">
        <v>99.62988</v>
      </c>
      <c r="N280" s="178">
        <v>2.3805521372</v>
      </c>
      <c r="O280" s="178">
        <v>11969756.870718231</v>
      </c>
      <c r="P280" s="174" t="s">
        <v>337</v>
      </c>
      <c r="Q280" s="174" t="s">
        <v>525</v>
      </c>
      <c r="R280" s="174" t="s">
        <v>23</v>
      </c>
      <c r="S280" s="174" t="s">
        <v>130</v>
      </c>
      <c r="T280" s="175" t="str">
        <f>VLOOKUP($S280,Mapping!$C:$C,1,0)</f>
        <v>Manual</v>
      </c>
      <c r="U280" s="175"/>
      <c r="V280" s="175"/>
      <c r="W280" s="175"/>
      <c r="X280" s="175"/>
      <c r="Y280" s="174" t="s">
        <v>469</v>
      </c>
      <c r="Z280" s="174" t="s">
        <v>518</v>
      </c>
      <c r="AA280" s="174" t="s">
        <v>24</v>
      </c>
      <c r="AB280" s="174"/>
      <c r="AC280" s="174" t="s">
        <v>794</v>
      </c>
      <c r="AD280" s="174" t="s">
        <v>483</v>
      </c>
      <c r="AE280" s="175"/>
      <c r="AF280" s="175"/>
      <c r="AG280" s="176">
        <v>43164.756597222222</v>
      </c>
      <c r="AH280" s="176">
        <v>43164.756597222222</v>
      </c>
      <c r="AI280" s="174" t="s">
        <v>473</v>
      </c>
      <c r="AJ280" s="175"/>
      <c r="AK280" s="178">
        <v>1</v>
      </c>
    </row>
    <row r="281" spans="1:37" ht="15.95" customHeight="1" x14ac:dyDescent="0.25">
      <c r="A281" s="174" t="s">
        <v>461</v>
      </c>
      <c r="B281" s="174" t="s">
        <v>1327</v>
      </c>
      <c r="C281" s="175"/>
      <c r="D281" s="174" t="s">
        <v>463</v>
      </c>
      <c r="E281" s="174" t="s">
        <v>676</v>
      </c>
      <c r="F281" s="176">
        <v>43164</v>
      </c>
      <c r="G281" s="176">
        <v>43165</v>
      </c>
      <c r="H281" s="174" t="s">
        <v>1322</v>
      </c>
      <c r="I281" s="175" t="e">
        <f>VLOOKUP($H281,Mapping!$A:$A,1,0)</f>
        <v>#N/A</v>
      </c>
      <c r="J281" s="179" t="s">
        <v>486</v>
      </c>
      <c r="K281" s="174" t="s">
        <v>475</v>
      </c>
      <c r="L281" s="178">
        <v>2900000</v>
      </c>
      <c r="M281" s="178">
        <v>99.496089999999995</v>
      </c>
      <c r="N281" s="178">
        <v>2.8083098937000002</v>
      </c>
      <c r="O281" s="178">
        <v>-2889572.3834806602</v>
      </c>
      <c r="P281" s="174" t="s">
        <v>337</v>
      </c>
      <c r="Q281" s="174" t="s">
        <v>476</v>
      </c>
      <c r="R281" s="174" t="s">
        <v>23</v>
      </c>
      <c r="S281" s="174" t="s">
        <v>130</v>
      </c>
      <c r="T281" s="175" t="str">
        <f>VLOOKUP($S281,Mapping!$C:$C,1,0)</f>
        <v>Manual</v>
      </c>
      <c r="U281" s="175"/>
      <c r="V281" s="175"/>
      <c r="W281" s="175"/>
      <c r="X281" s="175"/>
      <c r="Y281" s="174" t="s">
        <v>469</v>
      </c>
      <c r="Z281" s="174" t="s">
        <v>683</v>
      </c>
      <c r="AA281" s="174" t="s">
        <v>24</v>
      </c>
      <c r="AB281" s="174"/>
      <c r="AC281" s="174" t="s">
        <v>794</v>
      </c>
      <c r="AD281" s="174" t="s">
        <v>483</v>
      </c>
      <c r="AE281" s="175"/>
      <c r="AF281" s="175"/>
      <c r="AG281" s="176">
        <v>43164.756608796299</v>
      </c>
      <c r="AH281" s="176">
        <v>43164.756608796299</v>
      </c>
      <c r="AI281" s="174" t="s">
        <v>473</v>
      </c>
      <c r="AJ281" s="175"/>
      <c r="AK281" s="178">
        <v>1</v>
      </c>
    </row>
    <row r="282" spans="1:37" ht="15.95" customHeight="1" x14ac:dyDescent="0.25">
      <c r="A282" s="174" t="s">
        <v>461</v>
      </c>
      <c r="B282" s="174" t="s">
        <v>1328</v>
      </c>
      <c r="C282" s="175"/>
      <c r="D282" s="174" t="s">
        <v>463</v>
      </c>
      <c r="E282" s="174" t="s">
        <v>516</v>
      </c>
      <c r="F282" s="176">
        <v>43164</v>
      </c>
      <c r="G282" s="176">
        <v>43165</v>
      </c>
      <c r="H282" s="174" t="s">
        <v>1322</v>
      </c>
      <c r="I282" s="175" t="e">
        <f>VLOOKUP($H282,Mapping!$A:$A,1,0)</f>
        <v>#N/A</v>
      </c>
      <c r="J282" s="177" t="s">
        <v>466</v>
      </c>
      <c r="K282" s="174" t="s">
        <v>467</v>
      </c>
      <c r="L282" s="178">
        <v>251000000</v>
      </c>
      <c r="M282" s="178">
        <v>100.10478999999999</v>
      </c>
      <c r="N282" s="178">
        <v>2.6023866448000001</v>
      </c>
      <c r="O282" s="178">
        <v>251370448.17173913</v>
      </c>
      <c r="P282" s="174" t="s">
        <v>337</v>
      </c>
      <c r="Q282" s="174" t="s">
        <v>468</v>
      </c>
      <c r="R282" s="174" t="s">
        <v>23</v>
      </c>
      <c r="S282" s="174" t="s">
        <v>130</v>
      </c>
      <c r="T282" s="175" t="str">
        <f>VLOOKUP($S282,Mapping!$C:$C,1,0)</f>
        <v>Manual</v>
      </c>
      <c r="U282" s="175"/>
      <c r="V282" s="175"/>
      <c r="W282" s="175"/>
      <c r="X282" s="175"/>
      <c r="Y282" s="174" t="s">
        <v>469</v>
      </c>
      <c r="Z282" s="174" t="s">
        <v>518</v>
      </c>
      <c r="AA282" s="174" t="s">
        <v>24</v>
      </c>
      <c r="AB282" s="174"/>
      <c r="AC282" s="174" t="s">
        <v>794</v>
      </c>
      <c r="AD282" s="174" t="s">
        <v>483</v>
      </c>
      <c r="AE282" s="175"/>
      <c r="AF282" s="175"/>
      <c r="AG282" s="176">
        <v>43164.756620370368</v>
      </c>
      <c r="AH282" s="176">
        <v>43164.756620370368</v>
      </c>
      <c r="AI282" s="174" t="s">
        <v>473</v>
      </c>
      <c r="AJ282" s="175"/>
      <c r="AK282" s="178">
        <v>1</v>
      </c>
    </row>
    <row r="283" spans="1:37" ht="15.95" customHeight="1" x14ac:dyDescent="0.25">
      <c r="A283" s="174" t="s">
        <v>461</v>
      </c>
      <c r="B283" s="174" t="s">
        <v>1329</v>
      </c>
      <c r="C283" s="175"/>
      <c r="D283" s="174" t="s">
        <v>463</v>
      </c>
      <c r="E283" s="174" t="s">
        <v>516</v>
      </c>
      <c r="F283" s="176">
        <v>43164</v>
      </c>
      <c r="G283" s="176">
        <v>43165</v>
      </c>
      <c r="H283" s="174" t="s">
        <v>1322</v>
      </c>
      <c r="I283" s="175" t="e">
        <f>VLOOKUP($H283,Mapping!$A:$A,1,0)</f>
        <v>#N/A</v>
      </c>
      <c r="J283" s="177" t="s">
        <v>466</v>
      </c>
      <c r="K283" s="174" t="s">
        <v>524</v>
      </c>
      <c r="L283" s="178">
        <v>434000000</v>
      </c>
      <c r="M283" s="178">
        <v>99.657120000000006</v>
      </c>
      <c r="N283" s="178">
        <v>2.3709087718999999</v>
      </c>
      <c r="O283" s="178">
        <v>433024428.42430937</v>
      </c>
      <c r="P283" s="174" t="s">
        <v>337</v>
      </c>
      <c r="Q283" s="174" t="s">
        <v>525</v>
      </c>
      <c r="R283" s="174" t="s">
        <v>23</v>
      </c>
      <c r="S283" s="174" t="s">
        <v>130</v>
      </c>
      <c r="T283" s="175" t="str">
        <f>VLOOKUP($S283,Mapping!$C:$C,1,0)</f>
        <v>Manual</v>
      </c>
      <c r="U283" s="175"/>
      <c r="V283" s="175"/>
      <c r="W283" s="175"/>
      <c r="X283" s="175"/>
      <c r="Y283" s="174" t="s">
        <v>469</v>
      </c>
      <c r="Z283" s="174" t="s">
        <v>518</v>
      </c>
      <c r="AA283" s="174" t="s">
        <v>24</v>
      </c>
      <c r="AB283" s="174"/>
      <c r="AC283" s="174" t="s">
        <v>794</v>
      </c>
      <c r="AD283" s="174" t="s">
        <v>483</v>
      </c>
      <c r="AE283" s="175"/>
      <c r="AF283" s="175"/>
      <c r="AG283" s="176">
        <v>43164.756631944445</v>
      </c>
      <c r="AH283" s="176">
        <v>43164.756631944445</v>
      </c>
      <c r="AI283" s="174" t="s">
        <v>473</v>
      </c>
      <c r="AJ283" s="175"/>
      <c r="AK283" s="178">
        <v>1</v>
      </c>
    </row>
    <row r="284" spans="1:37" ht="15.95" customHeight="1" x14ac:dyDescent="0.25">
      <c r="A284" s="174" t="s">
        <v>461</v>
      </c>
      <c r="B284" s="174" t="s">
        <v>1330</v>
      </c>
      <c r="C284" s="175"/>
      <c r="D284" s="174" t="s">
        <v>463</v>
      </c>
      <c r="E284" s="174" t="s">
        <v>516</v>
      </c>
      <c r="F284" s="176">
        <v>43164</v>
      </c>
      <c r="G284" s="176">
        <v>43165</v>
      </c>
      <c r="H284" s="174" t="s">
        <v>1322</v>
      </c>
      <c r="I284" s="175" t="e">
        <f>VLOOKUP($H284,Mapping!$A:$A,1,0)</f>
        <v>#N/A</v>
      </c>
      <c r="J284" s="177" t="s">
        <v>466</v>
      </c>
      <c r="K284" s="174" t="s">
        <v>475</v>
      </c>
      <c r="L284" s="178">
        <v>80000000</v>
      </c>
      <c r="M284" s="178">
        <v>99.160300000000007</v>
      </c>
      <c r="N284" s="178">
        <v>2.8474212239000001</v>
      </c>
      <c r="O284" s="178">
        <v>79443709.613259673</v>
      </c>
      <c r="P284" s="174" t="s">
        <v>337</v>
      </c>
      <c r="Q284" s="174" t="s">
        <v>476</v>
      </c>
      <c r="R284" s="174" t="s">
        <v>23</v>
      </c>
      <c r="S284" s="174" t="s">
        <v>130</v>
      </c>
      <c r="T284" s="175" t="str">
        <f>VLOOKUP($S284,Mapping!$C:$C,1,0)</f>
        <v>Manual</v>
      </c>
      <c r="U284" s="175"/>
      <c r="V284" s="175"/>
      <c r="W284" s="175"/>
      <c r="X284" s="175"/>
      <c r="Y284" s="174" t="s">
        <v>469</v>
      </c>
      <c r="Z284" s="174" t="s">
        <v>518</v>
      </c>
      <c r="AA284" s="174" t="s">
        <v>24</v>
      </c>
      <c r="AB284" s="174"/>
      <c r="AC284" s="174" t="s">
        <v>794</v>
      </c>
      <c r="AD284" s="174" t="s">
        <v>483</v>
      </c>
      <c r="AE284" s="175"/>
      <c r="AF284" s="175"/>
      <c r="AG284" s="176">
        <v>43164.756643518522</v>
      </c>
      <c r="AH284" s="176">
        <v>43164.756643518522</v>
      </c>
      <c r="AI284" s="174" t="s">
        <v>473</v>
      </c>
      <c r="AJ284" s="175"/>
      <c r="AK284" s="178">
        <v>1</v>
      </c>
    </row>
    <row r="285" spans="1:37" ht="15.95" customHeight="1" x14ac:dyDescent="0.25">
      <c r="A285" s="174" t="s">
        <v>461</v>
      </c>
      <c r="B285" s="174" t="s">
        <v>1331</v>
      </c>
      <c r="C285" s="175"/>
      <c r="D285" s="174" t="s">
        <v>463</v>
      </c>
      <c r="E285" s="174" t="s">
        <v>516</v>
      </c>
      <c r="F285" s="176">
        <v>43164</v>
      </c>
      <c r="G285" s="176">
        <v>43165</v>
      </c>
      <c r="H285" s="174" t="s">
        <v>1322</v>
      </c>
      <c r="I285" s="175" t="e">
        <f>VLOOKUP($H285,Mapping!$A:$A,1,0)</f>
        <v>#N/A</v>
      </c>
      <c r="J285" s="177" t="s">
        <v>466</v>
      </c>
      <c r="K285" s="174" t="s">
        <v>475</v>
      </c>
      <c r="L285" s="178">
        <v>40000000</v>
      </c>
      <c r="M285" s="178">
        <v>99.014600000000002</v>
      </c>
      <c r="N285" s="178">
        <v>2.8644387309999999</v>
      </c>
      <c r="O285" s="178">
        <v>39663574.806629829</v>
      </c>
      <c r="P285" s="174" t="s">
        <v>337</v>
      </c>
      <c r="Q285" s="174" t="s">
        <v>476</v>
      </c>
      <c r="R285" s="174" t="s">
        <v>23</v>
      </c>
      <c r="S285" s="174" t="s">
        <v>130</v>
      </c>
      <c r="T285" s="175" t="str">
        <f>VLOOKUP($S285,Mapping!$C:$C,1,0)</f>
        <v>Manual</v>
      </c>
      <c r="U285" s="175"/>
      <c r="V285" s="175"/>
      <c r="W285" s="175"/>
      <c r="X285" s="175"/>
      <c r="Y285" s="174" t="s">
        <v>469</v>
      </c>
      <c r="Z285" s="174" t="s">
        <v>518</v>
      </c>
      <c r="AA285" s="174" t="s">
        <v>24</v>
      </c>
      <c r="AB285" s="174"/>
      <c r="AC285" s="174" t="s">
        <v>794</v>
      </c>
      <c r="AD285" s="174" t="s">
        <v>483</v>
      </c>
      <c r="AE285" s="175"/>
      <c r="AF285" s="175"/>
      <c r="AG285" s="176">
        <v>43164.756643518522</v>
      </c>
      <c r="AH285" s="176">
        <v>43164.756643518522</v>
      </c>
      <c r="AI285" s="174" t="s">
        <v>473</v>
      </c>
      <c r="AJ285" s="175"/>
      <c r="AK285" s="178">
        <v>1</v>
      </c>
    </row>
    <row r="286" spans="1:37" ht="15.95" customHeight="1" x14ac:dyDescent="0.25">
      <c r="A286" s="174" t="s">
        <v>461</v>
      </c>
      <c r="B286" s="174" t="s">
        <v>1332</v>
      </c>
      <c r="C286" s="175"/>
      <c r="D286" s="174" t="s">
        <v>463</v>
      </c>
      <c r="E286" s="174" t="s">
        <v>1148</v>
      </c>
      <c r="F286" s="176">
        <v>43164</v>
      </c>
      <c r="G286" s="176">
        <v>43165</v>
      </c>
      <c r="H286" s="174" t="s">
        <v>1322</v>
      </c>
      <c r="I286" s="175" t="e">
        <f>VLOOKUP($H286,Mapping!$A:$A,1,0)</f>
        <v>#N/A</v>
      </c>
      <c r="J286" s="177" t="s">
        <v>466</v>
      </c>
      <c r="K286" s="174" t="s">
        <v>644</v>
      </c>
      <c r="L286" s="178">
        <v>25000000</v>
      </c>
      <c r="M286" s="178">
        <v>97.34375</v>
      </c>
      <c r="N286" s="178">
        <v>3.1373850085999999</v>
      </c>
      <c r="O286" s="178">
        <v>24375302.140883978</v>
      </c>
      <c r="P286" s="174" t="s">
        <v>337</v>
      </c>
      <c r="Q286" s="174" t="s">
        <v>645</v>
      </c>
      <c r="R286" s="174" t="s">
        <v>23</v>
      </c>
      <c r="S286" s="174" t="s">
        <v>130</v>
      </c>
      <c r="T286" s="175" t="str">
        <f>VLOOKUP($S286,Mapping!$C:$C,1,0)</f>
        <v>Manual</v>
      </c>
      <c r="U286" s="175"/>
      <c r="V286" s="175"/>
      <c r="W286" s="175"/>
      <c r="X286" s="175"/>
      <c r="Y286" s="174" t="s">
        <v>469</v>
      </c>
      <c r="Z286" s="174" t="s">
        <v>1149</v>
      </c>
      <c r="AA286" s="174" t="s">
        <v>24</v>
      </c>
      <c r="AB286" s="174"/>
      <c r="AC286" s="174" t="s">
        <v>794</v>
      </c>
      <c r="AD286" s="174" t="s">
        <v>483</v>
      </c>
      <c r="AE286" s="175"/>
      <c r="AF286" s="175"/>
      <c r="AG286" s="176">
        <v>43164.756655092591</v>
      </c>
      <c r="AH286" s="176">
        <v>43164.756655092591</v>
      </c>
      <c r="AI286" s="174" t="s">
        <v>473</v>
      </c>
      <c r="AJ286" s="175"/>
      <c r="AK286" s="178">
        <v>1</v>
      </c>
    </row>
    <row r="287" spans="1:37" ht="15.95" customHeight="1" x14ac:dyDescent="0.25">
      <c r="A287" s="174" t="s">
        <v>461</v>
      </c>
      <c r="B287" s="174" t="s">
        <v>1333</v>
      </c>
      <c r="C287" s="175"/>
      <c r="D287" s="174" t="s">
        <v>463</v>
      </c>
      <c r="E287" s="174" t="s">
        <v>516</v>
      </c>
      <c r="F287" s="176">
        <v>43164</v>
      </c>
      <c r="G287" s="176">
        <v>43165</v>
      </c>
      <c r="H287" s="174" t="s">
        <v>1322</v>
      </c>
      <c r="I287" s="175" t="e">
        <f>VLOOKUP($H287,Mapping!$A:$A,1,0)</f>
        <v>#N/A</v>
      </c>
      <c r="J287" s="177" t="s">
        <v>466</v>
      </c>
      <c r="K287" s="174" t="s">
        <v>467</v>
      </c>
      <c r="L287" s="178">
        <v>25000000</v>
      </c>
      <c r="M287" s="178">
        <v>99.982730000000004</v>
      </c>
      <c r="N287" s="178">
        <v>2.6286618232999999</v>
      </c>
      <c r="O287" s="178">
        <v>25006382.228260871</v>
      </c>
      <c r="P287" s="174" t="s">
        <v>337</v>
      </c>
      <c r="Q287" s="174" t="s">
        <v>468</v>
      </c>
      <c r="R287" s="174" t="s">
        <v>23</v>
      </c>
      <c r="S287" s="174" t="s">
        <v>130</v>
      </c>
      <c r="T287" s="175" t="str">
        <f>VLOOKUP($S287,Mapping!$C:$C,1,0)</f>
        <v>Manual</v>
      </c>
      <c r="U287" s="175"/>
      <c r="V287" s="175"/>
      <c r="W287" s="175"/>
      <c r="X287" s="175"/>
      <c r="Y287" s="174" t="s">
        <v>469</v>
      </c>
      <c r="Z287" s="174" t="s">
        <v>518</v>
      </c>
      <c r="AA287" s="174" t="s">
        <v>24</v>
      </c>
      <c r="AB287" s="174"/>
      <c r="AC287" s="174" t="s">
        <v>794</v>
      </c>
      <c r="AD287" s="174" t="s">
        <v>483</v>
      </c>
      <c r="AE287" s="175"/>
      <c r="AF287" s="175"/>
      <c r="AG287" s="176">
        <v>43164.756655092591</v>
      </c>
      <c r="AH287" s="176">
        <v>43164.756655092591</v>
      </c>
      <c r="AI287" s="174" t="s">
        <v>473</v>
      </c>
      <c r="AJ287" s="175"/>
      <c r="AK287" s="178">
        <v>1</v>
      </c>
    </row>
    <row r="288" spans="1:37" ht="15.95" customHeight="1" x14ac:dyDescent="0.25">
      <c r="A288" s="174" t="s">
        <v>461</v>
      </c>
      <c r="B288" s="174" t="s">
        <v>1334</v>
      </c>
      <c r="C288" s="175"/>
      <c r="D288" s="174" t="s">
        <v>463</v>
      </c>
      <c r="E288" s="174" t="s">
        <v>516</v>
      </c>
      <c r="F288" s="176">
        <v>43164</v>
      </c>
      <c r="G288" s="176">
        <v>43165</v>
      </c>
      <c r="H288" s="174" t="s">
        <v>1322</v>
      </c>
      <c r="I288" s="175" t="e">
        <f>VLOOKUP($H288,Mapping!$A:$A,1,0)</f>
        <v>#N/A</v>
      </c>
      <c r="J288" s="177" t="s">
        <v>466</v>
      </c>
      <c r="K288" s="174" t="s">
        <v>524</v>
      </c>
      <c r="L288" s="178">
        <v>44000000</v>
      </c>
      <c r="M288" s="178">
        <v>99.59863</v>
      </c>
      <c r="N288" s="178">
        <v>2.3916189697000001</v>
      </c>
      <c r="O288" s="178">
        <v>43875358.525966853</v>
      </c>
      <c r="P288" s="174" t="s">
        <v>337</v>
      </c>
      <c r="Q288" s="174" t="s">
        <v>525</v>
      </c>
      <c r="R288" s="174" t="s">
        <v>23</v>
      </c>
      <c r="S288" s="174" t="s">
        <v>130</v>
      </c>
      <c r="T288" s="175" t="str">
        <f>VLOOKUP($S288,Mapping!$C:$C,1,0)</f>
        <v>Manual</v>
      </c>
      <c r="U288" s="175"/>
      <c r="V288" s="175"/>
      <c r="W288" s="175"/>
      <c r="X288" s="175"/>
      <c r="Y288" s="174" t="s">
        <v>469</v>
      </c>
      <c r="Z288" s="174" t="s">
        <v>518</v>
      </c>
      <c r="AA288" s="174" t="s">
        <v>24</v>
      </c>
      <c r="AB288" s="174"/>
      <c r="AC288" s="174" t="s">
        <v>794</v>
      </c>
      <c r="AD288" s="174" t="s">
        <v>483</v>
      </c>
      <c r="AE288" s="175"/>
      <c r="AF288" s="175"/>
      <c r="AG288" s="176">
        <v>43164.756666666668</v>
      </c>
      <c r="AH288" s="176">
        <v>43164.756666666668</v>
      </c>
      <c r="AI288" s="174" t="s">
        <v>473</v>
      </c>
      <c r="AJ288" s="175"/>
      <c r="AK288" s="178">
        <v>1</v>
      </c>
    </row>
    <row r="289" spans="1:37" ht="15.95" customHeight="1" x14ac:dyDescent="0.25">
      <c r="A289" s="174" t="s">
        <v>461</v>
      </c>
      <c r="B289" s="174" t="s">
        <v>1335</v>
      </c>
      <c r="C289" s="175"/>
      <c r="D289" s="174" t="s">
        <v>463</v>
      </c>
      <c r="E289" s="174" t="s">
        <v>1148</v>
      </c>
      <c r="F289" s="176">
        <v>43164</v>
      </c>
      <c r="G289" s="176">
        <v>43167</v>
      </c>
      <c r="H289" s="174" t="s">
        <v>1322</v>
      </c>
      <c r="I289" s="175" t="e">
        <f>VLOOKUP($H289,Mapping!$A:$A,1,0)</f>
        <v>#N/A</v>
      </c>
      <c r="J289" s="179" t="s">
        <v>486</v>
      </c>
      <c r="K289" s="174" t="s">
        <v>1083</v>
      </c>
      <c r="L289" s="178">
        <v>200000000</v>
      </c>
      <c r="M289" s="178">
        <v>99.076097000000004</v>
      </c>
      <c r="N289" s="178">
        <v>1.8275004396000001</v>
      </c>
      <c r="O289" s="178">
        <v>-198152194</v>
      </c>
      <c r="P289" s="174" t="s">
        <v>337</v>
      </c>
      <c r="Q289" s="174" t="s">
        <v>1084</v>
      </c>
      <c r="R289" s="174" t="s">
        <v>23</v>
      </c>
      <c r="S289" s="174" t="s">
        <v>130</v>
      </c>
      <c r="T289" s="175" t="str">
        <f>VLOOKUP($S289,Mapping!$C:$C,1,0)</f>
        <v>Manual</v>
      </c>
      <c r="U289" s="175"/>
      <c r="V289" s="175"/>
      <c r="W289" s="175"/>
      <c r="X289" s="175"/>
      <c r="Y289" s="174" t="s">
        <v>469</v>
      </c>
      <c r="Z289" s="174" t="s">
        <v>1149</v>
      </c>
      <c r="AA289" s="174" t="s">
        <v>24</v>
      </c>
      <c r="AB289" s="174"/>
      <c r="AC289" s="174" t="s">
        <v>794</v>
      </c>
      <c r="AD289" s="174" t="s">
        <v>483</v>
      </c>
      <c r="AE289" s="175"/>
      <c r="AF289" s="175"/>
      <c r="AG289" s="176">
        <v>43164.756678240738</v>
      </c>
      <c r="AH289" s="176">
        <v>43164.756678240738</v>
      </c>
      <c r="AI289" s="174" t="s">
        <v>473</v>
      </c>
      <c r="AJ289" s="175"/>
      <c r="AK289" s="178">
        <v>1</v>
      </c>
    </row>
    <row r="290" spans="1:37" ht="15.95" customHeight="1" x14ac:dyDescent="0.25">
      <c r="A290" s="174" t="s">
        <v>461</v>
      </c>
      <c r="B290" s="174" t="s">
        <v>1336</v>
      </c>
      <c r="C290" s="175"/>
      <c r="D290" s="174" t="s">
        <v>566</v>
      </c>
      <c r="E290" s="174" t="s">
        <v>1337</v>
      </c>
      <c r="F290" s="176">
        <v>43164</v>
      </c>
      <c r="G290" s="176">
        <v>43166</v>
      </c>
      <c r="H290" s="174" t="s">
        <v>28</v>
      </c>
      <c r="I290" s="175" t="str">
        <f>VLOOKUP($H290,Mapping!$A:$A,1,0)</f>
        <v>INTERNAL TRANSFER</v>
      </c>
      <c r="J290" s="177" t="s">
        <v>466</v>
      </c>
      <c r="K290" s="174" t="s">
        <v>1338</v>
      </c>
      <c r="L290" s="178">
        <v>40600000</v>
      </c>
      <c r="M290" s="178">
        <v>118.172</v>
      </c>
      <c r="N290" s="178">
        <v>0.78427252869999997</v>
      </c>
      <c r="O290" s="178">
        <v>48384666.248800002</v>
      </c>
      <c r="P290" s="174" t="s">
        <v>386</v>
      </c>
      <c r="Q290" s="174" t="s">
        <v>1339</v>
      </c>
      <c r="R290" s="174" t="s">
        <v>22</v>
      </c>
      <c r="S290" s="174" t="s">
        <v>130</v>
      </c>
      <c r="T290" s="175" t="str">
        <f>VLOOKUP($S290,Mapping!$C:$C,1,0)</f>
        <v>Manual</v>
      </c>
      <c r="U290" s="175"/>
      <c r="V290" s="175"/>
      <c r="W290" s="175"/>
      <c r="X290" s="175"/>
      <c r="Y290" s="174" t="s">
        <v>1340</v>
      </c>
      <c r="Z290" s="174" t="s">
        <v>1341</v>
      </c>
      <c r="AA290" s="174" t="s">
        <v>22</v>
      </c>
      <c r="AB290" s="174"/>
      <c r="AC290" s="175"/>
      <c r="AD290" s="174" t="s">
        <v>512</v>
      </c>
      <c r="AE290" s="175"/>
      <c r="AF290" s="175"/>
      <c r="AG290" s="176">
        <v>43164.189062500001</v>
      </c>
      <c r="AH290" s="176">
        <v>43164.189143518517</v>
      </c>
      <c r="AI290" s="175"/>
      <c r="AJ290" s="175"/>
      <c r="AK290" s="178">
        <v>1</v>
      </c>
    </row>
    <row r="291" spans="1:37" ht="15.95" customHeight="1" x14ac:dyDescent="0.25">
      <c r="A291" s="174" t="s">
        <v>461</v>
      </c>
      <c r="B291" s="174" t="s">
        <v>1342</v>
      </c>
      <c r="C291" s="175"/>
      <c r="D291" s="174" t="s">
        <v>566</v>
      </c>
      <c r="E291" s="174" t="s">
        <v>1337</v>
      </c>
      <c r="F291" s="176">
        <v>43164</v>
      </c>
      <c r="G291" s="176">
        <v>43166</v>
      </c>
      <c r="H291" s="174" t="s">
        <v>28</v>
      </c>
      <c r="I291" s="175" t="str">
        <f>VLOOKUP($H291,Mapping!$A:$A,1,0)</f>
        <v>INTERNAL TRANSFER</v>
      </c>
      <c r="J291" s="179" t="s">
        <v>486</v>
      </c>
      <c r="K291" s="174" t="s">
        <v>1338</v>
      </c>
      <c r="L291" s="178">
        <v>40600000</v>
      </c>
      <c r="M291" s="178">
        <v>118.172</v>
      </c>
      <c r="N291" s="178">
        <v>0.78427252869999997</v>
      </c>
      <c r="O291" s="178">
        <v>-48384666.248800002</v>
      </c>
      <c r="P291" s="174" t="s">
        <v>386</v>
      </c>
      <c r="Q291" s="174" t="s">
        <v>1339</v>
      </c>
      <c r="R291" s="174" t="s">
        <v>22</v>
      </c>
      <c r="S291" s="174" t="s">
        <v>130</v>
      </c>
      <c r="T291" s="175" t="str">
        <f>VLOOKUP($S291,Mapping!$C:$C,1,0)</f>
        <v>Manual</v>
      </c>
      <c r="U291" s="175"/>
      <c r="V291" s="175"/>
      <c r="W291" s="175"/>
      <c r="X291" s="175"/>
      <c r="Y291" s="174" t="s">
        <v>1340</v>
      </c>
      <c r="Z291" s="174" t="s">
        <v>1341</v>
      </c>
      <c r="AA291" s="174" t="s">
        <v>22</v>
      </c>
      <c r="AB291" s="174"/>
      <c r="AC291" s="175"/>
      <c r="AD291" s="174" t="s">
        <v>512</v>
      </c>
      <c r="AE291" s="175"/>
      <c r="AF291" s="175"/>
      <c r="AG291" s="176">
        <v>43164.189062500001</v>
      </c>
      <c r="AH291" s="176">
        <v>43164.189166666663</v>
      </c>
      <c r="AI291" s="175"/>
      <c r="AJ291" s="175"/>
      <c r="AK291" s="178">
        <v>1</v>
      </c>
    </row>
    <row r="292" spans="1:37" ht="15.95" customHeight="1" x14ac:dyDescent="0.25">
      <c r="A292" s="174" t="s">
        <v>461</v>
      </c>
      <c r="B292" s="174" t="s">
        <v>1343</v>
      </c>
      <c r="C292" s="175"/>
      <c r="D292" s="174" t="s">
        <v>566</v>
      </c>
      <c r="E292" s="174" t="s">
        <v>676</v>
      </c>
      <c r="F292" s="176">
        <v>43164</v>
      </c>
      <c r="G292" s="176">
        <v>43166</v>
      </c>
      <c r="H292" s="174" t="s">
        <v>28</v>
      </c>
      <c r="I292" s="175" t="str">
        <f>VLOOKUP($H292,Mapping!$A:$A,1,0)</f>
        <v>INTERNAL TRANSFER</v>
      </c>
      <c r="J292" s="177" t="s">
        <v>466</v>
      </c>
      <c r="K292" s="174" t="s">
        <v>694</v>
      </c>
      <c r="L292" s="178">
        <v>72000000</v>
      </c>
      <c r="M292" s="178">
        <v>100.8</v>
      </c>
      <c r="N292" s="178">
        <v>0.3975054026</v>
      </c>
      <c r="O292" s="178">
        <v>72595726.02739726</v>
      </c>
      <c r="P292" s="174" t="s">
        <v>386</v>
      </c>
      <c r="Q292" s="174" t="s">
        <v>695</v>
      </c>
      <c r="R292" s="174" t="s">
        <v>22</v>
      </c>
      <c r="S292" s="174" t="s">
        <v>130</v>
      </c>
      <c r="T292" s="175" t="str">
        <f>VLOOKUP($S292,Mapping!$C:$C,1,0)</f>
        <v>Manual</v>
      </c>
      <c r="U292" s="175"/>
      <c r="V292" s="175"/>
      <c r="W292" s="175"/>
      <c r="X292" s="175"/>
      <c r="Y292" s="174" t="s">
        <v>575</v>
      </c>
      <c r="Z292" s="174" t="s">
        <v>683</v>
      </c>
      <c r="AA292" s="174" t="s">
        <v>22</v>
      </c>
      <c r="AB292" s="174"/>
      <c r="AC292" s="175"/>
      <c r="AD292" s="174" t="s">
        <v>512</v>
      </c>
      <c r="AE292" s="175"/>
      <c r="AF292" s="175"/>
      <c r="AG292" s="176">
        <v>43164.251909722225</v>
      </c>
      <c r="AH292" s="176">
        <v>43164.251967592594</v>
      </c>
      <c r="AI292" s="175"/>
      <c r="AJ292" s="175"/>
      <c r="AK292" s="178">
        <v>1</v>
      </c>
    </row>
    <row r="293" spans="1:37" ht="15.95" customHeight="1" x14ac:dyDescent="0.25">
      <c r="A293" s="174" t="s">
        <v>461</v>
      </c>
      <c r="B293" s="174" t="s">
        <v>1344</v>
      </c>
      <c r="C293" s="175"/>
      <c r="D293" s="174" t="s">
        <v>566</v>
      </c>
      <c r="E293" s="174" t="s">
        <v>676</v>
      </c>
      <c r="F293" s="176">
        <v>43164</v>
      </c>
      <c r="G293" s="176">
        <v>43166</v>
      </c>
      <c r="H293" s="174" t="s">
        <v>28</v>
      </c>
      <c r="I293" s="175" t="str">
        <f>VLOOKUP($H293,Mapping!$A:$A,1,0)</f>
        <v>INTERNAL TRANSFER</v>
      </c>
      <c r="J293" s="179" t="s">
        <v>486</v>
      </c>
      <c r="K293" s="174" t="s">
        <v>694</v>
      </c>
      <c r="L293" s="178">
        <v>72000000</v>
      </c>
      <c r="M293" s="178">
        <v>100.8</v>
      </c>
      <c r="N293" s="178">
        <v>0.3975054026</v>
      </c>
      <c r="O293" s="178">
        <v>-72595726.02739726</v>
      </c>
      <c r="P293" s="174" t="s">
        <v>386</v>
      </c>
      <c r="Q293" s="174" t="s">
        <v>695</v>
      </c>
      <c r="R293" s="174" t="s">
        <v>22</v>
      </c>
      <c r="S293" s="174" t="s">
        <v>130</v>
      </c>
      <c r="T293" s="175" t="str">
        <f>VLOOKUP($S293,Mapping!$C:$C,1,0)</f>
        <v>Manual</v>
      </c>
      <c r="U293" s="175"/>
      <c r="V293" s="175"/>
      <c r="W293" s="175"/>
      <c r="X293" s="175"/>
      <c r="Y293" s="174" t="s">
        <v>575</v>
      </c>
      <c r="Z293" s="174" t="s">
        <v>683</v>
      </c>
      <c r="AA293" s="174" t="s">
        <v>22</v>
      </c>
      <c r="AB293" s="174"/>
      <c r="AC293" s="175"/>
      <c r="AD293" s="174" t="s">
        <v>512</v>
      </c>
      <c r="AE293" s="175"/>
      <c r="AF293" s="175"/>
      <c r="AG293" s="176">
        <v>43164.251909722225</v>
      </c>
      <c r="AH293" s="176">
        <v>43164.251979166664</v>
      </c>
      <c r="AI293" s="175"/>
      <c r="AJ293" s="175"/>
      <c r="AK293" s="178">
        <v>1</v>
      </c>
    </row>
    <row r="294" spans="1:37" ht="15.95" customHeight="1" x14ac:dyDescent="0.25">
      <c r="A294" s="174" t="s">
        <v>461</v>
      </c>
      <c r="B294" s="174" t="s">
        <v>1345</v>
      </c>
      <c r="C294" s="175"/>
      <c r="D294" s="174" t="s">
        <v>497</v>
      </c>
      <c r="E294" s="174" t="s">
        <v>946</v>
      </c>
      <c r="F294" s="176">
        <v>43164</v>
      </c>
      <c r="G294" s="176">
        <v>43166</v>
      </c>
      <c r="H294" s="174" t="s">
        <v>1346</v>
      </c>
      <c r="I294" s="175" t="e">
        <f>VLOOKUP($H294,Mapping!$A:$A,1,0)</f>
        <v>#N/A</v>
      </c>
      <c r="J294" s="177" t="s">
        <v>466</v>
      </c>
      <c r="K294" s="174" t="s">
        <v>1347</v>
      </c>
      <c r="L294" s="178">
        <v>50000000</v>
      </c>
      <c r="M294" s="178">
        <v>129.85</v>
      </c>
      <c r="N294" s="178">
        <v>-9.6305010905999993</v>
      </c>
      <c r="O294" s="178">
        <v>3176369.8630137001</v>
      </c>
      <c r="P294" s="174" t="s">
        <v>337</v>
      </c>
      <c r="Q294" s="174" t="s">
        <v>1348</v>
      </c>
      <c r="R294" s="174" t="s">
        <v>23</v>
      </c>
      <c r="S294" s="174" t="s">
        <v>130</v>
      </c>
      <c r="T294" s="175" t="str">
        <f>VLOOKUP($S294,Mapping!$C:$C,1,0)</f>
        <v>Manual</v>
      </c>
      <c r="U294" s="175"/>
      <c r="V294" s="175"/>
      <c r="W294" s="175"/>
      <c r="X294" s="175"/>
      <c r="Y294" s="174" t="s">
        <v>502</v>
      </c>
      <c r="Z294" s="174" t="s">
        <v>951</v>
      </c>
      <c r="AA294" s="174" t="s">
        <v>24</v>
      </c>
      <c r="AB294" s="174"/>
      <c r="AC294" s="174" t="s">
        <v>1349</v>
      </c>
      <c r="AD294" s="174" t="s">
        <v>483</v>
      </c>
      <c r="AE294" s="175"/>
      <c r="AF294" s="175"/>
      <c r="AG294" s="176">
        <v>43165.416087962964</v>
      </c>
      <c r="AH294" s="176">
        <v>43165.416087962964</v>
      </c>
      <c r="AI294" s="175"/>
      <c r="AJ294" s="175"/>
      <c r="AK294" s="178">
        <v>1</v>
      </c>
    </row>
    <row r="295" spans="1:37" ht="15.95" customHeight="1" x14ac:dyDescent="0.25">
      <c r="A295" s="174" t="s">
        <v>461</v>
      </c>
      <c r="B295" s="174" t="s">
        <v>1350</v>
      </c>
      <c r="C295" s="175"/>
      <c r="D295" s="174" t="s">
        <v>478</v>
      </c>
      <c r="E295" s="174" t="s">
        <v>600</v>
      </c>
      <c r="F295" s="176">
        <v>43164</v>
      </c>
      <c r="G295" s="176">
        <v>43165</v>
      </c>
      <c r="H295" s="174" t="s">
        <v>1351</v>
      </c>
      <c r="I295" s="175" t="e">
        <f>VLOOKUP($H295,Mapping!$A:$A,1,0)</f>
        <v>#N/A</v>
      </c>
      <c r="J295" s="179" t="s">
        <v>486</v>
      </c>
      <c r="K295" s="174" t="s">
        <v>543</v>
      </c>
      <c r="L295" s="178">
        <v>4000000</v>
      </c>
      <c r="M295" s="178">
        <v>92.765625</v>
      </c>
      <c r="N295" s="178">
        <v>3.1255736163000001</v>
      </c>
      <c r="O295" s="178">
        <v>-3744354.2817679602</v>
      </c>
      <c r="P295" s="174" t="s">
        <v>337</v>
      </c>
      <c r="Q295" s="174" t="s">
        <v>544</v>
      </c>
      <c r="R295" s="174" t="s">
        <v>22</v>
      </c>
      <c r="S295" s="174" t="s">
        <v>129</v>
      </c>
      <c r="T295" s="175" t="str">
        <f>VLOOKUP($S295,Mapping!$C:$C,1,0)</f>
        <v>Omgeo</v>
      </c>
      <c r="U295" s="174" t="s">
        <v>1352</v>
      </c>
      <c r="V295" s="174" t="s">
        <v>132</v>
      </c>
      <c r="W295" s="175"/>
      <c r="X295" s="175"/>
      <c r="Y295" s="174" t="s">
        <v>469</v>
      </c>
      <c r="Z295" s="174" t="s">
        <v>604</v>
      </c>
      <c r="AA295" s="174" t="s">
        <v>22</v>
      </c>
      <c r="AB295" s="174"/>
      <c r="AC295" s="175"/>
      <c r="AD295" s="174" t="s">
        <v>512</v>
      </c>
      <c r="AE295" s="176">
        <v>43164.435173611113</v>
      </c>
      <c r="AF295" s="174" t="s">
        <v>1352</v>
      </c>
      <c r="AG295" s="176">
        <v>43164.429594907408</v>
      </c>
      <c r="AH295" s="176">
        <v>43164.429664351854</v>
      </c>
      <c r="AI295" s="175"/>
      <c r="AJ295" s="175"/>
      <c r="AK295" s="178">
        <v>1</v>
      </c>
    </row>
    <row r="296" spans="1:37" ht="15.95" customHeight="1" x14ac:dyDescent="0.25">
      <c r="A296" s="174" t="s">
        <v>484</v>
      </c>
      <c r="B296" s="174" t="s">
        <v>1353</v>
      </c>
      <c r="C296" s="175"/>
      <c r="D296" s="174" t="s">
        <v>478</v>
      </c>
      <c r="E296" s="174" t="s">
        <v>600</v>
      </c>
      <c r="F296" s="176">
        <v>43164</v>
      </c>
      <c r="G296" s="176">
        <v>43166</v>
      </c>
      <c r="H296" s="174" t="s">
        <v>1351</v>
      </c>
      <c r="I296" s="175" t="e">
        <f>VLOOKUP($H296,Mapping!$A:$A,1,0)</f>
        <v>#N/A</v>
      </c>
      <c r="J296" s="177" t="s">
        <v>466</v>
      </c>
      <c r="K296" s="174" t="s">
        <v>1354</v>
      </c>
      <c r="L296" s="178">
        <v>5000000</v>
      </c>
      <c r="M296" s="178">
        <v>99.757000000000005</v>
      </c>
      <c r="N296" s="178">
        <v>5.4159836892</v>
      </c>
      <c r="O296" s="178">
        <v>5145350</v>
      </c>
      <c r="P296" s="174" t="s">
        <v>337</v>
      </c>
      <c r="Q296" s="174" t="s">
        <v>1355</v>
      </c>
      <c r="R296" s="174" t="s">
        <v>22</v>
      </c>
      <c r="S296" s="174" t="s">
        <v>129</v>
      </c>
      <c r="T296" s="175" t="str">
        <f>VLOOKUP($S296,Mapping!$C:$C,1,0)</f>
        <v>Omgeo</v>
      </c>
      <c r="U296" s="174" t="s">
        <v>1356</v>
      </c>
      <c r="V296" s="174" t="s">
        <v>132</v>
      </c>
      <c r="W296" s="175"/>
      <c r="X296" s="175"/>
      <c r="Y296" s="174" t="s">
        <v>489</v>
      </c>
      <c r="Z296" s="174" t="s">
        <v>604</v>
      </c>
      <c r="AA296" s="174" t="s">
        <v>22</v>
      </c>
      <c r="AB296" s="174"/>
      <c r="AC296" s="175"/>
      <c r="AD296" s="174" t="s">
        <v>512</v>
      </c>
      <c r="AE296" s="176">
        <v>43164.435173611113</v>
      </c>
      <c r="AF296" s="174" t="s">
        <v>1356</v>
      </c>
      <c r="AG296" s="176">
        <v>43164.429618055554</v>
      </c>
      <c r="AH296" s="176">
        <v>43164.4296875</v>
      </c>
      <c r="AI296" s="175"/>
      <c r="AJ296" s="175"/>
      <c r="AK296" s="178">
        <v>1</v>
      </c>
    </row>
    <row r="297" spans="1:37" ht="15.95" customHeight="1" x14ac:dyDescent="0.25">
      <c r="A297" s="174" t="s">
        <v>484</v>
      </c>
      <c r="B297" s="174" t="s">
        <v>1357</v>
      </c>
      <c r="C297" s="175"/>
      <c r="D297" s="174" t="s">
        <v>478</v>
      </c>
      <c r="E297" s="174" t="s">
        <v>846</v>
      </c>
      <c r="F297" s="176">
        <v>43164</v>
      </c>
      <c r="G297" s="176">
        <v>43166</v>
      </c>
      <c r="H297" s="174" t="s">
        <v>1351</v>
      </c>
      <c r="I297" s="175" t="e">
        <f>VLOOKUP($H297,Mapping!$A:$A,1,0)</f>
        <v>#N/A</v>
      </c>
      <c r="J297" s="179" t="s">
        <v>486</v>
      </c>
      <c r="K297" s="174" t="s">
        <v>1358</v>
      </c>
      <c r="L297" s="178">
        <v>6000000</v>
      </c>
      <c r="M297" s="178">
        <v>95.75</v>
      </c>
      <c r="N297" s="178">
        <v>17.344349161699999</v>
      </c>
      <c r="O297" s="178">
        <v>-5988666.6666666698</v>
      </c>
      <c r="P297" s="174" t="s">
        <v>337</v>
      </c>
      <c r="Q297" s="174" t="s">
        <v>1359</v>
      </c>
      <c r="R297" s="174" t="s">
        <v>22</v>
      </c>
      <c r="S297" s="174" t="s">
        <v>129</v>
      </c>
      <c r="T297" s="175" t="str">
        <f>VLOOKUP($S297,Mapping!$C:$C,1,0)</f>
        <v>Omgeo</v>
      </c>
      <c r="U297" s="174" t="s">
        <v>1360</v>
      </c>
      <c r="V297" s="174" t="s">
        <v>132</v>
      </c>
      <c r="W297" s="175"/>
      <c r="X297" s="175"/>
      <c r="Y297" s="174" t="s">
        <v>489</v>
      </c>
      <c r="Z297" s="174" t="s">
        <v>851</v>
      </c>
      <c r="AA297" s="174" t="s">
        <v>22</v>
      </c>
      <c r="AB297" s="174"/>
      <c r="AC297" s="175"/>
      <c r="AD297" s="174" t="s">
        <v>742</v>
      </c>
      <c r="AE297" s="176">
        <v>43164.675798611112</v>
      </c>
      <c r="AF297" s="174" t="s">
        <v>1360</v>
      </c>
      <c r="AG297" s="176">
        <v>43164.671631944446</v>
      </c>
      <c r="AH297" s="176">
        <v>43164.671631944446</v>
      </c>
      <c r="AI297" s="175"/>
      <c r="AJ297" s="175"/>
      <c r="AK297" s="178">
        <v>1</v>
      </c>
    </row>
    <row r="298" spans="1:37" ht="15.95" customHeight="1" x14ac:dyDescent="0.25">
      <c r="A298" s="174" t="s">
        <v>461</v>
      </c>
      <c r="B298" s="174" t="s">
        <v>1361</v>
      </c>
      <c r="C298" s="175"/>
      <c r="D298" s="174" t="s">
        <v>566</v>
      </c>
      <c r="E298" s="174" t="s">
        <v>1362</v>
      </c>
      <c r="F298" s="176">
        <v>43164</v>
      </c>
      <c r="G298" s="176">
        <v>43166</v>
      </c>
      <c r="H298" s="174" t="s">
        <v>1363</v>
      </c>
      <c r="I298" s="175" t="e">
        <f>VLOOKUP($H298,Mapping!$A:$A,1,0)</f>
        <v>#N/A</v>
      </c>
      <c r="J298" s="177" t="s">
        <v>466</v>
      </c>
      <c r="K298" s="174" t="s">
        <v>1364</v>
      </c>
      <c r="L298" s="178">
        <v>10800000</v>
      </c>
      <c r="M298" s="178">
        <v>107.7162</v>
      </c>
      <c r="N298" s="178">
        <v>-5.76616026E-2</v>
      </c>
      <c r="O298" s="178">
        <v>11642226.312328769</v>
      </c>
      <c r="P298" s="174" t="s">
        <v>386</v>
      </c>
      <c r="Q298" s="174" t="s">
        <v>1365</v>
      </c>
      <c r="R298" s="174" t="s">
        <v>22</v>
      </c>
      <c r="S298" s="174" t="s">
        <v>129</v>
      </c>
      <c r="T298" s="175" t="str">
        <f>VLOOKUP($S298,Mapping!$C:$C,1,0)</f>
        <v>Omgeo</v>
      </c>
      <c r="U298" s="174" t="s">
        <v>1366</v>
      </c>
      <c r="V298" s="174" t="s">
        <v>132</v>
      </c>
      <c r="W298" s="175"/>
      <c r="X298" s="175"/>
      <c r="Y298" s="174" t="s">
        <v>575</v>
      </c>
      <c r="Z298" s="174" t="s">
        <v>1367</v>
      </c>
      <c r="AA298" s="174" t="s">
        <v>22</v>
      </c>
      <c r="AB298" s="174"/>
      <c r="AC298" s="175"/>
      <c r="AD298" s="174" t="s">
        <v>512</v>
      </c>
      <c r="AE298" s="176">
        <v>43164.211226851854</v>
      </c>
      <c r="AF298" s="174" t="s">
        <v>1366</v>
      </c>
      <c r="AG298" s="176">
        <v>43164.205648148149</v>
      </c>
      <c r="AH298" s="176">
        <v>43164.205706018518</v>
      </c>
      <c r="AI298" s="175"/>
      <c r="AJ298" s="175"/>
      <c r="AK298" s="178">
        <v>1</v>
      </c>
    </row>
    <row r="299" spans="1:37" ht="15.95" customHeight="1" x14ac:dyDescent="0.25">
      <c r="A299" s="174" t="s">
        <v>484</v>
      </c>
      <c r="B299" s="174" t="s">
        <v>1368</v>
      </c>
      <c r="C299" s="175"/>
      <c r="D299" s="174" t="s">
        <v>478</v>
      </c>
      <c r="E299" s="174" t="s">
        <v>590</v>
      </c>
      <c r="F299" s="176">
        <v>43164</v>
      </c>
      <c r="G299" s="176">
        <v>43166</v>
      </c>
      <c r="H299" s="174" t="s">
        <v>1363</v>
      </c>
      <c r="I299" s="175" t="e">
        <f>VLOOKUP($H299,Mapping!$A:$A,1,0)</f>
        <v>#N/A</v>
      </c>
      <c r="J299" s="179" t="s">
        <v>486</v>
      </c>
      <c r="K299" s="174" t="s">
        <v>1185</v>
      </c>
      <c r="L299" s="178">
        <v>3000000</v>
      </c>
      <c r="M299" s="178">
        <v>97</v>
      </c>
      <c r="N299" s="178">
        <v>11.6342897657</v>
      </c>
      <c r="O299" s="178">
        <v>-3028333.3333333298</v>
      </c>
      <c r="P299" s="174" t="s">
        <v>337</v>
      </c>
      <c r="Q299" s="174" t="s">
        <v>1186</v>
      </c>
      <c r="R299" s="174" t="s">
        <v>22</v>
      </c>
      <c r="S299" s="174" t="s">
        <v>129</v>
      </c>
      <c r="T299" s="175" t="str">
        <f>VLOOKUP($S299,Mapping!$C:$C,1,0)</f>
        <v>Omgeo</v>
      </c>
      <c r="U299" s="174" t="s">
        <v>1369</v>
      </c>
      <c r="V299" s="174" t="s">
        <v>132</v>
      </c>
      <c r="W299" s="175"/>
      <c r="X299" s="175"/>
      <c r="Y299" s="174" t="s">
        <v>489</v>
      </c>
      <c r="Z299" s="174" t="s">
        <v>594</v>
      </c>
      <c r="AA299" s="174" t="s">
        <v>22</v>
      </c>
      <c r="AB299" s="174"/>
      <c r="AC299" s="175"/>
      <c r="AD299" s="174" t="s">
        <v>512</v>
      </c>
      <c r="AE299" s="176">
        <v>43164.38354166667</v>
      </c>
      <c r="AF299" s="174" t="s">
        <v>1369</v>
      </c>
      <c r="AG299" s="176">
        <v>43164.378067129626</v>
      </c>
      <c r="AH299" s="176">
        <v>43164.378113425926</v>
      </c>
      <c r="AI299" s="175"/>
      <c r="AJ299" s="175"/>
      <c r="AK299" s="178">
        <v>1</v>
      </c>
    </row>
    <row r="300" spans="1:37" ht="15.95" customHeight="1" x14ac:dyDescent="0.25">
      <c r="A300" s="174" t="s">
        <v>461</v>
      </c>
      <c r="B300" s="174" t="s">
        <v>1370</v>
      </c>
      <c r="C300" s="175"/>
      <c r="D300" s="174" t="s">
        <v>566</v>
      </c>
      <c r="E300" s="174" t="s">
        <v>846</v>
      </c>
      <c r="F300" s="176">
        <v>43164</v>
      </c>
      <c r="G300" s="176">
        <v>43166</v>
      </c>
      <c r="H300" s="174" t="s">
        <v>1363</v>
      </c>
      <c r="I300" s="175" t="e">
        <f>VLOOKUP($H300,Mapping!$A:$A,1,0)</f>
        <v>#N/A</v>
      </c>
      <c r="J300" s="179" t="s">
        <v>486</v>
      </c>
      <c r="K300" s="174" t="s">
        <v>572</v>
      </c>
      <c r="L300" s="178">
        <v>10000000</v>
      </c>
      <c r="M300" s="178">
        <v>100.55</v>
      </c>
      <c r="N300" s="178">
        <v>-0.1195222747</v>
      </c>
      <c r="O300" s="178">
        <v>-10055000</v>
      </c>
      <c r="P300" s="174" t="s">
        <v>386</v>
      </c>
      <c r="Q300" s="174" t="s">
        <v>573</v>
      </c>
      <c r="R300" s="174" t="s">
        <v>22</v>
      </c>
      <c r="S300" s="174" t="s">
        <v>129</v>
      </c>
      <c r="T300" s="175" t="str">
        <f>VLOOKUP($S300,Mapping!$C:$C,1,0)</f>
        <v>Omgeo</v>
      </c>
      <c r="U300" s="174" t="s">
        <v>1371</v>
      </c>
      <c r="V300" s="174" t="s">
        <v>132</v>
      </c>
      <c r="W300" s="175"/>
      <c r="X300" s="175"/>
      <c r="Y300" s="174" t="s">
        <v>575</v>
      </c>
      <c r="Z300" s="174" t="s">
        <v>851</v>
      </c>
      <c r="AA300" s="174" t="s">
        <v>22</v>
      </c>
      <c r="AB300" s="174"/>
      <c r="AC300" s="175"/>
      <c r="AD300" s="174" t="s">
        <v>742</v>
      </c>
      <c r="AE300" s="176">
        <v>43164.390046296299</v>
      </c>
      <c r="AF300" s="174" t="s">
        <v>1371</v>
      </c>
      <c r="AG300" s="176">
        <v>43164.388298611113</v>
      </c>
      <c r="AH300" s="176">
        <v>43164.388298611113</v>
      </c>
      <c r="AI300" s="175"/>
      <c r="AJ300" s="175"/>
      <c r="AK300" s="178">
        <v>1</v>
      </c>
    </row>
    <row r="301" spans="1:37" ht="15.95" customHeight="1" x14ac:dyDescent="0.25">
      <c r="A301" s="174" t="s">
        <v>484</v>
      </c>
      <c r="B301" s="174" t="s">
        <v>1372</v>
      </c>
      <c r="C301" s="175"/>
      <c r="D301" s="174" t="s">
        <v>566</v>
      </c>
      <c r="E301" s="174" t="s">
        <v>846</v>
      </c>
      <c r="F301" s="176">
        <v>43164</v>
      </c>
      <c r="G301" s="176">
        <v>43166</v>
      </c>
      <c r="H301" s="174" t="s">
        <v>1363</v>
      </c>
      <c r="I301" s="175" t="e">
        <f>VLOOKUP($H301,Mapping!$A:$A,1,0)</f>
        <v>#N/A</v>
      </c>
      <c r="J301" s="177" t="s">
        <v>466</v>
      </c>
      <c r="K301" s="174" t="s">
        <v>567</v>
      </c>
      <c r="L301" s="178">
        <v>10000000</v>
      </c>
      <c r="M301" s="178">
        <v>99.01</v>
      </c>
      <c r="N301" s="178">
        <v>1.2104810253</v>
      </c>
      <c r="O301" s="178">
        <v>9914150.6849315111</v>
      </c>
      <c r="P301" s="174" t="s">
        <v>386</v>
      </c>
      <c r="Q301" s="174" t="s">
        <v>568</v>
      </c>
      <c r="R301" s="174" t="s">
        <v>22</v>
      </c>
      <c r="S301" s="174" t="s">
        <v>129</v>
      </c>
      <c r="T301" s="175" t="str">
        <f>VLOOKUP($S301,Mapping!$C:$C,1,0)</f>
        <v>Omgeo</v>
      </c>
      <c r="U301" s="174" t="s">
        <v>1373</v>
      </c>
      <c r="V301" s="174" t="s">
        <v>132</v>
      </c>
      <c r="W301" s="175"/>
      <c r="X301" s="175"/>
      <c r="Y301" s="174" t="s">
        <v>570</v>
      </c>
      <c r="Z301" s="174" t="s">
        <v>851</v>
      </c>
      <c r="AA301" s="174" t="s">
        <v>22</v>
      </c>
      <c r="AB301" s="174"/>
      <c r="AC301" s="175"/>
      <c r="AD301" s="174" t="s">
        <v>742</v>
      </c>
      <c r="AE301" s="176">
        <v>43164.390046296299</v>
      </c>
      <c r="AF301" s="174" t="s">
        <v>1373</v>
      </c>
      <c r="AG301" s="176">
        <v>43164.388356481482</v>
      </c>
      <c r="AH301" s="176">
        <v>43164.388356481482</v>
      </c>
      <c r="AI301" s="175"/>
      <c r="AJ301" s="175"/>
      <c r="AK301" s="178">
        <v>1</v>
      </c>
    </row>
    <row r="302" spans="1:37" ht="15.95" customHeight="1" x14ac:dyDescent="0.25">
      <c r="A302" s="174" t="s">
        <v>461</v>
      </c>
      <c r="B302" s="174" t="s">
        <v>1374</v>
      </c>
      <c r="C302" s="175"/>
      <c r="D302" s="174" t="s">
        <v>497</v>
      </c>
      <c r="E302" s="174" t="s">
        <v>1057</v>
      </c>
      <c r="F302" s="176">
        <v>43164</v>
      </c>
      <c r="G302" s="176">
        <v>43166</v>
      </c>
      <c r="H302" s="174" t="s">
        <v>1363</v>
      </c>
      <c r="I302" s="175" t="e">
        <f>VLOOKUP($H302,Mapping!$A:$A,1,0)</f>
        <v>#N/A</v>
      </c>
      <c r="J302" s="177" t="s">
        <v>466</v>
      </c>
      <c r="K302" s="174" t="s">
        <v>1375</v>
      </c>
      <c r="L302" s="178">
        <v>7200000</v>
      </c>
      <c r="M302" s="178">
        <v>100.241</v>
      </c>
      <c r="N302" s="178">
        <v>-0.14583902009999999</v>
      </c>
      <c r="O302" s="178">
        <v>7217352</v>
      </c>
      <c r="P302" s="174" t="s">
        <v>386</v>
      </c>
      <c r="Q302" s="174" t="s">
        <v>1376</v>
      </c>
      <c r="R302" s="174" t="s">
        <v>22</v>
      </c>
      <c r="S302" s="174" t="s">
        <v>129</v>
      </c>
      <c r="T302" s="175" t="str">
        <f>VLOOKUP($S302,Mapping!$C:$C,1,0)</f>
        <v>Omgeo</v>
      </c>
      <c r="U302" s="174" t="s">
        <v>1377</v>
      </c>
      <c r="V302" s="174" t="s">
        <v>132</v>
      </c>
      <c r="W302" s="175"/>
      <c r="X302" s="175"/>
      <c r="Y302" s="174" t="s">
        <v>1062</v>
      </c>
      <c r="Z302" s="174" t="s">
        <v>1063</v>
      </c>
      <c r="AA302" s="174" t="s">
        <v>22</v>
      </c>
      <c r="AB302" s="174"/>
      <c r="AC302" s="175"/>
      <c r="AD302" s="174" t="s">
        <v>1378</v>
      </c>
      <c r="AE302" s="176">
        <v>43164.331747685188</v>
      </c>
      <c r="AF302" s="174" t="s">
        <v>1377</v>
      </c>
      <c r="AG302" s="176">
        <v>43164.414409722223</v>
      </c>
      <c r="AH302" s="176">
        <v>43164.414409722223</v>
      </c>
      <c r="AI302" s="175"/>
      <c r="AJ302" s="175"/>
      <c r="AK302" s="178">
        <v>1</v>
      </c>
    </row>
    <row r="303" spans="1:37" ht="15.95" customHeight="1" x14ac:dyDescent="0.25">
      <c r="A303" s="174" t="s">
        <v>461</v>
      </c>
      <c r="B303" s="174" t="s">
        <v>1379</v>
      </c>
      <c r="C303" s="175"/>
      <c r="D303" s="174" t="s">
        <v>463</v>
      </c>
      <c r="E303" s="174" t="s">
        <v>806</v>
      </c>
      <c r="F303" s="176">
        <v>43164</v>
      </c>
      <c r="G303" s="176">
        <v>43165</v>
      </c>
      <c r="H303" s="174" t="s">
        <v>1363</v>
      </c>
      <c r="I303" s="175" t="e">
        <f>VLOOKUP($H303,Mapping!$A:$A,1,0)</f>
        <v>#N/A</v>
      </c>
      <c r="J303" s="177" t="s">
        <v>466</v>
      </c>
      <c r="K303" s="174" t="s">
        <v>524</v>
      </c>
      <c r="L303" s="178">
        <v>11000000</v>
      </c>
      <c r="M303" s="178">
        <v>99.647931259999993</v>
      </c>
      <c r="N303" s="178">
        <v>2.3741613717000001</v>
      </c>
      <c r="O303" s="178">
        <v>10974262.770091711</v>
      </c>
      <c r="P303" s="174" t="s">
        <v>337</v>
      </c>
      <c r="Q303" s="174" t="s">
        <v>525</v>
      </c>
      <c r="R303" s="174" t="s">
        <v>22</v>
      </c>
      <c r="S303" s="174" t="s">
        <v>129</v>
      </c>
      <c r="T303" s="175" t="str">
        <f>VLOOKUP($S303,Mapping!$C:$C,1,0)</f>
        <v>Omgeo</v>
      </c>
      <c r="U303" s="174" t="s">
        <v>1380</v>
      </c>
      <c r="V303" s="174" t="s">
        <v>132</v>
      </c>
      <c r="W303" s="175"/>
      <c r="X303" s="175"/>
      <c r="Y303" s="174" t="s">
        <v>469</v>
      </c>
      <c r="Z303" s="174" t="s">
        <v>809</v>
      </c>
      <c r="AA303" s="174" t="s">
        <v>22</v>
      </c>
      <c r="AB303" s="174"/>
      <c r="AC303" s="175"/>
      <c r="AD303" s="174" t="s">
        <v>512</v>
      </c>
      <c r="AE303" s="176">
        <v>43164.435173611113</v>
      </c>
      <c r="AF303" s="174" t="s">
        <v>1380</v>
      </c>
      <c r="AG303" s="176">
        <v>43164.429351851853</v>
      </c>
      <c r="AH303" s="176">
        <v>43164.429398148146</v>
      </c>
      <c r="AI303" s="174" t="s">
        <v>473</v>
      </c>
      <c r="AJ303" s="175"/>
      <c r="AK303" s="178">
        <v>1</v>
      </c>
    </row>
    <row r="304" spans="1:37" ht="15.95" customHeight="1" x14ac:dyDescent="0.25">
      <c r="A304" s="174" t="s">
        <v>461</v>
      </c>
      <c r="B304" s="174" t="s">
        <v>1381</v>
      </c>
      <c r="C304" s="175"/>
      <c r="D304" s="174" t="s">
        <v>463</v>
      </c>
      <c r="E304" s="174" t="s">
        <v>806</v>
      </c>
      <c r="F304" s="176">
        <v>43164</v>
      </c>
      <c r="G304" s="176">
        <v>43165</v>
      </c>
      <c r="H304" s="174" t="s">
        <v>1363</v>
      </c>
      <c r="I304" s="175" t="e">
        <f>VLOOKUP($H304,Mapping!$A:$A,1,0)</f>
        <v>#N/A</v>
      </c>
      <c r="J304" s="179" t="s">
        <v>486</v>
      </c>
      <c r="K304" s="174" t="s">
        <v>508</v>
      </c>
      <c r="L304" s="178">
        <v>10000000</v>
      </c>
      <c r="M304" s="178">
        <v>99.90625</v>
      </c>
      <c r="N304" s="178">
        <v>2.7648070224999999</v>
      </c>
      <c r="O304" s="178">
        <v>-9995108.6956521701</v>
      </c>
      <c r="P304" s="174" t="s">
        <v>337</v>
      </c>
      <c r="Q304" s="174" t="s">
        <v>509</v>
      </c>
      <c r="R304" s="174" t="s">
        <v>22</v>
      </c>
      <c r="S304" s="174" t="s">
        <v>129</v>
      </c>
      <c r="T304" s="175" t="str">
        <f>VLOOKUP($S304,Mapping!$C:$C,1,0)</f>
        <v>Omgeo</v>
      </c>
      <c r="U304" s="174" t="s">
        <v>1382</v>
      </c>
      <c r="V304" s="174" t="s">
        <v>132</v>
      </c>
      <c r="W304" s="175"/>
      <c r="X304" s="175"/>
      <c r="Y304" s="174" t="s">
        <v>469</v>
      </c>
      <c r="Z304" s="174" t="s">
        <v>809</v>
      </c>
      <c r="AA304" s="174" t="s">
        <v>22</v>
      </c>
      <c r="AB304" s="174"/>
      <c r="AC304" s="175"/>
      <c r="AD304" s="174" t="s">
        <v>512</v>
      </c>
      <c r="AE304" s="176">
        <v>43164.435173611113</v>
      </c>
      <c r="AF304" s="174" t="s">
        <v>1382</v>
      </c>
      <c r="AG304" s="176">
        <v>43164.429444444446</v>
      </c>
      <c r="AH304" s="176">
        <v>43164.429513888892</v>
      </c>
      <c r="AI304" s="174" t="s">
        <v>473</v>
      </c>
      <c r="AJ304" s="175"/>
      <c r="AK304" s="178">
        <v>1</v>
      </c>
    </row>
    <row r="305" spans="1:37" ht="15.95" customHeight="1" x14ac:dyDescent="0.25">
      <c r="A305" s="174" t="s">
        <v>461</v>
      </c>
      <c r="B305" s="174" t="s">
        <v>1383</v>
      </c>
      <c r="C305" s="175"/>
      <c r="D305" s="174" t="s">
        <v>463</v>
      </c>
      <c r="E305" s="174" t="s">
        <v>806</v>
      </c>
      <c r="F305" s="176">
        <v>43164</v>
      </c>
      <c r="G305" s="176">
        <v>43165</v>
      </c>
      <c r="H305" s="174" t="s">
        <v>1363</v>
      </c>
      <c r="I305" s="175" t="e">
        <f>VLOOKUP($H305,Mapping!$A:$A,1,0)</f>
        <v>#N/A</v>
      </c>
      <c r="J305" s="177" t="s">
        <v>466</v>
      </c>
      <c r="K305" s="174" t="s">
        <v>475</v>
      </c>
      <c r="L305" s="178">
        <v>4000000</v>
      </c>
      <c r="M305" s="178">
        <v>99.21875</v>
      </c>
      <c r="N305" s="178">
        <v>2.8406023789999999</v>
      </c>
      <c r="O305" s="178">
        <v>3974523.4806629801</v>
      </c>
      <c r="P305" s="174" t="s">
        <v>337</v>
      </c>
      <c r="Q305" s="174" t="s">
        <v>476</v>
      </c>
      <c r="R305" s="174" t="s">
        <v>22</v>
      </c>
      <c r="S305" s="174" t="s">
        <v>129</v>
      </c>
      <c r="T305" s="175" t="str">
        <f>VLOOKUP($S305,Mapping!$C:$C,1,0)</f>
        <v>Omgeo</v>
      </c>
      <c r="U305" s="174" t="s">
        <v>1384</v>
      </c>
      <c r="V305" s="174" t="s">
        <v>132</v>
      </c>
      <c r="W305" s="175"/>
      <c r="X305" s="175"/>
      <c r="Y305" s="174" t="s">
        <v>469</v>
      </c>
      <c r="Z305" s="174" t="s">
        <v>809</v>
      </c>
      <c r="AA305" s="174" t="s">
        <v>22</v>
      </c>
      <c r="AB305" s="174"/>
      <c r="AC305" s="175"/>
      <c r="AD305" s="174" t="s">
        <v>512</v>
      </c>
      <c r="AE305" s="176">
        <v>43164.435173611113</v>
      </c>
      <c r="AF305" s="174" t="s">
        <v>1384</v>
      </c>
      <c r="AG305" s="176">
        <v>43164.429537037038</v>
      </c>
      <c r="AH305" s="176">
        <v>43164.429594907408</v>
      </c>
      <c r="AI305" s="174" t="s">
        <v>473</v>
      </c>
      <c r="AJ305" s="175"/>
      <c r="AK305" s="178">
        <v>1</v>
      </c>
    </row>
    <row r="306" spans="1:37" ht="15.95" customHeight="1" x14ac:dyDescent="0.25">
      <c r="A306" s="174" t="s">
        <v>461</v>
      </c>
      <c r="B306" s="174" t="s">
        <v>1385</v>
      </c>
      <c r="C306" s="175"/>
      <c r="D306" s="174" t="s">
        <v>463</v>
      </c>
      <c r="E306" s="174" t="s">
        <v>806</v>
      </c>
      <c r="F306" s="176">
        <v>43164</v>
      </c>
      <c r="G306" s="176">
        <v>43165</v>
      </c>
      <c r="H306" s="174" t="s">
        <v>1363</v>
      </c>
      <c r="I306" s="175" t="e">
        <f>VLOOKUP($H306,Mapping!$A:$A,1,0)</f>
        <v>#N/A</v>
      </c>
      <c r="J306" s="177" t="s">
        <v>466</v>
      </c>
      <c r="K306" s="174" t="s">
        <v>524</v>
      </c>
      <c r="L306" s="178">
        <v>11000000</v>
      </c>
      <c r="M306" s="178">
        <v>99.648327629999997</v>
      </c>
      <c r="N306" s="178">
        <v>2.3740210585999999</v>
      </c>
      <c r="O306" s="178">
        <v>10974306.370791711</v>
      </c>
      <c r="P306" s="174" t="s">
        <v>337</v>
      </c>
      <c r="Q306" s="174" t="s">
        <v>525</v>
      </c>
      <c r="R306" s="174" t="s">
        <v>22</v>
      </c>
      <c r="S306" s="174" t="s">
        <v>129</v>
      </c>
      <c r="T306" s="175" t="str">
        <f>VLOOKUP($S306,Mapping!$C:$C,1,0)</f>
        <v>Omgeo</v>
      </c>
      <c r="U306" s="174" t="s">
        <v>1386</v>
      </c>
      <c r="V306" s="174" t="s">
        <v>132</v>
      </c>
      <c r="W306" s="175"/>
      <c r="X306" s="175"/>
      <c r="Y306" s="174" t="s">
        <v>469</v>
      </c>
      <c r="Z306" s="174" t="s">
        <v>809</v>
      </c>
      <c r="AA306" s="174" t="s">
        <v>22</v>
      </c>
      <c r="AB306" s="174"/>
      <c r="AC306" s="175"/>
      <c r="AD306" s="174" t="s">
        <v>512</v>
      </c>
      <c r="AE306" s="176">
        <v>43164.44158564815</v>
      </c>
      <c r="AF306" s="174" t="s">
        <v>1386</v>
      </c>
      <c r="AG306" s="176">
        <v>43164.43959490741</v>
      </c>
      <c r="AH306" s="176">
        <v>43164.439641203702</v>
      </c>
      <c r="AI306" s="174" t="s">
        <v>473</v>
      </c>
      <c r="AJ306" s="175"/>
      <c r="AK306" s="178">
        <v>1</v>
      </c>
    </row>
    <row r="307" spans="1:37" ht="15.95" customHeight="1" x14ac:dyDescent="0.25">
      <c r="A307" s="174" t="s">
        <v>461</v>
      </c>
      <c r="B307" s="174" t="s">
        <v>1387</v>
      </c>
      <c r="C307" s="175"/>
      <c r="D307" s="174" t="s">
        <v>463</v>
      </c>
      <c r="E307" s="174" t="s">
        <v>806</v>
      </c>
      <c r="F307" s="176">
        <v>43164</v>
      </c>
      <c r="G307" s="176">
        <v>43165</v>
      </c>
      <c r="H307" s="174" t="s">
        <v>1363</v>
      </c>
      <c r="I307" s="175" t="e">
        <f>VLOOKUP($H307,Mapping!$A:$A,1,0)</f>
        <v>#N/A</v>
      </c>
      <c r="J307" s="179" t="s">
        <v>486</v>
      </c>
      <c r="K307" s="174" t="s">
        <v>508</v>
      </c>
      <c r="L307" s="178">
        <v>10000000</v>
      </c>
      <c r="M307" s="178">
        <v>99.890625</v>
      </c>
      <c r="N307" s="178">
        <v>2.7672841971</v>
      </c>
      <c r="O307" s="178">
        <v>-9993546.1956521701</v>
      </c>
      <c r="P307" s="174" t="s">
        <v>337</v>
      </c>
      <c r="Q307" s="174" t="s">
        <v>509</v>
      </c>
      <c r="R307" s="174" t="s">
        <v>22</v>
      </c>
      <c r="S307" s="174" t="s">
        <v>129</v>
      </c>
      <c r="T307" s="175" t="str">
        <f>VLOOKUP($S307,Mapping!$C:$C,1,0)</f>
        <v>Omgeo</v>
      </c>
      <c r="U307" s="174" t="s">
        <v>1388</v>
      </c>
      <c r="V307" s="174" t="s">
        <v>132</v>
      </c>
      <c r="W307" s="175"/>
      <c r="X307" s="175"/>
      <c r="Y307" s="174" t="s">
        <v>469</v>
      </c>
      <c r="Z307" s="174" t="s">
        <v>809</v>
      </c>
      <c r="AA307" s="174" t="s">
        <v>22</v>
      </c>
      <c r="AB307" s="174"/>
      <c r="AC307" s="175"/>
      <c r="AD307" s="174" t="s">
        <v>512</v>
      </c>
      <c r="AE307" s="176">
        <v>43164.44158564815</v>
      </c>
      <c r="AF307" s="174" t="s">
        <v>1388</v>
      </c>
      <c r="AG307" s="176">
        <v>43164.439687500002</v>
      </c>
      <c r="AH307" s="176">
        <v>43164.439756944441</v>
      </c>
      <c r="AI307" s="174" t="s">
        <v>473</v>
      </c>
      <c r="AJ307" s="175"/>
      <c r="AK307" s="178">
        <v>1</v>
      </c>
    </row>
    <row r="308" spans="1:37" ht="15.95" customHeight="1" x14ac:dyDescent="0.25">
      <c r="A308" s="174" t="s">
        <v>461</v>
      </c>
      <c r="B308" s="174" t="s">
        <v>1389</v>
      </c>
      <c r="C308" s="175"/>
      <c r="D308" s="174" t="s">
        <v>463</v>
      </c>
      <c r="E308" s="174" t="s">
        <v>806</v>
      </c>
      <c r="F308" s="176">
        <v>43164</v>
      </c>
      <c r="G308" s="176">
        <v>43165</v>
      </c>
      <c r="H308" s="174" t="s">
        <v>1363</v>
      </c>
      <c r="I308" s="175" t="e">
        <f>VLOOKUP($H308,Mapping!$A:$A,1,0)</f>
        <v>#N/A</v>
      </c>
      <c r="J308" s="177" t="s">
        <v>466</v>
      </c>
      <c r="K308" s="174" t="s">
        <v>475</v>
      </c>
      <c r="L308" s="178">
        <v>4000000</v>
      </c>
      <c r="M308" s="178">
        <v>99.1875</v>
      </c>
      <c r="N308" s="178">
        <v>2.8442474702</v>
      </c>
      <c r="O308" s="178">
        <v>3973273.4806629801</v>
      </c>
      <c r="P308" s="174" t="s">
        <v>337</v>
      </c>
      <c r="Q308" s="174" t="s">
        <v>476</v>
      </c>
      <c r="R308" s="174" t="s">
        <v>22</v>
      </c>
      <c r="S308" s="174" t="s">
        <v>129</v>
      </c>
      <c r="T308" s="175" t="str">
        <f>VLOOKUP($S308,Mapping!$C:$C,1,0)</f>
        <v>Omgeo</v>
      </c>
      <c r="U308" s="174" t="s">
        <v>1390</v>
      </c>
      <c r="V308" s="174" t="s">
        <v>132</v>
      </c>
      <c r="W308" s="175"/>
      <c r="X308" s="175"/>
      <c r="Y308" s="174" t="s">
        <v>469</v>
      </c>
      <c r="Z308" s="174" t="s">
        <v>809</v>
      </c>
      <c r="AA308" s="174" t="s">
        <v>22</v>
      </c>
      <c r="AB308" s="174"/>
      <c r="AC308" s="175"/>
      <c r="AD308" s="174" t="s">
        <v>512</v>
      </c>
      <c r="AE308" s="176">
        <v>43164.44158564815</v>
      </c>
      <c r="AF308" s="174" t="s">
        <v>1390</v>
      </c>
      <c r="AG308" s="176">
        <v>43164.439780092594</v>
      </c>
      <c r="AH308" s="176">
        <v>43164.439837962964</v>
      </c>
      <c r="AI308" s="174" t="s">
        <v>473</v>
      </c>
      <c r="AJ308" s="175"/>
      <c r="AK308" s="178">
        <v>1</v>
      </c>
    </row>
    <row r="309" spans="1:37" ht="15.95" customHeight="1" x14ac:dyDescent="0.25">
      <c r="A309" s="174" t="s">
        <v>461</v>
      </c>
      <c r="B309" s="174" t="s">
        <v>1391</v>
      </c>
      <c r="C309" s="175"/>
      <c r="D309" s="174" t="s">
        <v>478</v>
      </c>
      <c r="E309" s="174" t="s">
        <v>600</v>
      </c>
      <c r="F309" s="176">
        <v>43164</v>
      </c>
      <c r="G309" s="176">
        <v>43165</v>
      </c>
      <c r="H309" s="174" t="s">
        <v>1363</v>
      </c>
      <c r="I309" s="175" t="e">
        <f>VLOOKUP($H309,Mapping!$A:$A,1,0)</f>
        <v>#N/A</v>
      </c>
      <c r="J309" s="177" t="s">
        <v>466</v>
      </c>
      <c r="K309" s="174" t="s">
        <v>475</v>
      </c>
      <c r="L309" s="178">
        <v>4150000</v>
      </c>
      <c r="M309" s="178">
        <v>99.1640625</v>
      </c>
      <c r="N309" s="178">
        <v>2.8469821482</v>
      </c>
      <c r="O309" s="178">
        <v>4121298.5799378497</v>
      </c>
      <c r="P309" s="174" t="s">
        <v>337</v>
      </c>
      <c r="Q309" s="174" t="s">
        <v>476</v>
      </c>
      <c r="R309" s="174" t="s">
        <v>22</v>
      </c>
      <c r="S309" s="174" t="s">
        <v>129</v>
      </c>
      <c r="T309" s="175" t="str">
        <f>VLOOKUP($S309,Mapping!$C:$C,1,0)</f>
        <v>Omgeo</v>
      </c>
      <c r="U309" s="174" t="s">
        <v>1392</v>
      </c>
      <c r="V309" s="174" t="s">
        <v>132</v>
      </c>
      <c r="W309" s="175"/>
      <c r="X309" s="175"/>
      <c r="Y309" s="174" t="s">
        <v>469</v>
      </c>
      <c r="Z309" s="174" t="s">
        <v>604</v>
      </c>
      <c r="AA309" s="174" t="s">
        <v>22</v>
      </c>
      <c r="AB309" s="174"/>
      <c r="AC309" s="175"/>
      <c r="AD309" s="174" t="s">
        <v>969</v>
      </c>
      <c r="AE309" s="176">
        <v>43164.448148148149</v>
      </c>
      <c r="AF309" s="174" t="s">
        <v>1392</v>
      </c>
      <c r="AG309" s="176">
        <v>43164.480069444442</v>
      </c>
      <c r="AH309" s="176">
        <v>43164.480069444442</v>
      </c>
      <c r="AI309" s="175"/>
      <c r="AJ309" s="175"/>
      <c r="AK309" s="178">
        <v>1</v>
      </c>
    </row>
    <row r="310" spans="1:37" ht="15.95" customHeight="1" x14ac:dyDescent="0.25">
      <c r="A310" s="174" t="s">
        <v>461</v>
      </c>
      <c r="B310" s="174" t="s">
        <v>1393</v>
      </c>
      <c r="C310" s="175"/>
      <c r="D310" s="174" t="s">
        <v>566</v>
      </c>
      <c r="E310" s="174" t="s">
        <v>676</v>
      </c>
      <c r="F310" s="176">
        <v>43164</v>
      </c>
      <c r="G310" s="176">
        <v>43166</v>
      </c>
      <c r="H310" s="174" t="s">
        <v>1363</v>
      </c>
      <c r="I310" s="175" t="e">
        <f>VLOOKUP($H310,Mapping!$A:$A,1,0)</f>
        <v>#N/A</v>
      </c>
      <c r="J310" s="179" t="s">
        <v>486</v>
      </c>
      <c r="K310" s="174" t="s">
        <v>803</v>
      </c>
      <c r="L310" s="178">
        <v>7650000</v>
      </c>
      <c r="M310" s="178">
        <v>143.62549999999999</v>
      </c>
      <c r="N310" s="178">
        <v>1.1770010453999999</v>
      </c>
      <c r="O310" s="178">
        <v>-11154917.188356159</v>
      </c>
      <c r="P310" s="174" t="s">
        <v>386</v>
      </c>
      <c r="Q310" s="174" t="s">
        <v>804</v>
      </c>
      <c r="R310" s="174" t="s">
        <v>22</v>
      </c>
      <c r="S310" s="174" t="s">
        <v>129</v>
      </c>
      <c r="T310" s="175" t="str">
        <f>VLOOKUP($S310,Mapping!$C:$C,1,0)</f>
        <v>Omgeo</v>
      </c>
      <c r="U310" s="174" t="s">
        <v>1394</v>
      </c>
      <c r="V310" s="174" t="s">
        <v>132</v>
      </c>
      <c r="W310" s="175"/>
      <c r="X310" s="175"/>
      <c r="Y310" s="174" t="s">
        <v>575</v>
      </c>
      <c r="Z310" s="174" t="s">
        <v>683</v>
      </c>
      <c r="AA310" s="174" t="s">
        <v>22</v>
      </c>
      <c r="AB310" s="174"/>
      <c r="AC310" s="175"/>
      <c r="AD310" s="174" t="s">
        <v>512</v>
      </c>
      <c r="AE310" s="176">
        <v>43164.493368055555</v>
      </c>
      <c r="AF310" s="174" t="s">
        <v>1394</v>
      </c>
      <c r="AG310" s="176">
        <v>43164.489004629628</v>
      </c>
      <c r="AH310" s="176">
        <v>43164.489062499997</v>
      </c>
      <c r="AI310" s="175"/>
      <c r="AJ310" s="175"/>
      <c r="AK310" s="178">
        <v>1</v>
      </c>
    </row>
    <row r="311" spans="1:37" ht="15.95" customHeight="1" x14ac:dyDescent="0.25">
      <c r="A311" s="174" t="s">
        <v>461</v>
      </c>
      <c r="B311" s="174" t="s">
        <v>1395</v>
      </c>
      <c r="C311" s="175"/>
      <c r="D311" s="174" t="s">
        <v>566</v>
      </c>
      <c r="E311" s="174" t="s">
        <v>676</v>
      </c>
      <c r="F311" s="176">
        <v>43164</v>
      </c>
      <c r="G311" s="176">
        <v>43166</v>
      </c>
      <c r="H311" s="174" t="s">
        <v>1363</v>
      </c>
      <c r="I311" s="175" t="e">
        <f>VLOOKUP($H311,Mapping!$A:$A,1,0)</f>
        <v>#N/A</v>
      </c>
      <c r="J311" s="177" t="s">
        <v>466</v>
      </c>
      <c r="K311" s="174" t="s">
        <v>1396</v>
      </c>
      <c r="L311" s="178">
        <v>7200000</v>
      </c>
      <c r="M311" s="178">
        <v>129.87180000000001</v>
      </c>
      <c r="N311" s="178">
        <v>1.2460027816000001</v>
      </c>
      <c r="O311" s="178">
        <v>9451372.339726029</v>
      </c>
      <c r="P311" s="174" t="s">
        <v>386</v>
      </c>
      <c r="Q311" s="174" t="s">
        <v>1397</v>
      </c>
      <c r="R311" s="174" t="s">
        <v>22</v>
      </c>
      <c r="S311" s="174" t="s">
        <v>129</v>
      </c>
      <c r="T311" s="175" t="str">
        <f>VLOOKUP($S311,Mapping!$C:$C,1,0)</f>
        <v>Omgeo</v>
      </c>
      <c r="U311" s="174" t="s">
        <v>1398</v>
      </c>
      <c r="V311" s="174" t="s">
        <v>132</v>
      </c>
      <c r="W311" s="175"/>
      <c r="X311" s="175"/>
      <c r="Y311" s="174" t="s">
        <v>575</v>
      </c>
      <c r="Z311" s="174" t="s">
        <v>683</v>
      </c>
      <c r="AA311" s="174" t="s">
        <v>22</v>
      </c>
      <c r="AB311" s="174"/>
      <c r="AC311" s="175"/>
      <c r="AD311" s="174" t="s">
        <v>512</v>
      </c>
      <c r="AE311" s="176">
        <v>43164.493368055555</v>
      </c>
      <c r="AF311" s="174" t="s">
        <v>1398</v>
      </c>
      <c r="AG311" s="176">
        <v>43164.489004629628</v>
      </c>
      <c r="AH311" s="176">
        <v>43164.489074074074</v>
      </c>
      <c r="AI311" s="175"/>
      <c r="AJ311" s="175"/>
      <c r="AK311" s="178">
        <v>1</v>
      </c>
    </row>
    <row r="312" spans="1:37" ht="15.95" customHeight="1" x14ac:dyDescent="0.25">
      <c r="A312" s="174" t="s">
        <v>461</v>
      </c>
      <c r="B312" s="174" t="s">
        <v>1399</v>
      </c>
      <c r="C312" s="175"/>
      <c r="D312" s="174" t="s">
        <v>463</v>
      </c>
      <c r="E312" s="174" t="s">
        <v>806</v>
      </c>
      <c r="F312" s="176">
        <v>43164</v>
      </c>
      <c r="G312" s="176">
        <v>43165</v>
      </c>
      <c r="H312" s="174" t="s">
        <v>1363</v>
      </c>
      <c r="I312" s="175" t="e">
        <f>VLOOKUP($H312,Mapping!$A:$A,1,0)</f>
        <v>#N/A</v>
      </c>
      <c r="J312" s="177" t="s">
        <v>466</v>
      </c>
      <c r="K312" s="174" t="s">
        <v>524</v>
      </c>
      <c r="L312" s="178">
        <v>28000000</v>
      </c>
      <c r="M312" s="178">
        <v>99.554404829999996</v>
      </c>
      <c r="N312" s="178">
        <v>2.4072878797000001</v>
      </c>
      <c r="O312" s="178">
        <v>27908299.650742542</v>
      </c>
      <c r="P312" s="174" t="s">
        <v>337</v>
      </c>
      <c r="Q312" s="174" t="s">
        <v>525</v>
      </c>
      <c r="R312" s="174" t="s">
        <v>22</v>
      </c>
      <c r="S312" s="174" t="s">
        <v>129</v>
      </c>
      <c r="T312" s="175" t="str">
        <f>VLOOKUP($S312,Mapping!$C:$C,1,0)</f>
        <v>Omgeo</v>
      </c>
      <c r="U312" s="174" t="s">
        <v>1400</v>
      </c>
      <c r="V312" s="174" t="s">
        <v>132</v>
      </c>
      <c r="W312" s="175"/>
      <c r="X312" s="175"/>
      <c r="Y312" s="174" t="s">
        <v>469</v>
      </c>
      <c r="Z312" s="174" t="s">
        <v>809</v>
      </c>
      <c r="AA312" s="174" t="s">
        <v>22</v>
      </c>
      <c r="AB312" s="174"/>
      <c r="AC312" s="175"/>
      <c r="AD312" s="174" t="s">
        <v>512</v>
      </c>
      <c r="AE312" s="176">
        <v>43164.512592592589</v>
      </c>
      <c r="AF312" s="174" t="s">
        <v>1400</v>
      </c>
      <c r="AG312" s="176">
        <v>43164.508333333331</v>
      </c>
      <c r="AH312" s="176">
        <v>43164.508391203701</v>
      </c>
      <c r="AI312" s="174" t="s">
        <v>473</v>
      </c>
      <c r="AJ312" s="175"/>
      <c r="AK312" s="178">
        <v>1</v>
      </c>
    </row>
    <row r="313" spans="1:37" ht="15.95" customHeight="1" x14ac:dyDescent="0.25">
      <c r="A313" s="174" t="s">
        <v>461</v>
      </c>
      <c r="B313" s="174" t="s">
        <v>1401</v>
      </c>
      <c r="C313" s="175"/>
      <c r="D313" s="174" t="s">
        <v>463</v>
      </c>
      <c r="E313" s="174" t="s">
        <v>806</v>
      </c>
      <c r="F313" s="176">
        <v>43164</v>
      </c>
      <c r="G313" s="176">
        <v>43165</v>
      </c>
      <c r="H313" s="174" t="s">
        <v>1363</v>
      </c>
      <c r="I313" s="175" t="e">
        <f>VLOOKUP($H313,Mapping!$A:$A,1,0)</f>
        <v>#N/A</v>
      </c>
      <c r="J313" s="179" t="s">
        <v>486</v>
      </c>
      <c r="K313" s="174" t="s">
        <v>508</v>
      </c>
      <c r="L313" s="178">
        <v>25000000</v>
      </c>
      <c r="M313" s="178">
        <v>99.65625</v>
      </c>
      <c r="N313" s="178">
        <v>2.8044946605000001</v>
      </c>
      <c r="O313" s="178">
        <v>-24925271.73913043</v>
      </c>
      <c r="P313" s="174" t="s">
        <v>337</v>
      </c>
      <c r="Q313" s="174" t="s">
        <v>509</v>
      </c>
      <c r="R313" s="174" t="s">
        <v>22</v>
      </c>
      <c r="S313" s="174" t="s">
        <v>129</v>
      </c>
      <c r="T313" s="175" t="str">
        <f>VLOOKUP($S313,Mapping!$C:$C,1,0)</f>
        <v>Omgeo</v>
      </c>
      <c r="U313" s="174" t="s">
        <v>1402</v>
      </c>
      <c r="V313" s="174" t="s">
        <v>132</v>
      </c>
      <c r="W313" s="175"/>
      <c r="X313" s="175"/>
      <c r="Y313" s="174" t="s">
        <v>469</v>
      </c>
      <c r="Z313" s="174" t="s">
        <v>809</v>
      </c>
      <c r="AA313" s="174" t="s">
        <v>22</v>
      </c>
      <c r="AB313" s="174"/>
      <c r="AC313" s="175"/>
      <c r="AD313" s="174" t="s">
        <v>512</v>
      </c>
      <c r="AE313" s="176">
        <v>43164.512592592589</v>
      </c>
      <c r="AF313" s="174" t="s">
        <v>1402</v>
      </c>
      <c r="AG313" s="176">
        <v>43164.508437500001</v>
      </c>
      <c r="AH313" s="176">
        <v>43164.508518518516</v>
      </c>
      <c r="AI313" s="174" t="s">
        <v>473</v>
      </c>
      <c r="AJ313" s="175"/>
      <c r="AK313" s="178">
        <v>1</v>
      </c>
    </row>
    <row r="314" spans="1:37" ht="15.95" customHeight="1" x14ac:dyDescent="0.25">
      <c r="A314" s="174" t="s">
        <v>461</v>
      </c>
      <c r="B314" s="174" t="s">
        <v>1403</v>
      </c>
      <c r="C314" s="175"/>
      <c r="D314" s="174" t="s">
        <v>463</v>
      </c>
      <c r="E314" s="174" t="s">
        <v>806</v>
      </c>
      <c r="F314" s="176">
        <v>43164</v>
      </c>
      <c r="G314" s="176">
        <v>43165</v>
      </c>
      <c r="H314" s="174" t="s">
        <v>1363</v>
      </c>
      <c r="I314" s="175" t="e">
        <f>VLOOKUP($H314,Mapping!$A:$A,1,0)</f>
        <v>#N/A</v>
      </c>
      <c r="J314" s="177" t="s">
        <v>466</v>
      </c>
      <c r="K314" s="174" t="s">
        <v>475</v>
      </c>
      <c r="L314" s="178">
        <v>9000000</v>
      </c>
      <c r="M314" s="178">
        <v>98.890625</v>
      </c>
      <c r="N314" s="178">
        <v>2.8789413034</v>
      </c>
      <c r="O314" s="178">
        <v>8913146.5814917106</v>
      </c>
      <c r="P314" s="174" t="s">
        <v>337</v>
      </c>
      <c r="Q314" s="174" t="s">
        <v>476</v>
      </c>
      <c r="R314" s="174" t="s">
        <v>22</v>
      </c>
      <c r="S314" s="174" t="s">
        <v>129</v>
      </c>
      <c r="T314" s="175" t="str">
        <f>VLOOKUP($S314,Mapping!$C:$C,1,0)</f>
        <v>Omgeo</v>
      </c>
      <c r="U314" s="174" t="s">
        <v>1404</v>
      </c>
      <c r="V314" s="174" t="s">
        <v>132</v>
      </c>
      <c r="W314" s="175"/>
      <c r="X314" s="175"/>
      <c r="Y314" s="174" t="s">
        <v>469</v>
      </c>
      <c r="Z314" s="174" t="s">
        <v>809</v>
      </c>
      <c r="AA314" s="174" t="s">
        <v>22</v>
      </c>
      <c r="AB314" s="174"/>
      <c r="AC314" s="175"/>
      <c r="AD314" s="174" t="s">
        <v>512</v>
      </c>
      <c r="AE314" s="176">
        <v>43164.512592592589</v>
      </c>
      <c r="AF314" s="174" t="s">
        <v>1404</v>
      </c>
      <c r="AG314" s="176">
        <v>43164.508483796293</v>
      </c>
      <c r="AH314" s="176">
        <v>43164.508564814816</v>
      </c>
      <c r="AI314" s="174" t="s">
        <v>473</v>
      </c>
      <c r="AJ314" s="175"/>
      <c r="AK314" s="178">
        <v>1</v>
      </c>
    </row>
    <row r="315" spans="1:37" ht="15.95" customHeight="1" x14ac:dyDescent="0.25">
      <c r="A315" s="174" t="s">
        <v>461</v>
      </c>
      <c r="B315" s="174" t="s">
        <v>1405</v>
      </c>
      <c r="C315" s="175"/>
      <c r="D315" s="174" t="s">
        <v>463</v>
      </c>
      <c r="E315" s="174" t="s">
        <v>553</v>
      </c>
      <c r="F315" s="176">
        <v>43164</v>
      </c>
      <c r="G315" s="176">
        <v>43165</v>
      </c>
      <c r="H315" s="174" t="s">
        <v>1363</v>
      </c>
      <c r="I315" s="175" t="e">
        <f>VLOOKUP($H315,Mapping!$A:$A,1,0)</f>
        <v>#N/A</v>
      </c>
      <c r="J315" s="179" t="s">
        <v>486</v>
      </c>
      <c r="K315" s="174" t="s">
        <v>1227</v>
      </c>
      <c r="L315" s="178">
        <v>200000000</v>
      </c>
      <c r="M315" s="178">
        <v>110.53538</v>
      </c>
      <c r="N315" s="178">
        <v>3.1487193233999999</v>
      </c>
      <c r="O315" s="178">
        <v>-223370483.75690609</v>
      </c>
      <c r="P315" s="174" t="s">
        <v>337</v>
      </c>
      <c r="Q315" s="174" t="s">
        <v>1228</v>
      </c>
      <c r="R315" s="174" t="s">
        <v>22</v>
      </c>
      <c r="S315" s="174" t="s">
        <v>129</v>
      </c>
      <c r="T315" s="175" t="str">
        <f>VLOOKUP($S315,Mapping!$C:$C,1,0)</f>
        <v>Omgeo</v>
      </c>
      <c r="U315" s="174" t="s">
        <v>1406</v>
      </c>
      <c r="V315" s="174" t="s">
        <v>132</v>
      </c>
      <c r="W315" s="175"/>
      <c r="X315" s="175"/>
      <c r="Y315" s="174" t="s">
        <v>469</v>
      </c>
      <c r="Z315" s="174" t="s">
        <v>555</v>
      </c>
      <c r="AA315" s="174" t="s">
        <v>22</v>
      </c>
      <c r="AB315" s="174"/>
      <c r="AC315" s="175"/>
      <c r="AD315" s="174" t="s">
        <v>512</v>
      </c>
      <c r="AE315" s="176">
        <v>43164.551620370374</v>
      </c>
      <c r="AF315" s="174" t="s">
        <v>1406</v>
      </c>
      <c r="AG315" s="176">
        <v>43164.543738425928</v>
      </c>
      <c r="AH315" s="176">
        <v>43164.54378472222</v>
      </c>
      <c r="AI315" s="174" t="s">
        <v>473</v>
      </c>
      <c r="AJ315" s="175"/>
      <c r="AK315" s="178">
        <v>1</v>
      </c>
    </row>
    <row r="316" spans="1:37" ht="15.95" customHeight="1" x14ac:dyDescent="0.25">
      <c r="A316" s="174" t="s">
        <v>484</v>
      </c>
      <c r="B316" s="174" t="s">
        <v>1407</v>
      </c>
      <c r="C316" s="175"/>
      <c r="D316" s="174" t="s">
        <v>478</v>
      </c>
      <c r="E316" s="174" t="s">
        <v>535</v>
      </c>
      <c r="F316" s="176">
        <v>43164</v>
      </c>
      <c r="G316" s="176">
        <v>43166</v>
      </c>
      <c r="H316" s="174" t="s">
        <v>1363</v>
      </c>
      <c r="I316" s="175" t="e">
        <f>VLOOKUP($H316,Mapping!$A:$A,1,0)</f>
        <v>#N/A</v>
      </c>
      <c r="J316" s="177" t="s">
        <v>466</v>
      </c>
      <c r="K316" s="174" t="s">
        <v>1408</v>
      </c>
      <c r="L316" s="178">
        <v>1408000</v>
      </c>
      <c r="M316" s="178">
        <v>96.052000000000007</v>
      </c>
      <c r="N316" s="178">
        <v>5.1320037358999997</v>
      </c>
      <c r="O316" s="178">
        <v>1357969.8488888901</v>
      </c>
      <c r="P316" s="174" t="s">
        <v>337</v>
      </c>
      <c r="Q316" s="174" t="s">
        <v>1409</v>
      </c>
      <c r="R316" s="174" t="s">
        <v>22</v>
      </c>
      <c r="S316" s="174" t="s">
        <v>129</v>
      </c>
      <c r="T316" s="175" t="str">
        <f>VLOOKUP($S316,Mapping!$C:$C,1,0)</f>
        <v>Omgeo</v>
      </c>
      <c r="U316" s="174" t="s">
        <v>1410</v>
      </c>
      <c r="V316" s="174" t="s">
        <v>132</v>
      </c>
      <c r="W316" s="175"/>
      <c r="X316" s="175"/>
      <c r="Y316" s="174" t="s">
        <v>489</v>
      </c>
      <c r="Z316" s="174" t="s">
        <v>540</v>
      </c>
      <c r="AA316" s="174" t="s">
        <v>22</v>
      </c>
      <c r="AB316" s="174"/>
      <c r="AC316" s="175"/>
      <c r="AD316" s="174" t="s">
        <v>541</v>
      </c>
      <c r="AE316" s="176">
        <v>43164.558287037034</v>
      </c>
      <c r="AF316" s="174" t="s">
        <v>1410</v>
      </c>
      <c r="AG316" s="176">
        <v>43164.554826388892</v>
      </c>
      <c r="AH316" s="176">
        <v>43164.554826388892</v>
      </c>
      <c r="AI316" s="175"/>
      <c r="AJ316" s="175"/>
      <c r="AK316" s="178">
        <v>1</v>
      </c>
    </row>
    <row r="317" spans="1:37" ht="15.95" customHeight="1" x14ac:dyDescent="0.25">
      <c r="A317" s="174" t="s">
        <v>461</v>
      </c>
      <c r="B317" s="174" t="s">
        <v>1411</v>
      </c>
      <c r="C317" s="175"/>
      <c r="D317" s="174" t="s">
        <v>478</v>
      </c>
      <c r="E317" s="174" t="s">
        <v>535</v>
      </c>
      <c r="F317" s="176">
        <v>43164</v>
      </c>
      <c r="G317" s="176">
        <v>43165</v>
      </c>
      <c r="H317" s="174" t="s">
        <v>1363</v>
      </c>
      <c r="I317" s="175" t="e">
        <f>VLOOKUP($H317,Mapping!$A:$A,1,0)</f>
        <v>#N/A</v>
      </c>
      <c r="J317" s="179" t="s">
        <v>486</v>
      </c>
      <c r="K317" s="174" t="s">
        <v>543</v>
      </c>
      <c r="L317" s="178">
        <v>1250000</v>
      </c>
      <c r="M317" s="178">
        <v>92.640625</v>
      </c>
      <c r="N317" s="178">
        <v>3.1323948108000002</v>
      </c>
      <c r="O317" s="178">
        <v>-1168548.21305249</v>
      </c>
      <c r="P317" s="174" t="s">
        <v>337</v>
      </c>
      <c r="Q317" s="174" t="s">
        <v>544</v>
      </c>
      <c r="R317" s="174" t="s">
        <v>22</v>
      </c>
      <c r="S317" s="174" t="s">
        <v>129</v>
      </c>
      <c r="T317" s="175" t="str">
        <f>VLOOKUP($S317,Mapping!$C:$C,1,0)</f>
        <v>Omgeo</v>
      </c>
      <c r="U317" s="174" t="s">
        <v>1412</v>
      </c>
      <c r="V317" s="174" t="s">
        <v>132</v>
      </c>
      <c r="W317" s="175"/>
      <c r="X317" s="175"/>
      <c r="Y317" s="174" t="s">
        <v>469</v>
      </c>
      <c r="Z317" s="174" t="s">
        <v>540</v>
      </c>
      <c r="AA317" s="174" t="s">
        <v>22</v>
      </c>
      <c r="AB317" s="174"/>
      <c r="AC317" s="175"/>
      <c r="AD317" s="174" t="s">
        <v>541</v>
      </c>
      <c r="AE317" s="176">
        <v>43164.558287037034</v>
      </c>
      <c r="AF317" s="174" t="s">
        <v>1412</v>
      </c>
      <c r="AG317" s="176">
        <v>43164.554930555554</v>
      </c>
      <c r="AH317" s="176">
        <v>43164.554930555554</v>
      </c>
      <c r="AI317" s="175"/>
      <c r="AJ317" s="175"/>
      <c r="AK317" s="178">
        <v>1</v>
      </c>
    </row>
    <row r="318" spans="1:37" ht="15.95" customHeight="1" x14ac:dyDescent="0.25">
      <c r="A318" s="174" t="s">
        <v>461</v>
      </c>
      <c r="B318" s="174" t="s">
        <v>1413</v>
      </c>
      <c r="C318" s="175"/>
      <c r="D318" s="174" t="s">
        <v>478</v>
      </c>
      <c r="E318" s="174" t="s">
        <v>479</v>
      </c>
      <c r="F318" s="176">
        <v>43164</v>
      </c>
      <c r="G318" s="176">
        <v>43165</v>
      </c>
      <c r="H318" s="174" t="s">
        <v>1363</v>
      </c>
      <c r="I318" s="175" t="e">
        <f>VLOOKUP($H318,Mapping!$A:$A,1,0)</f>
        <v>#N/A</v>
      </c>
      <c r="J318" s="179" t="s">
        <v>486</v>
      </c>
      <c r="K318" s="174" t="s">
        <v>543</v>
      </c>
      <c r="L318" s="178">
        <v>2143000</v>
      </c>
      <c r="M318" s="178">
        <v>92.75</v>
      </c>
      <c r="N318" s="178">
        <v>3.1264256134999999</v>
      </c>
      <c r="O318" s="178">
        <v>-2005702.9627071801</v>
      </c>
      <c r="P318" s="174" t="s">
        <v>337</v>
      </c>
      <c r="Q318" s="174" t="s">
        <v>544</v>
      </c>
      <c r="R318" s="174" t="s">
        <v>22</v>
      </c>
      <c r="S318" s="174" t="s">
        <v>129</v>
      </c>
      <c r="T318" s="175" t="str">
        <f>VLOOKUP($S318,Mapping!$C:$C,1,0)</f>
        <v>Omgeo</v>
      </c>
      <c r="U318" s="174" t="s">
        <v>1414</v>
      </c>
      <c r="V318" s="174" t="s">
        <v>132</v>
      </c>
      <c r="W318" s="175"/>
      <c r="X318" s="175"/>
      <c r="Y318" s="174" t="s">
        <v>469</v>
      </c>
      <c r="Z318" s="174" t="s">
        <v>481</v>
      </c>
      <c r="AA318" s="174" t="s">
        <v>22</v>
      </c>
      <c r="AB318" s="174"/>
      <c r="AC318" s="175"/>
      <c r="AD318" s="174" t="s">
        <v>512</v>
      </c>
      <c r="AE318" s="176">
        <v>43164.564699074072</v>
      </c>
      <c r="AF318" s="174" t="s">
        <v>1414</v>
      </c>
      <c r="AG318" s="176">
        <v>43164.561493055553</v>
      </c>
      <c r="AH318" s="176">
        <v>43164.561620370368</v>
      </c>
      <c r="AI318" s="175"/>
      <c r="AJ318" s="175"/>
      <c r="AK318" s="178">
        <v>1</v>
      </c>
    </row>
    <row r="319" spans="1:37" ht="15.95" customHeight="1" x14ac:dyDescent="0.25">
      <c r="A319" s="174" t="s">
        <v>484</v>
      </c>
      <c r="B319" s="174" t="s">
        <v>1415</v>
      </c>
      <c r="C319" s="175"/>
      <c r="D319" s="174" t="s">
        <v>478</v>
      </c>
      <c r="E319" s="174" t="s">
        <v>535</v>
      </c>
      <c r="F319" s="176">
        <v>43164</v>
      </c>
      <c r="G319" s="176">
        <v>43166</v>
      </c>
      <c r="H319" s="174" t="s">
        <v>1363</v>
      </c>
      <c r="I319" s="175" t="e">
        <f>VLOOKUP($H319,Mapping!$A:$A,1,0)</f>
        <v>#N/A</v>
      </c>
      <c r="J319" s="179" t="s">
        <v>486</v>
      </c>
      <c r="K319" s="174" t="s">
        <v>940</v>
      </c>
      <c r="L319" s="178">
        <v>2459000</v>
      </c>
      <c r="M319" s="178">
        <v>96.918999999999997</v>
      </c>
      <c r="N319" s="178">
        <v>4.7380275073</v>
      </c>
      <c r="O319" s="178">
        <v>-2392152.085</v>
      </c>
      <c r="P319" s="174" t="s">
        <v>337</v>
      </c>
      <c r="Q319" s="174" t="s">
        <v>941</v>
      </c>
      <c r="R319" s="174" t="s">
        <v>22</v>
      </c>
      <c r="S319" s="174" t="s">
        <v>129</v>
      </c>
      <c r="T319" s="175" t="str">
        <f>VLOOKUP($S319,Mapping!$C:$C,1,0)</f>
        <v>Omgeo</v>
      </c>
      <c r="U319" s="174" t="s">
        <v>1416</v>
      </c>
      <c r="V319" s="174" t="s">
        <v>132</v>
      </c>
      <c r="W319" s="175"/>
      <c r="X319" s="175"/>
      <c r="Y319" s="174" t="s">
        <v>489</v>
      </c>
      <c r="Z319" s="174" t="s">
        <v>540</v>
      </c>
      <c r="AA319" s="174" t="s">
        <v>22</v>
      </c>
      <c r="AB319" s="174"/>
      <c r="AC319" s="175"/>
      <c r="AD319" s="174" t="s">
        <v>541</v>
      </c>
      <c r="AE319" s="176">
        <v>43164.564699074072</v>
      </c>
      <c r="AF319" s="174" t="s">
        <v>1416</v>
      </c>
      <c r="AG319" s="176">
        <v>43164.565775462965</v>
      </c>
      <c r="AH319" s="176">
        <v>43164.565775462965</v>
      </c>
      <c r="AI319" s="175"/>
      <c r="AJ319" s="175"/>
      <c r="AK319" s="178">
        <v>1</v>
      </c>
    </row>
    <row r="320" spans="1:37" ht="15.95" customHeight="1" x14ac:dyDescent="0.25">
      <c r="A320" s="174" t="s">
        <v>484</v>
      </c>
      <c r="B320" s="174" t="s">
        <v>1417</v>
      </c>
      <c r="C320" s="175"/>
      <c r="D320" s="174" t="s">
        <v>566</v>
      </c>
      <c r="E320" s="174" t="s">
        <v>491</v>
      </c>
      <c r="F320" s="176">
        <v>43164</v>
      </c>
      <c r="G320" s="176">
        <v>43166</v>
      </c>
      <c r="H320" s="174" t="s">
        <v>1363</v>
      </c>
      <c r="I320" s="175" t="e">
        <f>VLOOKUP($H320,Mapping!$A:$A,1,0)</f>
        <v>#N/A</v>
      </c>
      <c r="J320" s="179" t="s">
        <v>486</v>
      </c>
      <c r="K320" s="174" t="s">
        <v>1418</v>
      </c>
      <c r="L320" s="178">
        <v>4500000</v>
      </c>
      <c r="M320" s="178">
        <v>100.762</v>
      </c>
      <c r="N320" s="178">
        <v>0.62005251169999998</v>
      </c>
      <c r="O320" s="178">
        <v>-4535411</v>
      </c>
      <c r="P320" s="174" t="s">
        <v>386</v>
      </c>
      <c r="Q320" s="174" t="s">
        <v>1419</v>
      </c>
      <c r="R320" s="174" t="s">
        <v>22</v>
      </c>
      <c r="S320" s="174" t="s">
        <v>129</v>
      </c>
      <c r="T320" s="175" t="str">
        <f>VLOOKUP($S320,Mapping!$C:$C,1,0)</f>
        <v>Omgeo</v>
      </c>
      <c r="U320" s="174" t="s">
        <v>1420</v>
      </c>
      <c r="V320" s="174" t="s">
        <v>132</v>
      </c>
      <c r="W320" s="175"/>
      <c r="X320" s="175"/>
      <c r="Y320" s="174" t="s">
        <v>1421</v>
      </c>
      <c r="Z320" s="174" t="s">
        <v>494</v>
      </c>
      <c r="AA320" s="174" t="s">
        <v>22</v>
      </c>
      <c r="AB320" s="174"/>
      <c r="AC320" s="175"/>
      <c r="AD320" s="174" t="s">
        <v>512</v>
      </c>
      <c r="AE320" s="176">
        <v>43164.57135416667</v>
      </c>
      <c r="AF320" s="174" t="s">
        <v>1420</v>
      </c>
      <c r="AG320" s="176">
        <v>43164.565833333334</v>
      </c>
      <c r="AH320" s="176">
        <v>43164.565879629627</v>
      </c>
      <c r="AI320" s="175"/>
      <c r="AJ320" s="175"/>
      <c r="AK320" s="178">
        <v>1</v>
      </c>
    </row>
    <row r="321" spans="1:37" ht="15.95" customHeight="1" x14ac:dyDescent="0.25">
      <c r="A321" s="174" t="s">
        <v>461</v>
      </c>
      <c r="B321" s="174" t="s">
        <v>1422</v>
      </c>
      <c r="C321" s="175"/>
      <c r="D321" s="174" t="s">
        <v>478</v>
      </c>
      <c r="E321" s="174" t="s">
        <v>535</v>
      </c>
      <c r="F321" s="176">
        <v>43164</v>
      </c>
      <c r="G321" s="176">
        <v>43165</v>
      </c>
      <c r="H321" s="174" t="s">
        <v>1363</v>
      </c>
      <c r="I321" s="175" t="e">
        <f>VLOOKUP($H321,Mapping!$A:$A,1,0)</f>
        <v>#N/A</v>
      </c>
      <c r="J321" s="177" t="s">
        <v>466</v>
      </c>
      <c r="K321" s="174" t="s">
        <v>543</v>
      </c>
      <c r="L321" s="178">
        <v>1700000</v>
      </c>
      <c r="M321" s="178">
        <v>92.171875</v>
      </c>
      <c r="N321" s="178">
        <v>3.1580810419000001</v>
      </c>
      <c r="O321" s="178">
        <v>1581256.81975138</v>
      </c>
      <c r="P321" s="174" t="s">
        <v>337</v>
      </c>
      <c r="Q321" s="174" t="s">
        <v>544</v>
      </c>
      <c r="R321" s="174" t="s">
        <v>22</v>
      </c>
      <c r="S321" s="174" t="s">
        <v>129</v>
      </c>
      <c r="T321" s="175" t="str">
        <f>VLOOKUP($S321,Mapping!$C:$C,1,0)</f>
        <v>Omgeo</v>
      </c>
      <c r="U321" s="174" t="s">
        <v>1423</v>
      </c>
      <c r="V321" s="174" t="s">
        <v>132</v>
      </c>
      <c r="W321" s="175"/>
      <c r="X321" s="175"/>
      <c r="Y321" s="174" t="s">
        <v>469</v>
      </c>
      <c r="Z321" s="174" t="s">
        <v>540</v>
      </c>
      <c r="AA321" s="174" t="s">
        <v>22</v>
      </c>
      <c r="AB321" s="174"/>
      <c r="AC321" s="175"/>
      <c r="AD321" s="174" t="s">
        <v>541</v>
      </c>
      <c r="AE321" s="176">
        <v>43164.564699074072</v>
      </c>
      <c r="AF321" s="174" t="s">
        <v>1423</v>
      </c>
      <c r="AG321" s="176">
        <v>43164.56591435185</v>
      </c>
      <c r="AH321" s="176">
        <v>43164.56591435185</v>
      </c>
      <c r="AI321" s="175"/>
      <c r="AJ321" s="175"/>
      <c r="AK321" s="178">
        <v>1</v>
      </c>
    </row>
    <row r="322" spans="1:37" ht="15.95" customHeight="1" x14ac:dyDescent="0.25">
      <c r="A322" s="174" t="s">
        <v>461</v>
      </c>
      <c r="B322" s="174" t="s">
        <v>1424</v>
      </c>
      <c r="C322" s="175"/>
      <c r="D322" s="174" t="s">
        <v>478</v>
      </c>
      <c r="E322" s="174" t="s">
        <v>600</v>
      </c>
      <c r="F322" s="176">
        <v>43164</v>
      </c>
      <c r="G322" s="176">
        <v>43165</v>
      </c>
      <c r="H322" s="174" t="s">
        <v>1363</v>
      </c>
      <c r="I322" s="175" t="e">
        <f>VLOOKUP($H322,Mapping!$A:$A,1,0)</f>
        <v>#N/A</v>
      </c>
      <c r="J322" s="177" t="s">
        <v>466</v>
      </c>
      <c r="K322" s="174" t="s">
        <v>475</v>
      </c>
      <c r="L322" s="178">
        <v>5000000</v>
      </c>
      <c r="M322" s="178">
        <v>98.84765625</v>
      </c>
      <c r="N322" s="178">
        <v>2.8839726201999998</v>
      </c>
      <c r="O322" s="178">
        <v>4949599.6633287305</v>
      </c>
      <c r="P322" s="174" t="s">
        <v>337</v>
      </c>
      <c r="Q322" s="174" t="s">
        <v>476</v>
      </c>
      <c r="R322" s="174" t="s">
        <v>22</v>
      </c>
      <c r="S322" s="174" t="s">
        <v>129</v>
      </c>
      <c r="T322" s="175" t="str">
        <f>VLOOKUP($S322,Mapping!$C:$C,1,0)</f>
        <v>Omgeo</v>
      </c>
      <c r="U322" s="174" t="s">
        <v>1425</v>
      </c>
      <c r="V322" s="174" t="s">
        <v>132</v>
      </c>
      <c r="W322" s="175"/>
      <c r="X322" s="175"/>
      <c r="Y322" s="174" t="s">
        <v>469</v>
      </c>
      <c r="Z322" s="174" t="s">
        <v>604</v>
      </c>
      <c r="AA322" s="174" t="s">
        <v>22</v>
      </c>
      <c r="AB322" s="174"/>
      <c r="AC322" s="175"/>
      <c r="AD322" s="174" t="s">
        <v>969</v>
      </c>
      <c r="AE322" s="176">
        <v>43164.532129629632</v>
      </c>
      <c r="AF322" s="174" t="s">
        <v>1425</v>
      </c>
      <c r="AG322" s="176">
        <v>43164.612673611111</v>
      </c>
      <c r="AH322" s="176">
        <v>43164.612673611111</v>
      </c>
      <c r="AI322" s="175"/>
      <c r="AJ322" s="175"/>
      <c r="AK322" s="178">
        <v>1</v>
      </c>
    </row>
    <row r="323" spans="1:37" ht="15.95" customHeight="1" x14ac:dyDescent="0.25">
      <c r="A323" s="174" t="s">
        <v>461</v>
      </c>
      <c r="B323" s="174" t="s">
        <v>1426</v>
      </c>
      <c r="C323" s="175"/>
      <c r="D323" s="174" t="s">
        <v>463</v>
      </c>
      <c r="E323" s="174" t="s">
        <v>806</v>
      </c>
      <c r="F323" s="176">
        <v>43164</v>
      </c>
      <c r="G323" s="176">
        <v>43165</v>
      </c>
      <c r="H323" s="174" t="s">
        <v>1363</v>
      </c>
      <c r="I323" s="175" t="e">
        <f>VLOOKUP($H323,Mapping!$A:$A,1,0)</f>
        <v>#N/A</v>
      </c>
      <c r="J323" s="179" t="s">
        <v>486</v>
      </c>
      <c r="K323" s="174" t="s">
        <v>1427</v>
      </c>
      <c r="L323" s="178">
        <v>67000000</v>
      </c>
      <c r="M323" s="178">
        <v>97.1171875</v>
      </c>
      <c r="N323" s="178">
        <v>2.6626627342</v>
      </c>
      <c r="O323" s="178">
        <v>-65534924.464779012</v>
      </c>
      <c r="P323" s="174" t="s">
        <v>337</v>
      </c>
      <c r="Q323" s="174" t="s">
        <v>1428</v>
      </c>
      <c r="R323" s="174" t="s">
        <v>22</v>
      </c>
      <c r="S323" s="174" t="s">
        <v>129</v>
      </c>
      <c r="T323" s="175" t="str">
        <f>VLOOKUP($S323,Mapping!$C:$C,1,0)</f>
        <v>Omgeo</v>
      </c>
      <c r="U323" s="174" t="s">
        <v>1429</v>
      </c>
      <c r="V323" s="174" t="s">
        <v>132</v>
      </c>
      <c r="W323" s="175"/>
      <c r="X323" s="175"/>
      <c r="Y323" s="174" t="s">
        <v>469</v>
      </c>
      <c r="Z323" s="174" t="s">
        <v>809</v>
      </c>
      <c r="AA323" s="174" t="s">
        <v>22</v>
      </c>
      <c r="AB323" s="174"/>
      <c r="AC323" s="175"/>
      <c r="AD323" s="174" t="s">
        <v>512</v>
      </c>
      <c r="AE323" s="176">
        <v>43164.623680555553</v>
      </c>
      <c r="AF323" s="174" t="s">
        <v>1429</v>
      </c>
      <c r="AG323" s="176">
        <v>43164.615543981483</v>
      </c>
      <c r="AH323" s="176">
        <v>43164.615613425929</v>
      </c>
      <c r="AI323" s="174" t="s">
        <v>473</v>
      </c>
      <c r="AJ323" s="175"/>
      <c r="AK323" s="178">
        <v>1</v>
      </c>
    </row>
    <row r="324" spans="1:37" ht="15.95" customHeight="1" x14ac:dyDescent="0.25">
      <c r="A324" s="174" t="s">
        <v>461</v>
      </c>
      <c r="B324" s="174" t="s">
        <v>1430</v>
      </c>
      <c r="C324" s="175"/>
      <c r="D324" s="174" t="s">
        <v>463</v>
      </c>
      <c r="E324" s="174" t="s">
        <v>806</v>
      </c>
      <c r="F324" s="176">
        <v>43164</v>
      </c>
      <c r="G324" s="176">
        <v>43165</v>
      </c>
      <c r="H324" s="174" t="s">
        <v>1363</v>
      </c>
      <c r="I324" s="175" t="e">
        <f>VLOOKUP($H324,Mapping!$A:$A,1,0)</f>
        <v>#N/A</v>
      </c>
      <c r="J324" s="177" t="s">
        <v>466</v>
      </c>
      <c r="K324" s="174" t="s">
        <v>467</v>
      </c>
      <c r="L324" s="178">
        <v>61900000</v>
      </c>
      <c r="M324" s="178">
        <v>99.75</v>
      </c>
      <c r="N324" s="178">
        <v>2.6788620698000001</v>
      </c>
      <c r="O324" s="178">
        <v>61771742.527173914</v>
      </c>
      <c r="P324" s="174" t="s">
        <v>337</v>
      </c>
      <c r="Q324" s="174" t="s">
        <v>468</v>
      </c>
      <c r="R324" s="174" t="s">
        <v>22</v>
      </c>
      <c r="S324" s="174" t="s">
        <v>129</v>
      </c>
      <c r="T324" s="175" t="str">
        <f>VLOOKUP($S324,Mapping!$C:$C,1,0)</f>
        <v>Omgeo</v>
      </c>
      <c r="U324" s="174" t="s">
        <v>1431</v>
      </c>
      <c r="V324" s="174" t="s">
        <v>132</v>
      </c>
      <c r="W324" s="175"/>
      <c r="X324" s="175"/>
      <c r="Y324" s="174" t="s">
        <v>469</v>
      </c>
      <c r="Z324" s="174" t="s">
        <v>809</v>
      </c>
      <c r="AA324" s="174" t="s">
        <v>22</v>
      </c>
      <c r="AB324" s="174"/>
      <c r="AC324" s="175"/>
      <c r="AD324" s="174" t="s">
        <v>512</v>
      </c>
      <c r="AE324" s="176">
        <v>43164.623680555553</v>
      </c>
      <c r="AF324" s="174" t="s">
        <v>1431</v>
      </c>
      <c r="AG324" s="176">
        <v>43164.615752314814</v>
      </c>
      <c r="AH324" s="176">
        <v>43164.615833333337</v>
      </c>
      <c r="AI324" s="174" t="s">
        <v>473</v>
      </c>
      <c r="AJ324" s="175"/>
      <c r="AK324" s="178">
        <v>1</v>
      </c>
    </row>
    <row r="325" spans="1:37" ht="15.95" customHeight="1" x14ac:dyDescent="0.25">
      <c r="A325" s="174" t="s">
        <v>461</v>
      </c>
      <c r="B325" s="174" t="s">
        <v>1432</v>
      </c>
      <c r="C325" s="175"/>
      <c r="D325" s="174" t="s">
        <v>478</v>
      </c>
      <c r="E325" s="174" t="s">
        <v>558</v>
      </c>
      <c r="F325" s="176">
        <v>43164</v>
      </c>
      <c r="G325" s="176">
        <v>43165</v>
      </c>
      <c r="H325" s="174" t="s">
        <v>1363</v>
      </c>
      <c r="I325" s="175" t="e">
        <f>VLOOKUP($H325,Mapping!$A:$A,1,0)</f>
        <v>#N/A</v>
      </c>
      <c r="J325" s="177" t="s">
        <v>466</v>
      </c>
      <c r="K325" s="174" t="s">
        <v>508</v>
      </c>
      <c r="L325" s="178">
        <v>2621000</v>
      </c>
      <c r="M325" s="178">
        <v>99.59375</v>
      </c>
      <c r="N325" s="178">
        <v>2.8144342227000001</v>
      </c>
      <c r="O325" s="178">
        <v>2611527.3641304299</v>
      </c>
      <c r="P325" s="174" t="s">
        <v>337</v>
      </c>
      <c r="Q325" s="174" t="s">
        <v>509</v>
      </c>
      <c r="R325" s="174" t="s">
        <v>22</v>
      </c>
      <c r="S325" s="174" t="s">
        <v>129</v>
      </c>
      <c r="T325" s="175" t="str">
        <f>VLOOKUP($S325,Mapping!$C:$C,1,0)</f>
        <v>Omgeo</v>
      </c>
      <c r="U325" s="174" t="s">
        <v>1433</v>
      </c>
      <c r="V325" s="174" t="s">
        <v>132</v>
      </c>
      <c r="W325" s="175"/>
      <c r="X325" s="175"/>
      <c r="Y325" s="174" t="s">
        <v>469</v>
      </c>
      <c r="Z325" s="174" t="s">
        <v>560</v>
      </c>
      <c r="AA325" s="174" t="s">
        <v>22</v>
      </c>
      <c r="AB325" s="174"/>
      <c r="AC325" s="175"/>
      <c r="AD325" s="174" t="s">
        <v>512</v>
      </c>
      <c r="AE325" s="176">
        <v>43164.643252314818</v>
      </c>
      <c r="AF325" s="174" t="s">
        <v>1433</v>
      </c>
      <c r="AG325" s="176">
        <v>43164.637106481481</v>
      </c>
      <c r="AH325" s="176">
        <v>43164.63722222222</v>
      </c>
      <c r="AI325" s="175"/>
      <c r="AJ325" s="175"/>
      <c r="AK325" s="178">
        <v>1</v>
      </c>
    </row>
    <row r="326" spans="1:37" ht="15.95" customHeight="1" x14ac:dyDescent="0.25">
      <c r="A326" s="174" t="s">
        <v>484</v>
      </c>
      <c r="B326" s="174" t="s">
        <v>1434</v>
      </c>
      <c r="C326" s="175"/>
      <c r="D326" s="174" t="s">
        <v>478</v>
      </c>
      <c r="E326" s="174" t="s">
        <v>535</v>
      </c>
      <c r="F326" s="176">
        <v>43164</v>
      </c>
      <c r="G326" s="176">
        <v>43166</v>
      </c>
      <c r="H326" s="174" t="s">
        <v>1363</v>
      </c>
      <c r="I326" s="175" t="e">
        <f>VLOOKUP($H326,Mapping!$A:$A,1,0)</f>
        <v>#N/A</v>
      </c>
      <c r="J326" s="179" t="s">
        <v>486</v>
      </c>
      <c r="K326" s="174" t="s">
        <v>1435</v>
      </c>
      <c r="L326" s="178">
        <v>2000000</v>
      </c>
      <c r="M326" s="178">
        <v>97.793999999999997</v>
      </c>
      <c r="N326" s="178">
        <v>4.8980266849999996</v>
      </c>
      <c r="O326" s="178">
        <v>-2001268.8888888902</v>
      </c>
      <c r="P326" s="174" t="s">
        <v>337</v>
      </c>
      <c r="Q326" s="174" t="s">
        <v>1436</v>
      </c>
      <c r="R326" s="174" t="s">
        <v>22</v>
      </c>
      <c r="S326" s="174" t="s">
        <v>129</v>
      </c>
      <c r="T326" s="175" t="str">
        <f>VLOOKUP($S326,Mapping!$C:$C,1,0)</f>
        <v>Omgeo</v>
      </c>
      <c r="U326" s="174" t="s">
        <v>1437</v>
      </c>
      <c r="V326" s="174" t="s">
        <v>132</v>
      </c>
      <c r="W326" s="175"/>
      <c r="X326" s="175"/>
      <c r="Y326" s="174" t="s">
        <v>1205</v>
      </c>
      <c r="Z326" s="174" t="s">
        <v>540</v>
      </c>
      <c r="AA326" s="174" t="s">
        <v>22</v>
      </c>
      <c r="AB326" s="174"/>
      <c r="AC326" s="175"/>
      <c r="AD326" s="174" t="s">
        <v>541</v>
      </c>
      <c r="AE326" s="176">
        <v>43164.668969907405</v>
      </c>
      <c r="AF326" s="174" t="s">
        <v>1437</v>
      </c>
      <c r="AG326" s="176">
        <v>43164.665196759262</v>
      </c>
      <c r="AH326" s="176">
        <v>43164.665196759262</v>
      </c>
      <c r="AI326" s="175"/>
      <c r="AJ326" s="175"/>
      <c r="AK326" s="178">
        <v>1</v>
      </c>
    </row>
    <row r="327" spans="1:37" ht="15.95" customHeight="1" x14ac:dyDescent="0.25">
      <c r="A327" s="174" t="s">
        <v>461</v>
      </c>
      <c r="B327" s="174" t="s">
        <v>1438</v>
      </c>
      <c r="C327" s="175"/>
      <c r="D327" s="174" t="s">
        <v>478</v>
      </c>
      <c r="E327" s="174" t="s">
        <v>535</v>
      </c>
      <c r="F327" s="176">
        <v>43164</v>
      </c>
      <c r="G327" s="176">
        <v>43165</v>
      </c>
      <c r="H327" s="174" t="s">
        <v>1363</v>
      </c>
      <c r="I327" s="175" t="e">
        <f>VLOOKUP($H327,Mapping!$A:$A,1,0)</f>
        <v>#N/A</v>
      </c>
      <c r="J327" s="177" t="s">
        <v>466</v>
      </c>
      <c r="K327" s="174" t="s">
        <v>543</v>
      </c>
      <c r="L327" s="178">
        <v>1600000</v>
      </c>
      <c r="M327" s="178">
        <v>91.984375</v>
      </c>
      <c r="N327" s="178">
        <v>3.1684030603000002</v>
      </c>
      <c r="O327" s="178">
        <v>1485241.7127071801</v>
      </c>
      <c r="P327" s="174" t="s">
        <v>337</v>
      </c>
      <c r="Q327" s="174" t="s">
        <v>544</v>
      </c>
      <c r="R327" s="174" t="s">
        <v>22</v>
      </c>
      <c r="S327" s="174" t="s">
        <v>129</v>
      </c>
      <c r="T327" s="175" t="str">
        <f>VLOOKUP($S327,Mapping!$C:$C,1,0)</f>
        <v>Omgeo</v>
      </c>
      <c r="U327" s="174" t="s">
        <v>1439</v>
      </c>
      <c r="V327" s="174" t="s">
        <v>132</v>
      </c>
      <c r="W327" s="175"/>
      <c r="X327" s="175"/>
      <c r="Y327" s="174" t="s">
        <v>469</v>
      </c>
      <c r="Z327" s="174" t="s">
        <v>540</v>
      </c>
      <c r="AA327" s="174" t="s">
        <v>22</v>
      </c>
      <c r="AB327" s="174"/>
      <c r="AC327" s="175"/>
      <c r="AD327" s="174" t="s">
        <v>541</v>
      </c>
      <c r="AE327" s="176">
        <v>43164.668969907405</v>
      </c>
      <c r="AF327" s="174" t="s">
        <v>1439</v>
      </c>
      <c r="AG327" s="176">
        <v>43164.665335648147</v>
      </c>
      <c r="AH327" s="176">
        <v>43164.665335648147</v>
      </c>
      <c r="AI327" s="175"/>
      <c r="AJ327" s="175"/>
      <c r="AK327" s="178">
        <v>1</v>
      </c>
    </row>
    <row r="328" spans="1:37" ht="15.95" customHeight="1" x14ac:dyDescent="0.25">
      <c r="A328" s="174" t="s">
        <v>484</v>
      </c>
      <c r="B328" s="174" t="s">
        <v>1440</v>
      </c>
      <c r="C328" s="175"/>
      <c r="D328" s="174" t="s">
        <v>478</v>
      </c>
      <c r="E328" s="174" t="s">
        <v>535</v>
      </c>
      <c r="F328" s="176">
        <v>43164</v>
      </c>
      <c r="G328" s="176">
        <v>43166</v>
      </c>
      <c r="H328" s="174" t="s">
        <v>1363</v>
      </c>
      <c r="I328" s="175" t="e">
        <f>VLOOKUP($H328,Mapping!$A:$A,1,0)</f>
        <v>#N/A</v>
      </c>
      <c r="J328" s="177" t="s">
        <v>466</v>
      </c>
      <c r="K328" s="174" t="s">
        <v>1441</v>
      </c>
      <c r="L328" s="178">
        <v>2500000</v>
      </c>
      <c r="M328" s="178">
        <v>97.146000000000001</v>
      </c>
      <c r="N328" s="178">
        <v>4.7290003012000001</v>
      </c>
      <c r="O328" s="178">
        <v>2434021.5277777803</v>
      </c>
      <c r="P328" s="174" t="s">
        <v>337</v>
      </c>
      <c r="Q328" s="174" t="s">
        <v>1442</v>
      </c>
      <c r="R328" s="174" t="s">
        <v>22</v>
      </c>
      <c r="S328" s="174" t="s">
        <v>129</v>
      </c>
      <c r="T328" s="175" t="str">
        <f>VLOOKUP($S328,Mapping!$C:$C,1,0)</f>
        <v>Omgeo</v>
      </c>
      <c r="U328" s="174" t="s">
        <v>1443</v>
      </c>
      <c r="V328" s="174" t="s">
        <v>132</v>
      </c>
      <c r="W328" s="175"/>
      <c r="X328" s="175"/>
      <c r="Y328" s="174" t="s">
        <v>489</v>
      </c>
      <c r="Z328" s="174" t="s">
        <v>540</v>
      </c>
      <c r="AA328" s="174" t="s">
        <v>22</v>
      </c>
      <c r="AB328" s="174"/>
      <c r="AC328" s="175"/>
      <c r="AD328" s="174" t="s">
        <v>541</v>
      </c>
      <c r="AE328" s="176">
        <v>43164.675798611112</v>
      </c>
      <c r="AF328" s="174" t="s">
        <v>1443</v>
      </c>
      <c r="AG328" s="176">
        <v>43164.667685185188</v>
      </c>
      <c r="AH328" s="176">
        <v>43164.667685185188</v>
      </c>
      <c r="AI328" s="175"/>
      <c r="AJ328" s="175"/>
      <c r="AK328" s="178">
        <v>1</v>
      </c>
    </row>
    <row r="329" spans="1:37" ht="15.95" customHeight="1" x14ac:dyDescent="0.25">
      <c r="A329" s="174" t="s">
        <v>461</v>
      </c>
      <c r="B329" s="174" t="s">
        <v>1444</v>
      </c>
      <c r="C329" s="175"/>
      <c r="D329" s="174" t="s">
        <v>478</v>
      </c>
      <c r="E329" s="174" t="s">
        <v>535</v>
      </c>
      <c r="F329" s="176">
        <v>43164</v>
      </c>
      <c r="G329" s="176">
        <v>43165</v>
      </c>
      <c r="H329" s="174" t="s">
        <v>1363</v>
      </c>
      <c r="I329" s="175" t="e">
        <f>VLOOKUP($H329,Mapping!$A:$A,1,0)</f>
        <v>#N/A</v>
      </c>
      <c r="J329" s="179" t="s">
        <v>486</v>
      </c>
      <c r="K329" s="174" t="s">
        <v>543</v>
      </c>
      <c r="L329" s="178">
        <v>2150000</v>
      </c>
      <c r="M329" s="178">
        <v>91.96875</v>
      </c>
      <c r="N329" s="178">
        <v>3.1692644617000001</v>
      </c>
      <c r="O329" s="178">
        <v>-1995457.61395028</v>
      </c>
      <c r="P329" s="174" t="s">
        <v>337</v>
      </c>
      <c r="Q329" s="174" t="s">
        <v>544</v>
      </c>
      <c r="R329" s="174" t="s">
        <v>22</v>
      </c>
      <c r="S329" s="174" t="s">
        <v>129</v>
      </c>
      <c r="T329" s="175" t="str">
        <f>VLOOKUP($S329,Mapping!$C:$C,1,0)</f>
        <v>Omgeo</v>
      </c>
      <c r="U329" s="174" t="s">
        <v>1445</v>
      </c>
      <c r="V329" s="174" t="s">
        <v>132</v>
      </c>
      <c r="W329" s="175"/>
      <c r="X329" s="175"/>
      <c r="Y329" s="174" t="s">
        <v>469</v>
      </c>
      <c r="Z329" s="174" t="s">
        <v>540</v>
      </c>
      <c r="AA329" s="174" t="s">
        <v>22</v>
      </c>
      <c r="AB329" s="174"/>
      <c r="AC329" s="175"/>
      <c r="AD329" s="174" t="s">
        <v>541</v>
      </c>
      <c r="AE329" s="176">
        <v>43164.675798611112</v>
      </c>
      <c r="AF329" s="174" t="s">
        <v>1445</v>
      </c>
      <c r="AG329" s="176">
        <v>43164.667905092596</v>
      </c>
      <c r="AH329" s="176">
        <v>43164.667905092596</v>
      </c>
      <c r="AI329" s="175"/>
      <c r="AJ329" s="175"/>
      <c r="AK329" s="178">
        <v>1</v>
      </c>
    </row>
    <row r="330" spans="1:37" ht="15.95" customHeight="1" x14ac:dyDescent="0.25">
      <c r="A330" s="174" t="s">
        <v>461</v>
      </c>
      <c r="B330" s="174" t="s">
        <v>1446</v>
      </c>
      <c r="C330" s="175"/>
      <c r="D330" s="174" t="s">
        <v>463</v>
      </c>
      <c r="E330" s="174" t="s">
        <v>806</v>
      </c>
      <c r="F330" s="176">
        <v>43164</v>
      </c>
      <c r="G330" s="176">
        <v>43165</v>
      </c>
      <c r="H330" s="174" t="s">
        <v>1363</v>
      </c>
      <c r="I330" s="175" t="e">
        <f>VLOOKUP($H330,Mapping!$A:$A,1,0)</f>
        <v>#N/A</v>
      </c>
      <c r="J330" s="177" t="s">
        <v>466</v>
      </c>
      <c r="K330" s="174" t="s">
        <v>524</v>
      </c>
      <c r="L330" s="178">
        <v>3000000</v>
      </c>
      <c r="M330" s="178">
        <v>99.558274069999996</v>
      </c>
      <c r="N330" s="178">
        <v>2.4059166831000001</v>
      </c>
      <c r="O330" s="178">
        <v>2990291.0397795597</v>
      </c>
      <c r="P330" s="174" t="s">
        <v>337</v>
      </c>
      <c r="Q330" s="174" t="s">
        <v>525</v>
      </c>
      <c r="R330" s="174" t="s">
        <v>22</v>
      </c>
      <c r="S330" s="174" t="s">
        <v>129</v>
      </c>
      <c r="T330" s="175" t="str">
        <f>VLOOKUP($S330,Mapping!$C:$C,1,0)</f>
        <v>Omgeo</v>
      </c>
      <c r="U330" s="174" t="s">
        <v>1447</v>
      </c>
      <c r="V330" s="174" t="s">
        <v>132</v>
      </c>
      <c r="W330" s="175"/>
      <c r="X330" s="175"/>
      <c r="Y330" s="174" t="s">
        <v>469</v>
      </c>
      <c r="Z330" s="174" t="s">
        <v>809</v>
      </c>
      <c r="AA330" s="174" t="s">
        <v>22</v>
      </c>
      <c r="AB330" s="174"/>
      <c r="AC330" s="175"/>
      <c r="AD330" s="174" t="s">
        <v>512</v>
      </c>
      <c r="AE330" s="176">
        <v>43164.682546296295</v>
      </c>
      <c r="AF330" s="174" t="s">
        <v>1447</v>
      </c>
      <c r="AG330" s="176">
        <v>43164.674733796295</v>
      </c>
      <c r="AH330" s="176">
        <v>43164.674791666665</v>
      </c>
      <c r="AI330" s="174" t="s">
        <v>473</v>
      </c>
      <c r="AJ330" s="175"/>
      <c r="AK330" s="178">
        <v>1</v>
      </c>
    </row>
    <row r="331" spans="1:37" ht="15.95" customHeight="1" x14ac:dyDescent="0.25">
      <c r="A331" s="174" t="s">
        <v>461</v>
      </c>
      <c r="B331" s="174" t="s">
        <v>1448</v>
      </c>
      <c r="C331" s="175"/>
      <c r="D331" s="174" t="s">
        <v>463</v>
      </c>
      <c r="E331" s="174" t="s">
        <v>806</v>
      </c>
      <c r="F331" s="176">
        <v>43164</v>
      </c>
      <c r="G331" s="176">
        <v>43165</v>
      </c>
      <c r="H331" s="174" t="s">
        <v>1363</v>
      </c>
      <c r="I331" s="175" t="e">
        <f>VLOOKUP($H331,Mapping!$A:$A,1,0)</f>
        <v>#N/A</v>
      </c>
      <c r="J331" s="177" t="s">
        <v>466</v>
      </c>
      <c r="K331" s="174" t="s">
        <v>475</v>
      </c>
      <c r="L331" s="178">
        <v>1000000</v>
      </c>
      <c r="M331" s="178">
        <v>98.828125</v>
      </c>
      <c r="N331" s="178">
        <v>2.8862604072</v>
      </c>
      <c r="O331" s="178">
        <v>989724.62016575004</v>
      </c>
      <c r="P331" s="174" t="s">
        <v>337</v>
      </c>
      <c r="Q331" s="174" t="s">
        <v>476</v>
      </c>
      <c r="R331" s="174" t="s">
        <v>22</v>
      </c>
      <c r="S331" s="174" t="s">
        <v>129</v>
      </c>
      <c r="T331" s="175" t="str">
        <f>VLOOKUP($S331,Mapping!$C:$C,1,0)</f>
        <v>Omgeo</v>
      </c>
      <c r="U331" s="174" t="s">
        <v>1449</v>
      </c>
      <c r="V331" s="174" t="s">
        <v>132</v>
      </c>
      <c r="W331" s="175"/>
      <c r="X331" s="175"/>
      <c r="Y331" s="174" t="s">
        <v>469</v>
      </c>
      <c r="Z331" s="174" t="s">
        <v>809</v>
      </c>
      <c r="AA331" s="174" t="s">
        <v>22</v>
      </c>
      <c r="AB331" s="174"/>
      <c r="AC331" s="175"/>
      <c r="AD331" s="174" t="s">
        <v>512</v>
      </c>
      <c r="AE331" s="176">
        <v>43164.682546296295</v>
      </c>
      <c r="AF331" s="174" t="s">
        <v>1449</v>
      </c>
      <c r="AG331" s="176">
        <v>43164.674803240741</v>
      </c>
      <c r="AH331" s="176">
        <v>43164.674872685187</v>
      </c>
      <c r="AI331" s="174" t="s">
        <v>473</v>
      </c>
      <c r="AJ331" s="175"/>
      <c r="AK331" s="178">
        <v>1</v>
      </c>
    </row>
    <row r="332" spans="1:37" ht="15.95" customHeight="1" x14ac:dyDescent="0.25">
      <c r="A332" s="174" t="s">
        <v>461</v>
      </c>
      <c r="B332" s="174" t="s">
        <v>1450</v>
      </c>
      <c r="C332" s="175"/>
      <c r="D332" s="174" t="s">
        <v>463</v>
      </c>
      <c r="E332" s="174" t="s">
        <v>806</v>
      </c>
      <c r="F332" s="176">
        <v>43164</v>
      </c>
      <c r="G332" s="176">
        <v>43165</v>
      </c>
      <c r="H332" s="174" t="s">
        <v>1363</v>
      </c>
      <c r="I332" s="175" t="e">
        <f>VLOOKUP($H332,Mapping!$A:$A,1,0)</f>
        <v>#N/A</v>
      </c>
      <c r="J332" s="179" t="s">
        <v>486</v>
      </c>
      <c r="K332" s="174" t="s">
        <v>508</v>
      </c>
      <c r="L332" s="178">
        <v>3000000</v>
      </c>
      <c r="M332" s="178">
        <v>99.609375</v>
      </c>
      <c r="N332" s="178">
        <v>2.8119486686999999</v>
      </c>
      <c r="O332" s="178">
        <v>-2989626.35869565</v>
      </c>
      <c r="P332" s="174" t="s">
        <v>337</v>
      </c>
      <c r="Q332" s="174" t="s">
        <v>509</v>
      </c>
      <c r="R332" s="174" t="s">
        <v>22</v>
      </c>
      <c r="S332" s="174" t="s">
        <v>129</v>
      </c>
      <c r="T332" s="175" t="str">
        <f>VLOOKUP($S332,Mapping!$C:$C,1,0)</f>
        <v>Omgeo</v>
      </c>
      <c r="U332" s="174" t="s">
        <v>1451</v>
      </c>
      <c r="V332" s="174" t="s">
        <v>132</v>
      </c>
      <c r="W332" s="175"/>
      <c r="X332" s="175"/>
      <c r="Y332" s="174" t="s">
        <v>469</v>
      </c>
      <c r="Z332" s="174" t="s">
        <v>809</v>
      </c>
      <c r="AA332" s="174" t="s">
        <v>22</v>
      </c>
      <c r="AB332" s="174"/>
      <c r="AC332" s="175"/>
      <c r="AD332" s="174" t="s">
        <v>512</v>
      </c>
      <c r="AE332" s="176">
        <v>43164.682546296295</v>
      </c>
      <c r="AF332" s="174" t="s">
        <v>1451</v>
      </c>
      <c r="AG332" s="176">
        <v>43164.67491898148</v>
      </c>
      <c r="AH332" s="176">
        <v>43164.674976851849</v>
      </c>
      <c r="AI332" s="174" t="s">
        <v>473</v>
      </c>
      <c r="AJ332" s="175"/>
      <c r="AK332" s="178">
        <v>1</v>
      </c>
    </row>
    <row r="333" spans="1:37" ht="15.95" customHeight="1" x14ac:dyDescent="0.25">
      <c r="A333" s="174" t="s">
        <v>484</v>
      </c>
      <c r="B333" s="174" t="s">
        <v>1452</v>
      </c>
      <c r="C333" s="175"/>
      <c r="D333" s="174" t="s">
        <v>478</v>
      </c>
      <c r="E333" s="174" t="s">
        <v>535</v>
      </c>
      <c r="F333" s="176">
        <v>43164</v>
      </c>
      <c r="G333" s="176">
        <v>43166</v>
      </c>
      <c r="H333" s="174" t="s">
        <v>1363</v>
      </c>
      <c r="I333" s="175" t="e">
        <f>VLOOKUP($H333,Mapping!$A:$A,1,0)</f>
        <v>#N/A</v>
      </c>
      <c r="J333" s="177" t="s">
        <v>466</v>
      </c>
      <c r="K333" s="174" t="s">
        <v>1115</v>
      </c>
      <c r="L333" s="178">
        <v>5000000</v>
      </c>
      <c r="M333" s="178">
        <v>99.602000000000004</v>
      </c>
      <c r="N333" s="178">
        <v>4.4250087008000003</v>
      </c>
      <c r="O333" s="178">
        <v>5057100</v>
      </c>
      <c r="P333" s="174" t="s">
        <v>337</v>
      </c>
      <c r="Q333" s="174" t="s">
        <v>1116</v>
      </c>
      <c r="R333" s="174" t="s">
        <v>22</v>
      </c>
      <c r="S333" s="174" t="s">
        <v>129</v>
      </c>
      <c r="T333" s="175" t="str">
        <f>VLOOKUP($S333,Mapping!$C:$C,1,0)</f>
        <v>Omgeo</v>
      </c>
      <c r="U333" s="174" t="s">
        <v>1453</v>
      </c>
      <c r="V333" s="174" t="s">
        <v>132</v>
      </c>
      <c r="W333" s="175"/>
      <c r="X333" s="175"/>
      <c r="Y333" s="174" t="s">
        <v>489</v>
      </c>
      <c r="Z333" s="174" t="s">
        <v>540</v>
      </c>
      <c r="AA333" s="174" t="s">
        <v>22</v>
      </c>
      <c r="AB333" s="174"/>
      <c r="AC333" s="175"/>
      <c r="AD333" s="174" t="s">
        <v>541</v>
      </c>
      <c r="AE333" s="176">
        <v>43164.675798611112</v>
      </c>
      <c r="AF333" s="174" t="s">
        <v>1453</v>
      </c>
      <c r="AG333" s="176">
        <v>43164.690787037034</v>
      </c>
      <c r="AH333" s="176">
        <v>43164.690787037034</v>
      </c>
      <c r="AI333" s="175"/>
      <c r="AJ333" s="175"/>
      <c r="AK333" s="178">
        <v>1</v>
      </c>
    </row>
    <row r="334" spans="1:37" ht="15.95" customHeight="1" x14ac:dyDescent="0.25">
      <c r="A334" s="174" t="s">
        <v>461</v>
      </c>
      <c r="B334" s="174" t="s">
        <v>1454</v>
      </c>
      <c r="C334" s="175"/>
      <c r="D334" s="174" t="s">
        <v>478</v>
      </c>
      <c r="E334" s="174" t="s">
        <v>535</v>
      </c>
      <c r="F334" s="176">
        <v>43164</v>
      </c>
      <c r="G334" s="176">
        <v>43165</v>
      </c>
      <c r="H334" s="174" t="s">
        <v>1363</v>
      </c>
      <c r="I334" s="175" t="e">
        <f>VLOOKUP($H334,Mapping!$A:$A,1,0)</f>
        <v>#N/A</v>
      </c>
      <c r="J334" s="179" t="s">
        <v>486</v>
      </c>
      <c r="K334" s="174" t="s">
        <v>543</v>
      </c>
      <c r="L334" s="178">
        <v>4300000</v>
      </c>
      <c r="M334" s="178">
        <v>92.140625</v>
      </c>
      <c r="N334" s="178">
        <v>3.1597994839000001</v>
      </c>
      <c r="O334" s="178">
        <v>-3998305.8529005502</v>
      </c>
      <c r="P334" s="174" t="s">
        <v>337</v>
      </c>
      <c r="Q334" s="174" t="s">
        <v>544</v>
      </c>
      <c r="R334" s="174" t="s">
        <v>22</v>
      </c>
      <c r="S334" s="174" t="s">
        <v>129</v>
      </c>
      <c r="T334" s="175" t="str">
        <f>VLOOKUP($S334,Mapping!$C:$C,1,0)</f>
        <v>Omgeo</v>
      </c>
      <c r="U334" s="174" t="s">
        <v>1455</v>
      </c>
      <c r="V334" s="174" t="s">
        <v>132</v>
      </c>
      <c r="W334" s="175"/>
      <c r="X334" s="175"/>
      <c r="Y334" s="174" t="s">
        <v>469</v>
      </c>
      <c r="Z334" s="174" t="s">
        <v>540</v>
      </c>
      <c r="AA334" s="174" t="s">
        <v>22</v>
      </c>
      <c r="AB334" s="174"/>
      <c r="AC334" s="175"/>
      <c r="AD334" s="174" t="s">
        <v>541</v>
      </c>
      <c r="AE334" s="176">
        <v>43164.675798611112</v>
      </c>
      <c r="AF334" s="174" t="s">
        <v>1455</v>
      </c>
      <c r="AG334" s="176">
        <v>43164.690925925926</v>
      </c>
      <c r="AH334" s="176">
        <v>43164.690925925926</v>
      </c>
      <c r="AI334" s="175"/>
      <c r="AJ334" s="175"/>
      <c r="AK334" s="178">
        <v>1</v>
      </c>
    </row>
    <row r="335" spans="1:37" ht="15.95" customHeight="1" x14ac:dyDescent="0.25">
      <c r="A335" s="174" t="s">
        <v>484</v>
      </c>
      <c r="B335" s="174" t="s">
        <v>1456</v>
      </c>
      <c r="C335" s="175"/>
      <c r="D335" s="174" t="s">
        <v>478</v>
      </c>
      <c r="E335" s="174" t="s">
        <v>768</v>
      </c>
      <c r="F335" s="176">
        <v>43164</v>
      </c>
      <c r="G335" s="176">
        <v>43166</v>
      </c>
      <c r="H335" s="174" t="s">
        <v>1363</v>
      </c>
      <c r="I335" s="175" t="e">
        <f>VLOOKUP($H335,Mapping!$A:$A,1,0)</f>
        <v>#N/A</v>
      </c>
      <c r="J335" s="177" t="s">
        <v>466</v>
      </c>
      <c r="K335" s="174" t="s">
        <v>1457</v>
      </c>
      <c r="L335" s="178">
        <v>437000</v>
      </c>
      <c r="M335" s="178">
        <v>93.296000000000006</v>
      </c>
      <c r="N335" s="178">
        <v>4.9500170360000002</v>
      </c>
      <c r="O335" s="178">
        <v>417144.95355555997</v>
      </c>
      <c r="P335" s="174" t="s">
        <v>337</v>
      </c>
      <c r="Q335" s="174" t="s">
        <v>1458</v>
      </c>
      <c r="R335" s="174" t="s">
        <v>22</v>
      </c>
      <c r="S335" s="174" t="s">
        <v>129</v>
      </c>
      <c r="T335" s="175" t="str">
        <f>VLOOKUP($S335,Mapping!$C:$C,1,0)</f>
        <v>Omgeo</v>
      </c>
      <c r="U335" s="174" t="s">
        <v>1459</v>
      </c>
      <c r="V335" s="174" t="s">
        <v>132</v>
      </c>
      <c r="W335" s="175"/>
      <c r="X335" s="175"/>
      <c r="Y335" s="174" t="s">
        <v>489</v>
      </c>
      <c r="Z335" s="174" t="s">
        <v>770</v>
      </c>
      <c r="AA335" s="174" t="s">
        <v>22</v>
      </c>
      <c r="AB335" s="174"/>
      <c r="AC335" s="175"/>
      <c r="AD335" s="174" t="s">
        <v>512</v>
      </c>
      <c r="AE335" s="176">
        <v>43164.695775462962</v>
      </c>
      <c r="AF335" s="174" t="s">
        <v>1459</v>
      </c>
      <c r="AG335" s="176">
        <v>43164.692141203705</v>
      </c>
      <c r="AH335" s="176">
        <v>43164.692210648151</v>
      </c>
      <c r="AI335" s="175"/>
      <c r="AJ335" s="175"/>
      <c r="AK335" s="178">
        <v>1</v>
      </c>
    </row>
    <row r="336" spans="1:37" ht="15.95" customHeight="1" x14ac:dyDescent="0.25">
      <c r="A336" s="174" t="s">
        <v>461</v>
      </c>
      <c r="B336" s="174" t="s">
        <v>1460</v>
      </c>
      <c r="C336" s="175"/>
      <c r="D336" s="174" t="s">
        <v>478</v>
      </c>
      <c r="E336" s="174" t="s">
        <v>768</v>
      </c>
      <c r="F336" s="176">
        <v>43164</v>
      </c>
      <c r="G336" s="176">
        <v>43165</v>
      </c>
      <c r="H336" s="174" t="s">
        <v>1363</v>
      </c>
      <c r="I336" s="175" t="e">
        <f>VLOOKUP($H336,Mapping!$A:$A,1,0)</f>
        <v>#N/A</v>
      </c>
      <c r="J336" s="179" t="s">
        <v>486</v>
      </c>
      <c r="K336" s="174" t="s">
        <v>543</v>
      </c>
      <c r="L336" s="178">
        <v>360000</v>
      </c>
      <c r="M336" s="178">
        <v>92.140625</v>
      </c>
      <c r="N336" s="178">
        <v>3.1597994839000001</v>
      </c>
      <c r="O336" s="178">
        <v>-334741.88535911997</v>
      </c>
      <c r="P336" s="174" t="s">
        <v>337</v>
      </c>
      <c r="Q336" s="174" t="s">
        <v>544</v>
      </c>
      <c r="R336" s="174" t="s">
        <v>22</v>
      </c>
      <c r="S336" s="174" t="s">
        <v>129</v>
      </c>
      <c r="T336" s="175" t="str">
        <f>VLOOKUP($S336,Mapping!$C:$C,1,0)</f>
        <v>Omgeo</v>
      </c>
      <c r="U336" s="174" t="s">
        <v>1461</v>
      </c>
      <c r="V336" s="174" t="s">
        <v>132</v>
      </c>
      <c r="W336" s="175"/>
      <c r="X336" s="175"/>
      <c r="Y336" s="174" t="s">
        <v>469</v>
      </c>
      <c r="Z336" s="174" t="s">
        <v>770</v>
      </c>
      <c r="AA336" s="174" t="s">
        <v>22</v>
      </c>
      <c r="AB336" s="174"/>
      <c r="AC336" s="175"/>
      <c r="AD336" s="174" t="s">
        <v>512</v>
      </c>
      <c r="AE336" s="176">
        <v>43164.695775462962</v>
      </c>
      <c r="AF336" s="174" t="s">
        <v>1461</v>
      </c>
      <c r="AG336" s="176">
        <v>43164.692141203705</v>
      </c>
      <c r="AH336" s="176">
        <v>43164.69222222222</v>
      </c>
      <c r="AI336" s="175"/>
      <c r="AJ336" s="175"/>
      <c r="AK336" s="178">
        <v>1</v>
      </c>
    </row>
    <row r="337" spans="1:37" ht="15.95" customHeight="1" x14ac:dyDescent="0.25">
      <c r="A337" s="174" t="s">
        <v>461</v>
      </c>
      <c r="B337" s="174" t="s">
        <v>1462</v>
      </c>
      <c r="C337" s="175"/>
      <c r="D337" s="174" t="s">
        <v>463</v>
      </c>
      <c r="E337" s="174" t="s">
        <v>806</v>
      </c>
      <c r="F337" s="176">
        <v>43164</v>
      </c>
      <c r="G337" s="176">
        <v>43165</v>
      </c>
      <c r="H337" s="174" t="s">
        <v>1363</v>
      </c>
      <c r="I337" s="175" t="e">
        <f>VLOOKUP($H337,Mapping!$A:$A,1,0)</f>
        <v>#N/A</v>
      </c>
      <c r="J337" s="179" t="s">
        <v>486</v>
      </c>
      <c r="K337" s="174" t="s">
        <v>467</v>
      </c>
      <c r="L337" s="178">
        <v>2000000</v>
      </c>
      <c r="M337" s="178">
        <v>99.8828125</v>
      </c>
      <c r="N337" s="178">
        <v>2.6501978142999998</v>
      </c>
      <c r="O337" s="178">
        <v>-1998512.2282608699</v>
      </c>
      <c r="P337" s="174" t="s">
        <v>337</v>
      </c>
      <c r="Q337" s="174" t="s">
        <v>468</v>
      </c>
      <c r="R337" s="174" t="s">
        <v>22</v>
      </c>
      <c r="S337" s="174" t="s">
        <v>129</v>
      </c>
      <c r="T337" s="175" t="str">
        <f>VLOOKUP($S337,Mapping!$C:$C,1,0)</f>
        <v>Omgeo</v>
      </c>
      <c r="U337" s="174" t="s">
        <v>1463</v>
      </c>
      <c r="V337" s="174" t="s">
        <v>132</v>
      </c>
      <c r="W337" s="175"/>
      <c r="X337" s="175"/>
      <c r="Y337" s="174" t="s">
        <v>469</v>
      </c>
      <c r="Z337" s="174" t="s">
        <v>809</v>
      </c>
      <c r="AA337" s="174" t="s">
        <v>22</v>
      </c>
      <c r="AB337" s="174"/>
      <c r="AC337" s="175"/>
      <c r="AD337" s="174" t="s">
        <v>512</v>
      </c>
      <c r="AE337" s="176">
        <v>43164.709270833337</v>
      </c>
      <c r="AF337" s="174" t="s">
        <v>1463</v>
      </c>
      <c r="AG337" s="176">
        <v>43164.701608796298</v>
      </c>
      <c r="AH337" s="176">
        <v>43164.701655092591</v>
      </c>
      <c r="AI337" s="174" t="s">
        <v>473</v>
      </c>
      <c r="AJ337" s="175"/>
      <c r="AK337" s="178">
        <v>1</v>
      </c>
    </row>
    <row r="338" spans="1:37" ht="15.95" customHeight="1" x14ac:dyDescent="0.25">
      <c r="A338" s="174" t="s">
        <v>461</v>
      </c>
      <c r="B338" s="174" t="s">
        <v>1464</v>
      </c>
      <c r="C338" s="175"/>
      <c r="D338" s="174" t="s">
        <v>463</v>
      </c>
      <c r="E338" s="174" t="s">
        <v>806</v>
      </c>
      <c r="F338" s="176">
        <v>43164</v>
      </c>
      <c r="G338" s="176">
        <v>43165</v>
      </c>
      <c r="H338" s="174" t="s">
        <v>1363</v>
      </c>
      <c r="I338" s="175" t="e">
        <f>VLOOKUP($H338,Mapping!$A:$A,1,0)</f>
        <v>#N/A</v>
      </c>
      <c r="J338" s="177" t="s">
        <v>466</v>
      </c>
      <c r="K338" s="174" t="s">
        <v>524</v>
      </c>
      <c r="L338" s="178">
        <v>3000000</v>
      </c>
      <c r="M338" s="178">
        <v>99.556410159999999</v>
      </c>
      <c r="N338" s="178">
        <v>2.406577215</v>
      </c>
      <c r="O338" s="178">
        <v>2990235.1224795603</v>
      </c>
      <c r="P338" s="174" t="s">
        <v>337</v>
      </c>
      <c r="Q338" s="174" t="s">
        <v>525</v>
      </c>
      <c r="R338" s="174" t="s">
        <v>22</v>
      </c>
      <c r="S338" s="174" t="s">
        <v>129</v>
      </c>
      <c r="T338" s="175" t="str">
        <f>VLOOKUP($S338,Mapping!$C:$C,1,0)</f>
        <v>Omgeo</v>
      </c>
      <c r="U338" s="174" t="s">
        <v>1465</v>
      </c>
      <c r="V338" s="174" t="s">
        <v>132</v>
      </c>
      <c r="W338" s="175"/>
      <c r="X338" s="175"/>
      <c r="Y338" s="174" t="s">
        <v>469</v>
      </c>
      <c r="Z338" s="174" t="s">
        <v>809</v>
      </c>
      <c r="AA338" s="174" t="s">
        <v>22</v>
      </c>
      <c r="AB338" s="174"/>
      <c r="AC338" s="175"/>
      <c r="AD338" s="174" t="s">
        <v>512</v>
      </c>
      <c r="AE338" s="176">
        <v>43164.709270833337</v>
      </c>
      <c r="AF338" s="174" t="s">
        <v>1465</v>
      </c>
      <c r="AG338" s="176">
        <v>43164.701527777775</v>
      </c>
      <c r="AH338" s="176">
        <v>43164.70171296296</v>
      </c>
      <c r="AI338" s="174" t="s">
        <v>473</v>
      </c>
      <c r="AJ338" s="175"/>
      <c r="AK338" s="178">
        <v>1</v>
      </c>
    </row>
    <row r="339" spans="1:37" ht="15.95" customHeight="1" x14ac:dyDescent="0.25">
      <c r="A339" s="174" t="s">
        <v>484</v>
      </c>
      <c r="B339" s="174" t="s">
        <v>1466</v>
      </c>
      <c r="C339" s="175"/>
      <c r="D339" s="174" t="s">
        <v>478</v>
      </c>
      <c r="E339" s="174" t="s">
        <v>479</v>
      </c>
      <c r="F339" s="176">
        <v>43164</v>
      </c>
      <c r="G339" s="176">
        <v>43166</v>
      </c>
      <c r="H339" s="174" t="s">
        <v>1363</v>
      </c>
      <c r="I339" s="175" t="e">
        <f>VLOOKUP($H339,Mapping!$A:$A,1,0)</f>
        <v>#N/A</v>
      </c>
      <c r="J339" s="177" t="s">
        <v>466</v>
      </c>
      <c r="K339" s="174" t="s">
        <v>630</v>
      </c>
      <c r="L339" s="178">
        <v>2275000</v>
      </c>
      <c r="M339" s="178">
        <v>95.02</v>
      </c>
      <c r="N339" s="178">
        <v>4.6766493296</v>
      </c>
      <c r="O339" s="178">
        <v>2187008.0555555602</v>
      </c>
      <c r="P339" s="174" t="s">
        <v>337</v>
      </c>
      <c r="Q339" s="174" t="s">
        <v>631</v>
      </c>
      <c r="R339" s="174" t="s">
        <v>22</v>
      </c>
      <c r="S339" s="174" t="s">
        <v>129</v>
      </c>
      <c r="T339" s="175" t="str">
        <f>VLOOKUP($S339,Mapping!$C:$C,1,0)</f>
        <v>Omgeo</v>
      </c>
      <c r="U339" s="174" t="s">
        <v>1467</v>
      </c>
      <c r="V339" s="174" t="s">
        <v>132</v>
      </c>
      <c r="W339" s="175"/>
      <c r="X339" s="175"/>
      <c r="Y339" s="174" t="s">
        <v>633</v>
      </c>
      <c r="Z339" s="174" t="s">
        <v>481</v>
      </c>
      <c r="AA339" s="174" t="s">
        <v>22</v>
      </c>
      <c r="AB339" s="174"/>
      <c r="AC339" s="175"/>
      <c r="AD339" s="174" t="s">
        <v>472</v>
      </c>
      <c r="AE339" s="176">
        <v>43165.354097222225</v>
      </c>
      <c r="AF339" s="174" t="s">
        <v>1467</v>
      </c>
      <c r="AG339" s="176">
        <v>43165.35229166667</v>
      </c>
      <c r="AH339" s="176">
        <v>43165.352500000001</v>
      </c>
      <c r="AI339" s="175"/>
      <c r="AJ339" s="175"/>
      <c r="AK339" s="178">
        <v>1</v>
      </c>
    </row>
    <row r="340" spans="1:37" ht="15.95" customHeight="1" x14ac:dyDescent="0.25">
      <c r="A340" s="174" t="s">
        <v>461</v>
      </c>
      <c r="B340" s="174" t="s">
        <v>1472</v>
      </c>
      <c r="C340" s="175"/>
      <c r="D340" s="174" t="s">
        <v>1473</v>
      </c>
      <c r="E340" s="174" t="s">
        <v>1474</v>
      </c>
      <c r="F340" s="176">
        <v>43164</v>
      </c>
      <c r="G340" s="176">
        <v>43164</v>
      </c>
      <c r="H340" s="174" t="s">
        <v>1363</v>
      </c>
      <c r="I340" s="175" t="e">
        <f>VLOOKUP($H340,Mapping!$A:$A,1,0)</f>
        <v>#N/A</v>
      </c>
      <c r="J340" s="179" t="s">
        <v>486</v>
      </c>
      <c r="K340" s="174" t="s">
        <v>1475</v>
      </c>
      <c r="L340" s="178">
        <v>2287</v>
      </c>
      <c r="M340" s="178">
        <v>838.44409800000005</v>
      </c>
      <c r="N340" s="178">
        <v>7.9000000371999999</v>
      </c>
      <c r="O340" s="178">
        <v>-1917521.652126</v>
      </c>
      <c r="P340" s="174" t="s">
        <v>1476</v>
      </c>
      <c r="Q340" s="174" t="s">
        <v>1477</v>
      </c>
      <c r="R340" s="174" t="s">
        <v>23</v>
      </c>
      <c r="S340" s="174" t="s">
        <v>129</v>
      </c>
      <c r="T340" s="175" t="str">
        <f>VLOOKUP($S340,Mapping!$C:$C,1,0)</f>
        <v>Omgeo</v>
      </c>
      <c r="U340" s="175"/>
      <c r="V340" s="175"/>
      <c r="W340" s="175"/>
      <c r="X340" s="175"/>
      <c r="Y340" s="174" t="s">
        <v>1478</v>
      </c>
      <c r="Z340" s="174" t="s">
        <v>1479</v>
      </c>
      <c r="AA340" s="174" t="s">
        <v>24</v>
      </c>
      <c r="AB340" s="174"/>
      <c r="AC340" s="174" t="s">
        <v>1480</v>
      </c>
      <c r="AD340" s="174" t="s">
        <v>795</v>
      </c>
      <c r="AE340" s="176">
        <v>43164.402800925927</v>
      </c>
      <c r="AF340" s="175"/>
      <c r="AG340" s="176">
        <v>43164.419178240743</v>
      </c>
      <c r="AH340" s="176">
        <v>43164.419178240743</v>
      </c>
      <c r="AI340" s="175"/>
      <c r="AJ340" s="175"/>
      <c r="AK340" s="178">
        <v>1</v>
      </c>
    </row>
    <row r="341" spans="1:37" ht="15.95" customHeight="1" x14ac:dyDescent="0.25">
      <c r="A341" s="174" t="s">
        <v>461</v>
      </c>
      <c r="B341" s="174" t="s">
        <v>1481</v>
      </c>
      <c r="C341" s="175"/>
      <c r="D341" s="174" t="s">
        <v>497</v>
      </c>
      <c r="E341" s="174" t="s">
        <v>946</v>
      </c>
      <c r="F341" s="176">
        <v>43164</v>
      </c>
      <c r="G341" s="176">
        <v>43166</v>
      </c>
      <c r="H341" s="174" t="s">
        <v>1363</v>
      </c>
      <c r="I341" s="175" t="e">
        <f>VLOOKUP($H341,Mapping!$A:$A,1,0)</f>
        <v>#N/A</v>
      </c>
      <c r="J341" s="177" t="s">
        <v>466</v>
      </c>
      <c r="K341" s="174" t="s">
        <v>1482</v>
      </c>
      <c r="L341" s="178">
        <v>50000000</v>
      </c>
      <c r="M341" s="178">
        <v>136.25</v>
      </c>
      <c r="N341" s="178">
        <v>-6.7921743608999998</v>
      </c>
      <c r="O341" s="178">
        <v>3332925.63600783</v>
      </c>
      <c r="P341" s="174" t="s">
        <v>337</v>
      </c>
      <c r="Q341" s="174" t="s">
        <v>1483</v>
      </c>
      <c r="R341" s="174" t="s">
        <v>23</v>
      </c>
      <c r="S341" s="174" t="s">
        <v>129</v>
      </c>
      <c r="T341" s="175" t="str">
        <f>VLOOKUP($S341,Mapping!$C:$C,1,0)</f>
        <v>Omgeo</v>
      </c>
      <c r="U341" s="175"/>
      <c r="V341" s="175"/>
      <c r="W341" s="175"/>
      <c r="X341" s="175"/>
      <c r="Y341" s="174" t="s">
        <v>502</v>
      </c>
      <c r="Z341" s="174" t="s">
        <v>951</v>
      </c>
      <c r="AA341" s="174" t="s">
        <v>24</v>
      </c>
      <c r="AB341" s="174"/>
      <c r="AC341" s="174" t="s">
        <v>1484</v>
      </c>
      <c r="AD341" s="174" t="s">
        <v>472</v>
      </c>
      <c r="AE341" s="176">
        <v>43164.467534722222</v>
      </c>
      <c r="AF341" s="175"/>
      <c r="AG341" s="176">
        <v>43164.617337962962</v>
      </c>
      <c r="AH341" s="176">
        <v>43164.617337962962</v>
      </c>
      <c r="AI341" s="175"/>
      <c r="AJ341" s="175"/>
      <c r="AK341" s="178">
        <v>1</v>
      </c>
    </row>
    <row r="342" spans="1:37" ht="15.95" customHeight="1" x14ac:dyDescent="0.25">
      <c r="A342" s="174" t="s">
        <v>484</v>
      </c>
      <c r="B342" s="174" t="s">
        <v>1485</v>
      </c>
      <c r="C342" s="175"/>
      <c r="D342" s="174" t="s">
        <v>478</v>
      </c>
      <c r="E342" s="174" t="s">
        <v>558</v>
      </c>
      <c r="F342" s="176">
        <v>43164</v>
      </c>
      <c r="G342" s="176">
        <v>43167</v>
      </c>
      <c r="H342" s="174" t="s">
        <v>1363</v>
      </c>
      <c r="I342" s="175" t="e">
        <f>VLOOKUP($H342,Mapping!$A:$A,1,0)</f>
        <v>#N/A</v>
      </c>
      <c r="J342" s="179" t="s">
        <v>486</v>
      </c>
      <c r="K342" s="174" t="s">
        <v>1486</v>
      </c>
      <c r="L342" s="178">
        <v>2730000</v>
      </c>
      <c r="M342" s="178">
        <v>99.611999999999995</v>
      </c>
      <c r="N342" s="178">
        <v>4.0140509060999996</v>
      </c>
      <c r="O342" s="178">
        <v>-2719407.6</v>
      </c>
      <c r="P342" s="174" t="s">
        <v>337</v>
      </c>
      <c r="Q342" s="174" t="s">
        <v>1487</v>
      </c>
      <c r="R342" s="174" t="s">
        <v>24</v>
      </c>
      <c r="S342" s="174" t="s">
        <v>129</v>
      </c>
      <c r="T342" s="175" t="str">
        <f>VLOOKUP($S342,Mapping!$C:$C,1,0)</f>
        <v>Omgeo</v>
      </c>
      <c r="U342" s="175"/>
      <c r="V342" s="175"/>
      <c r="W342" s="175"/>
      <c r="X342" s="175"/>
      <c r="Y342" s="174" t="s">
        <v>489</v>
      </c>
      <c r="Z342" s="174" t="s">
        <v>560</v>
      </c>
      <c r="AA342" s="174" t="s">
        <v>24</v>
      </c>
      <c r="AB342" s="174"/>
      <c r="AC342" s="175"/>
      <c r="AD342" s="174" t="s">
        <v>512</v>
      </c>
      <c r="AE342" s="176">
        <v>43164.643252314818</v>
      </c>
      <c r="AF342" s="175"/>
      <c r="AG342" s="176">
        <v>43164.640925925924</v>
      </c>
      <c r="AH342" s="176">
        <v>43164.640972222223</v>
      </c>
      <c r="AI342" s="175"/>
      <c r="AJ342" s="175"/>
      <c r="AK342" s="178">
        <v>1</v>
      </c>
    </row>
    <row r="343" spans="1:37" ht="15.95" customHeight="1" x14ac:dyDescent="0.25">
      <c r="A343" s="174" t="s">
        <v>651</v>
      </c>
      <c r="B343" s="174" t="s">
        <v>1488</v>
      </c>
      <c r="C343" s="175"/>
      <c r="D343" s="174" t="s">
        <v>653</v>
      </c>
      <c r="E343" s="174" t="s">
        <v>1160</v>
      </c>
      <c r="F343" s="176">
        <v>43164</v>
      </c>
      <c r="G343" s="176">
        <v>43172</v>
      </c>
      <c r="H343" s="174" t="s">
        <v>1363</v>
      </c>
      <c r="I343" s="175" t="e">
        <f>VLOOKUP($H343,Mapping!$A:$A,1,0)</f>
        <v>#N/A</v>
      </c>
      <c r="J343" s="179" t="s">
        <v>486</v>
      </c>
      <c r="K343" s="174" t="s">
        <v>1066</v>
      </c>
      <c r="L343" s="178">
        <v>25000000</v>
      </c>
      <c r="M343" s="178">
        <v>102.33984375</v>
      </c>
      <c r="N343" s="178">
        <v>3.8531308284999999</v>
      </c>
      <c r="O343" s="178">
        <v>-25584960.9375</v>
      </c>
      <c r="P343" s="174" t="s">
        <v>337</v>
      </c>
      <c r="Q343" s="174" t="s">
        <v>1067</v>
      </c>
      <c r="R343" s="174" t="s">
        <v>24</v>
      </c>
      <c r="S343" s="174" t="s">
        <v>129</v>
      </c>
      <c r="T343" s="175" t="str">
        <f>VLOOKUP($S343,Mapping!$C:$C,1,0)</f>
        <v>Omgeo</v>
      </c>
      <c r="U343" s="175"/>
      <c r="V343" s="175"/>
      <c r="W343" s="175"/>
      <c r="X343" s="175"/>
      <c r="Y343" s="174" t="s">
        <v>651</v>
      </c>
      <c r="Z343" s="174" t="s">
        <v>1162</v>
      </c>
      <c r="AA343" s="174" t="s">
        <v>24</v>
      </c>
      <c r="AB343" s="174"/>
      <c r="AC343" s="175"/>
      <c r="AD343" s="174"/>
      <c r="AE343" s="176">
        <v>43164.482708333337</v>
      </c>
      <c r="AF343" s="175"/>
      <c r="AG343" s="176">
        <v>43164.476412037038</v>
      </c>
      <c r="AH343" s="176">
        <v>43164.482986111114</v>
      </c>
      <c r="AI343" s="175"/>
      <c r="AJ343" s="175"/>
      <c r="AK343" s="178">
        <v>1</v>
      </c>
    </row>
    <row r="344" spans="1:37" ht="15.95" customHeight="1" x14ac:dyDescent="0.25">
      <c r="A344" s="174" t="s">
        <v>484</v>
      </c>
      <c r="B344" s="174" t="s">
        <v>1489</v>
      </c>
      <c r="C344" s="175"/>
      <c r="D344" s="174" t="s">
        <v>478</v>
      </c>
      <c r="E344" s="174" t="s">
        <v>768</v>
      </c>
      <c r="F344" s="176">
        <v>43164</v>
      </c>
      <c r="G344" s="176">
        <v>43166</v>
      </c>
      <c r="H344" s="174" t="s">
        <v>1490</v>
      </c>
      <c r="I344" s="175" t="e">
        <f>VLOOKUP($H344,Mapping!$A:$A,1,0)</f>
        <v>#N/A</v>
      </c>
      <c r="J344" s="177" t="s">
        <v>466</v>
      </c>
      <c r="K344" s="174" t="s">
        <v>1457</v>
      </c>
      <c r="L344" s="178">
        <v>958000</v>
      </c>
      <c r="M344" s="178">
        <v>93.534999999999997</v>
      </c>
      <c r="N344" s="178">
        <v>4.9339910464000001</v>
      </c>
      <c r="O344" s="178">
        <v>916762.9964444401</v>
      </c>
      <c r="P344" s="174" t="s">
        <v>337</v>
      </c>
      <c r="Q344" s="174" t="s">
        <v>1458</v>
      </c>
      <c r="R344" s="174" t="s">
        <v>23</v>
      </c>
      <c r="S344" s="174" t="s">
        <v>130</v>
      </c>
      <c r="T344" s="175" t="str">
        <f>VLOOKUP($S344,Mapping!$C:$C,1,0)</f>
        <v>Manual</v>
      </c>
      <c r="U344" s="175"/>
      <c r="V344" s="175"/>
      <c r="W344" s="175"/>
      <c r="X344" s="175"/>
      <c r="Y344" s="174" t="s">
        <v>489</v>
      </c>
      <c r="Z344" s="174" t="s">
        <v>770</v>
      </c>
      <c r="AA344" s="174" t="s">
        <v>24</v>
      </c>
      <c r="AB344" s="174"/>
      <c r="AC344" s="174" t="s">
        <v>1491</v>
      </c>
      <c r="AD344" s="174" t="s">
        <v>483</v>
      </c>
      <c r="AE344" s="175"/>
      <c r="AF344" s="175"/>
      <c r="AG344" s="176">
        <v>43164.679710648146</v>
      </c>
      <c r="AH344" s="176">
        <v>43164.679710648146</v>
      </c>
      <c r="AI344" s="175"/>
      <c r="AJ344" s="175"/>
      <c r="AK344" s="178">
        <v>1</v>
      </c>
    </row>
    <row r="345" spans="1:37" ht="15.95" customHeight="1" x14ac:dyDescent="0.25">
      <c r="A345" s="174" t="s">
        <v>484</v>
      </c>
      <c r="B345" s="174" t="s">
        <v>1492</v>
      </c>
      <c r="C345" s="175"/>
      <c r="D345" s="174" t="s">
        <v>478</v>
      </c>
      <c r="E345" s="174" t="s">
        <v>590</v>
      </c>
      <c r="F345" s="176">
        <v>43164</v>
      </c>
      <c r="G345" s="176">
        <v>43166</v>
      </c>
      <c r="H345" s="174" t="s">
        <v>1493</v>
      </c>
      <c r="I345" s="175" t="e">
        <f>VLOOKUP($H345,Mapping!$A:$A,1,0)</f>
        <v>#N/A</v>
      </c>
      <c r="J345" s="177" t="s">
        <v>466</v>
      </c>
      <c r="K345" s="174" t="s">
        <v>591</v>
      </c>
      <c r="L345" s="178">
        <v>500000</v>
      </c>
      <c r="M345" s="178">
        <v>79</v>
      </c>
      <c r="N345" s="178">
        <v>14.196972647999999</v>
      </c>
      <c r="O345" s="178">
        <v>404111.11111111002</v>
      </c>
      <c r="P345" s="174" t="s">
        <v>337</v>
      </c>
      <c r="Q345" s="174" t="s">
        <v>592</v>
      </c>
      <c r="R345" s="174" t="s">
        <v>24</v>
      </c>
      <c r="S345" s="174" t="s">
        <v>130</v>
      </c>
      <c r="T345" s="175" t="str">
        <f>VLOOKUP($S345,Mapping!$C:$C,1,0)</f>
        <v>Manual</v>
      </c>
      <c r="U345" s="175"/>
      <c r="V345" s="175"/>
      <c r="W345" s="175"/>
      <c r="X345" s="175"/>
      <c r="Y345" s="174" t="s">
        <v>489</v>
      </c>
      <c r="Z345" s="174" t="s">
        <v>594</v>
      </c>
      <c r="AA345" s="174" t="s">
        <v>24</v>
      </c>
      <c r="AB345" s="174"/>
      <c r="AC345" s="175"/>
      <c r="AD345" s="174" t="s">
        <v>472</v>
      </c>
      <c r="AE345" s="175"/>
      <c r="AF345" s="175"/>
      <c r="AG345" s="176">
        <v>43164.566307870373</v>
      </c>
      <c r="AH345" s="176">
        <v>43164.566377314812</v>
      </c>
      <c r="AI345" s="175"/>
      <c r="AJ345" s="175"/>
      <c r="AK345" s="178">
        <v>1</v>
      </c>
    </row>
    <row r="346" spans="1:37" ht="15.95" customHeight="1" x14ac:dyDescent="0.25">
      <c r="A346" s="174" t="s">
        <v>484</v>
      </c>
      <c r="B346" s="174" t="s">
        <v>1494</v>
      </c>
      <c r="C346" s="175"/>
      <c r="D346" s="174" t="s">
        <v>478</v>
      </c>
      <c r="E346" s="174" t="s">
        <v>768</v>
      </c>
      <c r="F346" s="176">
        <v>43164</v>
      </c>
      <c r="G346" s="176">
        <v>43166</v>
      </c>
      <c r="H346" s="174" t="s">
        <v>1495</v>
      </c>
      <c r="I346" s="175" t="e">
        <f>VLOOKUP($H346,Mapping!$A:$A,1,0)</f>
        <v>#N/A</v>
      </c>
      <c r="J346" s="179" t="s">
        <v>486</v>
      </c>
      <c r="K346" s="174" t="s">
        <v>772</v>
      </c>
      <c r="L346" s="178">
        <v>6745000</v>
      </c>
      <c r="M346" s="178">
        <v>95.611999999999995</v>
      </c>
      <c r="N346" s="178">
        <v>4.4924158318999998</v>
      </c>
      <c r="O346" s="178">
        <v>-6571882.0805555601</v>
      </c>
      <c r="P346" s="174" t="s">
        <v>337</v>
      </c>
      <c r="Q346" s="174" t="s">
        <v>773</v>
      </c>
      <c r="R346" s="174" t="s">
        <v>22</v>
      </c>
      <c r="S346" s="174" t="s">
        <v>129</v>
      </c>
      <c r="T346" s="175" t="str">
        <f>VLOOKUP($S346,Mapping!$C:$C,1,0)</f>
        <v>Omgeo</v>
      </c>
      <c r="U346" s="174" t="s">
        <v>1496</v>
      </c>
      <c r="V346" s="174" t="s">
        <v>132</v>
      </c>
      <c r="W346" s="175"/>
      <c r="X346" s="175"/>
      <c r="Y346" s="174" t="s">
        <v>489</v>
      </c>
      <c r="Z346" s="174" t="s">
        <v>770</v>
      </c>
      <c r="AA346" s="174" t="s">
        <v>22</v>
      </c>
      <c r="AB346" s="174"/>
      <c r="AC346" s="175"/>
      <c r="AD346" s="174" t="s">
        <v>512</v>
      </c>
      <c r="AE346" s="176">
        <v>43164.610729166663</v>
      </c>
      <c r="AF346" s="174" t="s">
        <v>1496</v>
      </c>
      <c r="AG346" s="176">
        <v>43164.604027777779</v>
      </c>
      <c r="AH346" s="176">
        <v>43164.604074074072</v>
      </c>
      <c r="AI346" s="175"/>
      <c r="AJ346" s="175"/>
      <c r="AK346" s="178">
        <v>1</v>
      </c>
    </row>
    <row r="347" spans="1:37" ht="15.95" customHeight="1" x14ac:dyDescent="0.25">
      <c r="A347" s="174" t="s">
        <v>461</v>
      </c>
      <c r="B347" s="174" t="s">
        <v>1497</v>
      </c>
      <c r="C347" s="175"/>
      <c r="D347" s="174" t="s">
        <v>478</v>
      </c>
      <c r="E347" s="174" t="s">
        <v>768</v>
      </c>
      <c r="F347" s="176">
        <v>43164</v>
      </c>
      <c r="G347" s="176">
        <v>43165</v>
      </c>
      <c r="H347" s="174" t="s">
        <v>1495</v>
      </c>
      <c r="I347" s="175" t="e">
        <f>VLOOKUP($H347,Mapping!$A:$A,1,0)</f>
        <v>#N/A</v>
      </c>
      <c r="J347" s="177" t="s">
        <v>466</v>
      </c>
      <c r="K347" s="174" t="s">
        <v>475</v>
      </c>
      <c r="L347" s="178">
        <v>6200000</v>
      </c>
      <c r="M347" s="178">
        <v>98.8125</v>
      </c>
      <c r="N347" s="178">
        <v>2.8880910082</v>
      </c>
      <c r="O347" s="178">
        <v>6135323.8950276198</v>
      </c>
      <c r="P347" s="174" t="s">
        <v>337</v>
      </c>
      <c r="Q347" s="174" t="s">
        <v>476</v>
      </c>
      <c r="R347" s="174" t="s">
        <v>22</v>
      </c>
      <c r="S347" s="174" t="s">
        <v>129</v>
      </c>
      <c r="T347" s="175" t="str">
        <f>VLOOKUP($S347,Mapping!$C:$C,1,0)</f>
        <v>Omgeo</v>
      </c>
      <c r="U347" s="174" t="s">
        <v>1498</v>
      </c>
      <c r="V347" s="174" t="s">
        <v>132</v>
      </c>
      <c r="W347" s="175"/>
      <c r="X347" s="175"/>
      <c r="Y347" s="174" t="s">
        <v>469</v>
      </c>
      <c r="Z347" s="174" t="s">
        <v>770</v>
      </c>
      <c r="AA347" s="174" t="s">
        <v>22</v>
      </c>
      <c r="AB347" s="174"/>
      <c r="AC347" s="175"/>
      <c r="AD347" s="174" t="s">
        <v>512</v>
      </c>
      <c r="AE347" s="176">
        <v>43164.610729166663</v>
      </c>
      <c r="AF347" s="174" t="s">
        <v>1498</v>
      </c>
      <c r="AG347" s="176">
        <v>43164.604004629633</v>
      </c>
      <c r="AH347" s="176">
        <v>43164.604085648149</v>
      </c>
      <c r="AI347" s="175"/>
      <c r="AJ347" s="175"/>
      <c r="AK347" s="178">
        <v>1</v>
      </c>
    </row>
    <row r="348" spans="1:37" ht="15.95" customHeight="1" x14ac:dyDescent="0.25">
      <c r="A348" s="174" t="s">
        <v>461</v>
      </c>
      <c r="B348" s="174" t="s">
        <v>1499</v>
      </c>
      <c r="C348" s="175"/>
      <c r="D348" s="174" t="s">
        <v>478</v>
      </c>
      <c r="E348" s="174" t="s">
        <v>479</v>
      </c>
      <c r="F348" s="176">
        <v>43164</v>
      </c>
      <c r="G348" s="176">
        <v>43165</v>
      </c>
      <c r="H348" s="174" t="s">
        <v>1500</v>
      </c>
      <c r="I348" s="175" t="e">
        <f>VLOOKUP($H348,Mapping!$A:$A,1,0)</f>
        <v>#N/A</v>
      </c>
      <c r="J348" s="179" t="s">
        <v>486</v>
      </c>
      <c r="K348" s="174" t="s">
        <v>543</v>
      </c>
      <c r="L348" s="178">
        <v>2202000</v>
      </c>
      <c r="M348" s="178">
        <v>92.1875</v>
      </c>
      <c r="N348" s="178">
        <v>3.1572221045000002</v>
      </c>
      <c r="O348" s="178">
        <v>-2048536.7196132601</v>
      </c>
      <c r="P348" s="174" t="s">
        <v>337</v>
      </c>
      <c r="Q348" s="174" t="s">
        <v>544</v>
      </c>
      <c r="R348" s="174" t="s">
        <v>22</v>
      </c>
      <c r="S348" s="174" t="s">
        <v>129</v>
      </c>
      <c r="T348" s="175" t="str">
        <f>VLOOKUP($S348,Mapping!$C:$C,1,0)</f>
        <v>Omgeo</v>
      </c>
      <c r="U348" s="174" t="s">
        <v>1501</v>
      </c>
      <c r="V348" s="174" t="s">
        <v>132</v>
      </c>
      <c r="W348" s="175"/>
      <c r="X348" s="175"/>
      <c r="Y348" s="174" t="s">
        <v>469</v>
      </c>
      <c r="Z348" s="174" t="s">
        <v>481</v>
      </c>
      <c r="AA348" s="174" t="s">
        <v>22</v>
      </c>
      <c r="AB348" s="174"/>
      <c r="AC348" s="175"/>
      <c r="AD348" s="174" t="s">
        <v>512</v>
      </c>
      <c r="AE348" s="176">
        <v>43164.532129629632</v>
      </c>
      <c r="AF348" s="174" t="s">
        <v>1501</v>
      </c>
      <c r="AG348" s="176">
        <v>43164.52579861111</v>
      </c>
      <c r="AH348" s="176">
        <v>43164.52584490741</v>
      </c>
      <c r="AI348" s="175"/>
      <c r="AJ348" s="175"/>
      <c r="AK348" s="178">
        <v>1</v>
      </c>
    </row>
    <row r="349" spans="1:37" ht="15.95" customHeight="1" x14ac:dyDescent="0.25">
      <c r="A349" s="174" t="s">
        <v>484</v>
      </c>
      <c r="B349" s="174" t="s">
        <v>1502</v>
      </c>
      <c r="C349" s="175"/>
      <c r="D349" s="174" t="s">
        <v>478</v>
      </c>
      <c r="E349" s="174" t="s">
        <v>479</v>
      </c>
      <c r="F349" s="176">
        <v>43164</v>
      </c>
      <c r="G349" s="176">
        <v>43166</v>
      </c>
      <c r="H349" s="174" t="s">
        <v>1500</v>
      </c>
      <c r="I349" s="175" t="e">
        <f>VLOOKUP($H349,Mapping!$A:$A,1,0)</f>
        <v>#N/A</v>
      </c>
      <c r="J349" s="177" t="s">
        <v>466</v>
      </c>
      <c r="K349" s="174" t="s">
        <v>1503</v>
      </c>
      <c r="L349" s="178">
        <v>2275000</v>
      </c>
      <c r="M349" s="178">
        <v>98.483999999999995</v>
      </c>
      <c r="N349" s="178">
        <v>3.9869827004</v>
      </c>
      <c r="O349" s="178">
        <v>2243961.4166666702</v>
      </c>
      <c r="P349" s="174" t="s">
        <v>337</v>
      </c>
      <c r="Q349" s="174" t="s">
        <v>1504</v>
      </c>
      <c r="R349" s="174" t="s">
        <v>22</v>
      </c>
      <c r="S349" s="174" t="s">
        <v>129</v>
      </c>
      <c r="T349" s="175" t="str">
        <f>VLOOKUP($S349,Mapping!$C:$C,1,0)</f>
        <v>Omgeo</v>
      </c>
      <c r="U349" s="174" t="s">
        <v>1505</v>
      </c>
      <c r="V349" s="174" t="s">
        <v>132</v>
      </c>
      <c r="W349" s="175"/>
      <c r="X349" s="175"/>
      <c r="Y349" s="174" t="s">
        <v>489</v>
      </c>
      <c r="Z349" s="174" t="s">
        <v>481</v>
      </c>
      <c r="AA349" s="174" t="s">
        <v>22</v>
      </c>
      <c r="AB349" s="174"/>
      <c r="AC349" s="175"/>
      <c r="AD349" s="174" t="s">
        <v>512</v>
      </c>
      <c r="AE349" s="176">
        <v>43164.532129629632</v>
      </c>
      <c r="AF349" s="174" t="s">
        <v>1505</v>
      </c>
      <c r="AG349" s="176">
        <v>43164.52579861111</v>
      </c>
      <c r="AH349" s="176">
        <v>43164.525856481479</v>
      </c>
      <c r="AI349" s="175"/>
      <c r="AJ349" s="175"/>
      <c r="AK349" s="178">
        <v>1</v>
      </c>
    </row>
    <row r="350" spans="1:37" ht="15.95" customHeight="1" x14ac:dyDescent="0.25">
      <c r="A350" s="174" t="s">
        <v>461</v>
      </c>
      <c r="B350" s="174" t="s">
        <v>1506</v>
      </c>
      <c r="C350" s="175"/>
      <c r="D350" s="174" t="s">
        <v>566</v>
      </c>
      <c r="E350" s="174" t="s">
        <v>1507</v>
      </c>
      <c r="F350" s="176">
        <v>43164</v>
      </c>
      <c r="G350" s="176">
        <v>43166</v>
      </c>
      <c r="H350" s="174" t="s">
        <v>1508</v>
      </c>
      <c r="I350" s="175" t="e">
        <f>VLOOKUP($H350,Mapping!$A:$A,1,0)</f>
        <v>#N/A</v>
      </c>
      <c r="J350" s="177" t="s">
        <v>466</v>
      </c>
      <c r="K350" s="174" t="s">
        <v>1509</v>
      </c>
      <c r="L350" s="178">
        <v>750000</v>
      </c>
      <c r="M350" s="178">
        <v>101.25</v>
      </c>
      <c r="N350" s="178">
        <v>8.1376809607999991</v>
      </c>
      <c r="O350" s="178">
        <v>760921.875</v>
      </c>
      <c r="P350" s="174" t="s">
        <v>337</v>
      </c>
      <c r="Q350" s="174" t="s">
        <v>1510</v>
      </c>
      <c r="R350" s="174" t="s">
        <v>22</v>
      </c>
      <c r="S350" s="174" t="s">
        <v>129</v>
      </c>
      <c r="T350" s="175" t="str">
        <f>VLOOKUP($S350,Mapping!$C:$C,1,0)</f>
        <v>Omgeo</v>
      </c>
      <c r="U350" s="174" t="s">
        <v>1511</v>
      </c>
      <c r="V350" s="174" t="s">
        <v>132</v>
      </c>
      <c r="W350" s="175"/>
      <c r="X350" s="175"/>
      <c r="Y350" s="174" t="s">
        <v>1512</v>
      </c>
      <c r="Z350" s="174" t="s">
        <v>1513</v>
      </c>
      <c r="AA350" s="174" t="s">
        <v>22</v>
      </c>
      <c r="AB350" s="174"/>
      <c r="AC350" s="175"/>
      <c r="AD350" s="174" t="s">
        <v>1514</v>
      </c>
      <c r="AE350" s="176">
        <v>43164.312638888892</v>
      </c>
      <c r="AF350" s="174" t="s">
        <v>1511</v>
      </c>
      <c r="AG350" s="176">
        <v>43164.317974537036</v>
      </c>
      <c r="AH350" s="176">
        <v>43164.317974537036</v>
      </c>
      <c r="AI350" s="175"/>
      <c r="AJ350" s="175"/>
      <c r="AK350" s="178">
        <v>1</v>
      </c>
    </row>
    <row r="351" spans="1:37" ht="15.95" customHeight="1" x14ac:dyDescent="0.25">
      <c r="A351" s="174" t="s">
        <v>461</v>
      </c>
      <c r="B351" s="174" t="s">
        <v>1515</v>
      </c>
      <c r="C351" s="175"/>
      <c r="D351" s="174" t="s">
        <v>463</v>
      </c>
      <c r="E351" s="174" t="s">
        <v>506</v>
      </c>
      <c r="F351" s="176">
        <v>43164</v>
      </c>
      <c r="G351" s="176">
        <v>43165</v>
      </c>
      <c r="H351" s="174" t="s">
        <v>1508</v>
      </c>
      <c r="I351" s="175" t="e">
        <f>VLOOKUP($H351,Mapping!$A:$A,1,0)</f>
        <v>#N/A</v>
      </c>
      <c r="J351" s="179" t="s">
        <v>486</v>
      </c>
      <c r="K351" s="174" t="s">
        <v>1516</v>
      </c>
      <c r="L351" s="178">
        <v>171000000</v>
      </c>
      <c r="M351" s="178">
        <v>95.8828125</v>
      </c>
      <c r="N351" s="178">
        <v>2.8157835809999998</v>
      </c>
      <c r="O351" s="178">
        <v>-165526913.63324177</v>
      </c>
      <c r="P351" s="174" t="s">
        <v>337</v>
      </c>
      <c r="Q351" s="174" t="s">
        <v>1517</v>
      </c>
      <c r="R351" s="174" t="s">
        <v>22</v>
      </c>
      <c r="S351" s="174" t="s">
        <v>129</v>
      </c>
      <c r="T351" s="175" t="str">
        <f>VLOOKUP($S351,Mapping!$C:$C,1,0)</f>
        <v>Omgeo</v>
      </c>
      <c r="U351" s="174" t="s">
        <v>1518</v>
      </c>
      <c r="V351" s="174" t="s">
        <v>132</v>
      </c>
      <c r="W351" s="175"/>
      <c r="X351" s="175"/>
      <c r="Y351" s="174" t="s">
        <v>469</v>
      </c>
      <c r="Z351" s="174" t="s">
        <v>511</v>
      </c>
      <c r="AA351" s="174" t="s">
        <v>22</v>
      </c>
      <c r="AB351" s="174"/>
      <c r="AC351" s="175"/>
      <c r="AD351" s="174" t="s">
        <v>512</v>
      </c>
      <c r="AE351" s="176">
        <v>43164.448148148149</v>
      </c>
      <c r="AF351" s="174" t="s">
        <v>1518</v>
      </c>
      <c r="AG351" s="176">
        <v>43164.442465277774</v>
      </c>
      <c r="AH351" s="176">
        <v>43164.442546296297</v>
      </c>
      <c r="AI351" s="174" t="s">
        <v>473</v>
      </c>
      <c r="AJ351" s="175"/>
      <c r="AK351" s="178">
        <v>1</v>
      </c>
    </row>
    <row r="352" spans="1:37" ht="15.95" customHeight="1" x14ac:dyDescent="0.25">
      <c r="A352" s="174" t="s">
        <v>461</v>
      </c>
      <c r="B352" s="174" t="s">
        <v>1519</v>
      </c>
      <c r="C352" s="175"/>
      <c r="D352" s="174" t="s">
        <v>463</v>
      </c>
      <c r="E352" s="174" t="s">
        <v>506</v>
      </c>
      <c r="F352" s="176">
        <v>43164</v>
      </c>
      <c r="G352" s="176">
        <v>43165</v>
      </c>
      <c r="H352" s="174" t="s">
        <v>1508</v>
      </c>
      <c r="I352" s="175" t="e">
        <f>VLOOKUP($H352,Mapping!$A:$A,1,0)</f>
        <v>#N/A</v>
      </c>
      <c r="J352" s="177" t="s">
        <v>466</v>
      </c>
      <c r="K352" s="174" t="s">
        <v>508</v>
      </c>
      <c r="L352" s="178">
        <v>158400000</v>
      </c>
      <c r="M352" s="178">
        <v>99.5</v>
      </c>
      <c r="N352" s="178">
        <v>2.8293568444999999</v>
      </c>
      <c r="O352" s="178">
        <v>157679021.73913041</v>
      </c>
      <c r="P352" s="174" t="s">
        <v>337</v>
      </c>
      <c r="Q352" s="174" t="s">
        <v>509</v>
      </c>
      <c r="R352" s="174" t="s">
        <v>22</v>
      </c>
      <c r="S352" s="174" t="s">
        <v>129</v>
      </c>
      <c r="T352" s="175" t="str">
        <f>VLOOKUP($S352,Mapping!$C:$C,1,0)</f>
        <v>Omgeo</v>
      </c>
      <c r="U352" s="174" t="s">
        <v>1520</v>
      </c>
      <c r="V352" s="174" t="s">
        <v>132</v>
      </c>
      <c r="W352" s="175"/>
      <c r="X352" s="175"/>
      <c r="Y352" s="174" t="s">
        <v>469</v>
      </c>
      <c r="Z352" s="174" t="s">
        <v>511</v>
      </c>
      <c r="AA352" s="174" t="s">
        <v>22</v>
      </c>
      <c r="AB352" s="174"/>
      <c r="AC352" s="175"/>
      <c r="AD352" s="174" t="s">
        <v>512</v>
      </c>
      <c r="AE352" s="176">
        <v>43164.448148148149</v>
      </c>
      <c r="AF352" s="174" t="s">
        <v>1520</v>
      </c>
      <c r="AG352" s="176">
        <v>43164.442465277774</v>
      </c>
      <c r="AH352" s="176">
        <v>43164.442557870374</v>
      </c>
      <c r="AI352" s="174" t="s">
        <v>473</v>
      </c>
      <c r="AJ352" s="175"/>
      <c r="AK352" s="178">
        <v>1</v>
      </c>
    </row>
    <row r="353" spans="1:37" ht="15.95" customHeight="1" x14ac:dyDescent="0.25">
      <c r="A353" s="174" t="s">
        <v>461</v>
      </c>
      <c r="B353" s="174" t="s">
        <v>1521</v>
      </c>
      <c r="C353" s="175"/>
      <c r="D353" s="174" t="s">
        <v>463</v>
      </c>
      <c r="E353" s="174" t="s">
        <v>506</v>
      </c>
      <c r="F353" s="176">
        <v>43164</v>
      </c>
      <c r="G353" s="176">
        <v>43165</v>
      </c>
      <c r="H353" s="174" t="s">
        <v>1508</v>
      </c>
      <c r="I353" s="175" t="e">
        <f>VLOOKUP($H353,Mapping!$A:$A,1,0)</f>
        <v>#N/A</v>
      </c>
      <c r="J353" s="179" t="s">
        <v>486</v>
      </c>
      <c r="K353" s="174" t="s">
        <v>1522</v>
      </c>
      <c r="L353" s="178">
        <v>100000000</v>
      </c>
      <c r="M353" s="178">
        <v>97.359375</v>
      </c>
      <c r="N353" s="178">
        <v>2.5899165304</v>
      </c>
      <c r="O353" s="178">
        <v>-97535479.972375691</v>
      </c>
      <c r="P353" s="174" t="s">
        <v>337</v>
      </c>
      <c r="Q353" s="174" t="s">
        <v>1523</v>
      </c>
      <c r="R353" s="174" t="s">
        <v>22</v>
      </c>
      <c r="S353" s="174" t="s">
        <v>129</v>
      </c>
      <c r="T353" s="175" t="str">
        <f>VLOOKUP($S353,Mapping!$C:$C,1,0)</f>
        <v>Omgeo</v>
      </c>
      <c r="U353" s="174" t="s">
        <v>1524</v>
      </c>
      <c r="V353" s="174" t="s">
        <v>132</v>
      </c>
      <c r="W353" s="175"/>
      <c r="X353" s="175"/>
      <c r="Y353" s="174" t="s">
        <v>469</v>
      </c>
      <c r="Z353" s="174" t="s">
        <v>511</v>
      </c>
      <c r="AA353" s="174" t="s">
        <v>22</v>
      </c>
      <c r="AB353" s="174"/>
      <c r="AC353" s="175"/>
      <c r="AD353" s="174" t="s">
        <v>512</v>
      </c>
      <c r="AE353" s="176">
        <v>43164.448148148149</v>
      </c>
      <c r="AF353" s="174" t="s">
        <v>1524</v>
      </c>
      <c r="AG353" s="176">
        <v>43164.446296296293</v>
      </c>
      <c r="AH353" s="176">
        <v>43164.44635416667</v>
      </c>
      <c r="AI353" s="174" t="s">
        <v>473</v>
      </c>
      <c r="AJ353" s="175"/>
      <c r="AK353" s="178">
        <v>1</v>
      </c>
    </row>
    <row r="354" spans="1:37" ht="15.95" customHeight="1" x14ac:dyDescent="0.25">
      <c r="A354" s="174" t="s">
        <v>461</v>
      </c>
      <c r="B354" s="174" t="s">
        <v>1525</v>
      </c>
      <c r="C354" s="175"/>
      <c r="D354" s="174" t="s">
        <v>463</v>
      </c>
      <c r="E354" s="174" t="s">
        <v>506</v>
      </c>
      <c r="F354" s="176">
        <v>43164</v>
      </c>
      <c r="G354" s="176">
        <v>43165</v>
      </c>
      <c r="H354" s="174" t="s">
        <v>1508</v>
      </c>
      <c r="I354" s="175" t="e">
        <f>VLOOKUP($H354,Mapping!$A:$A,1,0)</f>
        <v>#N/A</v>
      </c>
      <c r="J354" s="177" t="s">
        <v>466</v>
      </c>
      <c r="K354" s="174" t="s">
        <v>467</v>
      </c>
      <c r="L354" s="178">
        <v>78500000</v>
      </c>
      <c r="M354" s="178">
        <v>99.75</v>
      </c>
      <c r="N354" s="178">
        <v>2.6788620698000001</v>
      </c>
      <c r="O354" s="178">
        <v>78337347.146739125</v>
      </c>
      <c r="P354" s="174" t="s">
        <v>337</v>
      </c>
      <c r="Q354" s="174" t="s">
        <v>468</v>
      </c>
      <c r="R354" s="174" t="s">
        <v>22</v>
      </c>
      <c r="S354" s="174" t="s">
        <v>129</v>
      </c>
      <c r="T354" s="175" t="str">
        <f>VLOOKUP($S354,Mapping!$C:$C,1,0)</f>
        <v>Omgeo</v>
      </c>
      <c r="U354" s="174" t="s">
        <v>1526</v>
      </c>
      <c r="V354" s="174" t="s">
        <v>132</v>
      </c>
      <c r="W354" s="175"/>
      <c r="X354" s="175"/>
      <c r="Y354" s="174" t="s">
        <v>469</v>
      </c>
      <c r="Z354" s="174" t="s">
        <v>511</v>
      </c>
      <c r="AA354" s="174" t="s">
        <v>22</v>
      </c>
      <c r="AB354" s="174"/>
      <c r="AC354" s="175"/>
      <c r="AD354" s="174" t="s">
        <v>512</v>
      </c>
      <c r="AE354" s="176">
        <v>43164.448148148149</v>
      </c>
      <c r="AF354" s="174" t="s">
        <v>1526</v>
      </c>
      <c r="AG354" s="176">
        <v>43164.446296296293</v>
      </c>
      <c r="AH354" s="176">
        <v>43164.446400462963</v>
      </c>
      <c r="AI354" s="174" t="s">
        <v>473</v>
      </c>
      <c r="AJ354" s="175"/>
      <c r="AK354" s="178">
        <v>1</v>
      </c>
    </row>
    <row r="355" spans="1:37" ht="15.95" customHeight="1" x14ac:dyDescent="0.25">
      <c r="A355" s="174" t="s">
        <v>484</v>
      </c>
      <c r="B355" s="174" t="s">
        <v>1527</v>
      </c>
      <c r="C355" s="175"/>
      <c r="D355" s="174" t="s">
        <v>478</v>
      </c>
      <c r="E355" s="174" t="s">
        <v>535</v>
      </c>
      <c r="F355" s="176">
        <v>43164</v>
      </c>
      <c r="G355" s="176">
        <v>43166</v>
      </c>
      <c r="H355" s="174" t="s">
        <v>1508</v>
      </c>
      <c r="I355" s="175" t="e">
        <f>VLOOKUP($H355,Mapping!$A:$A,1,0)</f>
        <v>#N/A</v>
      </c>
      <c r="J355" s="179" t="s">
        <v>486</v>
      </c>
      <c r="K355" s="174" t="s">
        <v>1109</v>
      </c>
      <c r="L355" s="178">
        <v>5000000</v>
      </c>
      <c r="M355" s="178">
        <v>100.51300000000001</v>
      </c>
      <c r="N355" s="178">
        <v>4.6322236006999997</v>
      </c>
      <c r="O355" s="178">
        <v>-5078756.3888888899</v>
      </c>
      <c r="P355" s="174" t="s">
        <v>337</v>
      </c>
      <c r="Q355" s="174" t="s">
        <v>1110</v>
      </c>
      <c r="R355" s="174" t="s">
        <v>22</v>
      </c>
      <c r="S355" s="174" t="s">
        <v>129</v>
      </c>
      <c r="T355" s="175" t="str">
        <f>VLOOKUP($S355,Mapping!$C:$C,1,0)</f>
        <v>Omgeo</v>
      </c>
      <c r="U355" s="174" t="s">
        <v>1528</v>
      </c>
      <c r="V355" s="174" t="s">
        <v>132</v>
      </c>
      <c r="W355" s="175"/>
      <c r="X355" s="175"/>
      <c r="Y355" s="174" t="s">
        <v>489</v>
      </c>
      <c r="Z355" s="174" t="s">
        <v>540</v>
      </c>
      <c r="AA355" s="174" t="s">
        <v>22</v>
      </c>
      <c r="AB355" s="174"/>
      <c r="AC355" s="175"/>
      <c r="AD355" s="174" t="s">
        <v>541</v>
      </c>
      <c r="AE355" s="176">
        <v>43164.584733796299</v>
      </c>
      <c r="AF355" s="174" t="s">
        <v>1528</v>
      </c>
      <c r="AG355" s="176">
        <v>43164.627291666664</v>
      </c>
      <c r="AH355" s="176">
        <v>43164.627291666664</v>
      </c>
      <c r="AI355" s="175"/>
      <c r="AJ355" s="175"/>
      <c r="AK355" s="178">
        <v>1</v>
      </c>
    </row>
    <row r="356" spans="1:37" ht="15.95" customHeight="1" x14ac:dyDescent="0.25">
      <c r="A356" s="174" t="s">
        <v>461</v>
      </c>
      <c r="B356" s="174" t="s">
        <v>1529</v>
      </c>
      <c r="C356" s="175"/>
      <c r="D356" s="174" t="s">
        <v>478</v>
      </c>
      <c r="E356" s="174" t="s">
        <v>535</v>
      </c>
      <c r="F356" s="176">
        <v>43164</v>
      </c>
      <c r="G356" s="176">
        <v>43165</v>
      </c>
      <c r="H356" s="174" t="s">
        <v>1508</v>
      </c>
      <c r="I356" s="175" t="e">
        <f>VLOOKUP($H356,Mapping!$A:$A,1,0)</f>
        <v>#N/A</v>
      </c>
      <c r="J356" s="177" t="s">
        <v>466</v>
      </c>
      <c r="K356" s="174" t="s">
        <v>543</v>
      </c>
      <c r="L356" s="178">
        <v>4600000</v>
      </c>
      <c r="M356" s="178">
        <v>91.921875</v>
      </c>
      <c r="N356" s="178">
        <v>3.1718498070000001</v>
      </c>
      <c r="O356" s="178">
        <v>4267194.9240331501</v>
      </c>
      <c r="P356" s="174" t="s">
        <v>337</v>
      </c>
      <c r="Q356" s="174" t="s">
        <v>544</v>
      </c>
      <c r="R356" s="174" t="s">
        <v>22</v>
      </c>
      <c r="S356" s="174" t="s">
        <v>129</v>
      </c>
      <c r="T356" s="175" t="str">
        <f>VLOOKUP($S356,Mapping!$C:$C,1,0)</f>
        <v>Omgeo</v>
      </c>
      <c r="U356" s="174" t="s">
        <v>1530</v>
      </c>
      <c r="V356" s="174" t="s">
        <v>132</v>
      </c>
      <c r="W356" s="175"/>
      <c r="X356" s="175"/>
      <c r="Y356" s="174" t="s">
        <v>469</v>
      </c>
      <c r="Z356" s="174" t="s">
        <v>540</v>
      </c>
      <c r="AA356" s="174" t="s">
        <v>22</v>
      </c>
      <c r="AB356" s="174"/>
      <c r="AC356" s="175"/>
      <c r="AD356" s="174" t="s">
        <v>541</v>
      </c>
      <c r="AE356" s="176">
        <v>43164.584733796299</v>
      </c>
      <c r="AF356" s="174" t="s">
        <v>1530</v>
      </c>
      <c r="AG356" s="176">
        <v>43164.627418981479</v>
      </c>
      <c r="AH356" s="176">
        <v>43164.627418981479</v>
      </c>
      <c r="AI356" s="175"/>
      <c r="AJ356" s="175"/>
      <c r="AK356" s="178">
        <v>1</v>
      </c>
    </row>
    <row r="357" spans="1:37" ht="15.95" customHeight="1" x14ac:dyDescent="0.25">
      <c r="A357" s="174" t="s">
        <v>484</v>
      </c>
      <c r="B357" s="174" t="s">
        <v>1531</v>
      </c>
      <c r="C357" s="175"/>
      <c r="D357" s="174" t="s">
        <v>478</v>
      </c>
      <c r="E357" s="174" t="s">
        <v>1013</v>
      </c>
      <c r="F357" s="176">
        <v>43164</v>
      </c>
      <c r="G357" s="176">
        <v>43166</v>
      </c>
      <c r="H357" s="174" t="s">
        <v>1508</v>
      </c>
      <c r="I357" s="175" t="e">
        <f>VLOOKUP($H357,Mapping!$A:$A,1,0)</f>
        <v>#N/A</v>
      </c>
      <c r="J357" s="179" t="s">
        <v>486</v>
      </c>
      <c r="K357" s="174" t="s">
        <v>1532</v>
      </c>
      <c r="L357" s="178">
        <v>5000000</v>
      </c>
      <c r="M357" s="178">
        <v>97.686999999999998</v>
      </c>
      <c r="N357" s="178">
        <v>4.9109719878</v>
      </c>
      <c r="O357" s="178">
        <v>-4978030.5555555606</v>
      </c>
      <c r="P357" s="174" t="s">
        <v>337</v>
      </c>
      <c r="Q357" s="174" t="s">
        <v>1533</v>
      </c>
      <c r="R357" s="174" t="s">
        <v>22</v>
      </c>
      <c r="S357" s="174" t="s">
        <v>129</v>
      </c>
      <c r="T357" s="175" t="str">
        <f>VLOOKUP($S357,Mapping!$C:$C,1,0)</f>
        <v>Omgeo</v>
      </c>
      <c r="U357" s="174" t="s">
        <v>1534</v>
      </c>
      <c r="V357" s="174" t="s">
        <v>132</v>
      </c>
      <c r="W357" s="175"/>
      <c r="X357" s="175"/>
      <c r="Y357" s="174" t="s">
        <v>489</v>
      </c>
      <c r="Z357" s="174" t="s">
        <v>1017</v>
      </c>
      <c r="AA357" s="174" t="s">
        <v>22</v>
      </c>
      <c r="AB357" s="174"/>
      <c r="AC357" s="175"/>
      <c r="AD357" s="174" t="s">
        <v>927</v>
      </c>
      <c r="AE357" s="176">
        <v>43164.649687500001</v>
      </c>
      <c r="AF357" s="174" t="s">
        <v>1534</v>
      </c>
      <c r="AG357" s="176">
        <v>43164.64640046296</v>
      </c>
      <c r="AH357" s="176">
        <v>43164.64640046296</v>
      </c>
      <c r="AI357" s="175"/>
      <c r="AJ357" s="175"/>
      <c r="AK357" s="178">
        <v>1</v>
      </c>
    </row>
    <row r="358" spans="1:37" ht="15.95" customHeight="1" x14ac:dyDescent="0.25">
      <c r="A358" s="174" t="s">
        <v>461</v>
      </c>
      <c r="B358" s="174" t="s">
        <v>1535</v>
      </c>
      <c r="C358" s="175"/>
      <c r="D358" s="174" t="s">
        <v>478</v>
      </c>
      <c r="E358" s="174" t="s">
        <v>1013</v>
      </c>
      <c r="F358" s="176">
        <v>43164</v>
      </c>
      <c r="G358" s="176">
        <v>43165</v>
      </c>
      <c r="H358" s="174" t="s">
        <v>1508</v>
      </c>
      <c r="I358" s="175" t="e">
        <f>VLOOKUP($H358,Mapping!$A:$A,1,0)</f>
        <v>#N/A</v>
      </c>
      <c r="J358" s="177" t="s">
        <v>466</v>
      </c>
      <c r="K358" s="174" t="s">
        <v>543</v>
      </c>
      <c r="L358" s="178">
        <v>3900000</v>
      </c>
      <c r="M358" s="178">
        <v>92.125</v>
      </c>
      <c r="N358" s="178">
        <v>3.1606589886999998</v>
      </c>
      <c r="O358" s="178">
        <v>3625761.0497237602</v>
      </c>
      <c r="P358" s="174" t="s">
        <v>337</v>
      </c>
      <c r="Q358" s="174" t="s">
        <v>544</v>
      </c>
      <c r="R358" s="174" t="s">
        <v>22</v>
      </c>
      <c r="S358" s="174" t="s">
        <v>129</v>
      </c>
      <c r="T358" s="175" t="str">
        <f>VLOOKUP($S358,Mapping!$C:$C,1,0)</f>
        <v>Omgeo</v>
      </c>
      <c r="U358" s="174" t="s">
        <v>1536</v>
      </c>
      <c r="V358" s="174" t="s">
        <v>132</v>
      </c>
      <c r="W358" s="175"/>
      <c r="X358" s="175"/>
      <c r="Y358" s="174" t="s">
        <v>469</v>
      </c>
      <c r="Z358" s="174" t="s">
        <v>1017</v>
      </c>
      <c r="AA358" s="174" t="s">
        <v>22</v>
      </c>
      <c r="AB358" s="174"/>
      <c r="AC358" s="175"/>
      <c r="AD358" s="174" t="s">
        <v>927</v>
      </c>
      <c r="AE358" s="176">
        <v>43164.649687500001</v>
      </c>
      <c r="AF358" s="174" t="s">
        <v>1536</v>
      </c>
      <c r="AG358" s="176">
        <v>43164.646817129629</v>
      </c>
      <c r="AH358" s="176">
        <v>43164.646817129629</v>
      </c>
      <c r="AI358" s="175"/>
      <c r="AJ358" s="175"/>
      <c r="AK358" s="178">
        <v>1</v>
      </c>
    </row>
    <row r="359" spans="1:37" ht="15.95" customHeight="1" x14ac:dyDescent="0.25">
      <c r="A359" s="174" t="s">
        <v>651</v>
      </c>
      <c r="B359" s="174" t="s">
        <v>1537</v>
      </c>
      <c r="C359" s="175"/>
      <c r="D359" s="174" t="s">
        <v>653</v>
      </c>
      <c r="E359" s="174" t="s">
        <v>666</v>
      </c>
      <c r="F359" s="176">
        <v>43164</v>
      </c>
      <c r="G359" s="176">
        <v>43172</v>
      </c>
      <c r="H359" s="174" t="s">
        <v>1508</v>
      </c>
      <c r="I359" s="175" t="e">
        <f>VLOOKUP($H359,Mapping!$A:$A,1,0)</f>
        <v>#N/A</v>
      </c>
      <c r="J359" s="177" t="s">
        <v>466</v>
      </c>
      <c r="K359" s="174" t="s">
        <v>825</v>
      </c>
      <c r="L359" s="178">
        <v>34000000</v>
      </c>
      <c r="M359" s="178">
        <v>99.78125</v>
      </c>
      <c r="N359" s="178">
        <v>3.4990495520999998</v>
      </c>
      <c r="O359" s="178">
        <v>33925625</v>
      </c>
      <c r="P359" s="174" t="s">
        <v>337</v>
      </c>
      <c r="Q359" s="174" t="s">
        <v>826</v>
      </c>
      <c r="R359" s="174" t="s">
        <v>22</v>
      </c>
      <c r="S359" s="174" t="s">
        <v>129</v>
      </c>
      <c r="T359" s="175" t="str">
        <f>VLOOKUP($S359,Mapping!$C:$C,1,0)</f>
        <v>Omgeo</v>
      </c>
      <c r="U359" s="174" t="s">
        <v>1538</v>
      </c>
      <c r="V359" s="174" t="s">
        <v>132</v>
      </c>
      <c r="W359" s="175"/>
      <c r="X359" s="175"/>
      <c r="Y359" s="174" t="s">
        <v>651</v>
      </c>
      <c r="Z359" s="174" t="s">
        <v>670</v>
      </c>
      <c r="AA359" s="174" t="s">
        <v>22</v>
      </c>
      <c r="AB359" s="174"/>
      <c r="AC359" s="175"/>
      <c r="AD359" s="174"/>
      <c r="AE359" s="176">
        <v>43164.463402777779</v>
      </c>
      <c r="AF359" s="174" t="s">
        <v>1538</v>
      </c>
      <c r="AG359" s="176">
        <v>43164.462881944448</v>
      </c>
      <c r="AH359" s="176">
        <v>43164.629780092589</v>
      </c>
      <c r="AI359" s="175"/>
      <c r="AJ359" s="175"/>
      <c r="AK359" s="178">
        <v>1</v>
      </c>
    </row>
    <row r="360" spans="1:37" ht="15.95" customHeight="1" x14ac:dyDescent="0.25">
      <c r="A360" s="174" t="s">
        <v>651</v>
      </c>
      <c r="B360" s="174" t="s">
        <v>1539</v>
      </c>
      <c r="C360" s="175"/>
      <c r="D360" s="174" t="s">
        <v>653</v>
      </c>
      <c r="E360" s="174" t="s">
        <v>666</v>
      </c>
      <c r="F360" s="176">
        <v>43164</v>
      </c>
      <c r="G360" s="176">
        <v>43202</v>
      </c>
      <c r="H360" s="174" t="s">
        <v>1508</v>
      </c>
      <c r="I360" s="175" t="e">
        <f>VLOOKUP($H360,Mapping!$A:$A,1,0)</f>
        <v>#N/A</v>
      </c>
      <c r="J360" s="179" t="s">
        <v>486</v>
      </c>
      <c r="K360" s="174" t="s">
        <v>1540</v>
      </c>
      <c r="L360" s="178">
        <v>34000000</v>
      </c>
      <c r="M360" s="178">
        <v>99.64453125</v>
      </c>
      <c r="N360" s="178">
        <v>3.5066074230000002</v>
      </c>
      <c r="O360" s="178">
        <v>-33879140.625</v>
      </c>
      <c r="P360" s="174" t="s">
        <v>337</v>
      </c>
      <c r="Q360" s="174" t="s">
        <v>1541</v>
      </c>
      <c r="R360" s="174" t="s">
        <v>22</v>
      </c>
      <c r="S360" s="174" t="s">
        <v>129</v>
      </c>
      <c r="T360" s="175" t="str">
        <f>VLOOKUP($S360,Mapping!$C:$C,1,0)</f>
        <v>Omgeo</v>
      </c>
      <c r="U360" s="174" t="s">
        <v>1542</v>
      </c>
      <c r="V360" s="174" t="s">
        <v>132</v>
      </c>
      <c r="W360" s="175"/>
      <c r="X360" s="175"/>
      <c r="Y360" s="174" t="s">
        <v>651</v>
      </c>
      <c r="Z360" s="174" t="s">
        <v>670</v>
      </c>
      <c r="AA360" s="174" t="s">
        <v>22</v>
      </c>
      <c r="AB360" s="174"/>
      <c r="AC360" s="175"/>
      <c r="AD360" s="174"/>
      <c r="AE360" s="176">
        <v>43164.463402777779</v>
      </c>
      <c r="AF360" s="174" t="s">
        <v>1542</v>
      </c>
      <c r="AG360" s="176">
        <v>43164.462881944448</v>
      </c>
      <c r="AH360" s="176">
        <v>43164.629780092589</v>
      </c>
      <c r="AI360" s="175"/>
      <c r="AJ360" s="175"/>
      <c r="AK360" s="178">
        <v>1</v>
      </c>
    </row>
    <row r="361" spans="1:37" ht="15.95" customHeight="1" x14ac:dyDescent="0.25">
      <c r="A361" s="174" t="s">
        <v>651</v>
      </c>
      <c r="B361" s="174" t="s">
        <v>1543</v>
      </c>
      <c r="C361" s="175"/>
      <c r="D361" s="174" t="s">
        <v>653</v>
      </c>
      <c r="E361" s="174" t="s">
        <v>666</v>
      </c>
      <c r="F361" s="176">
        <v>43164</v>
      </c>
      <c r="G361" s="176">
        <v>43202</v>
      </c>
      <c r="H361" s="174" t="s">
        <v>1508</v>
      </c>
      <c r="I361" s="175" t="e">
        <f>VLOOKUP($H361,Mapping!$A:$A,1,0)</f>
        <v>#N/A</v>
      </c>
      <c r="J361" s="179" t="s">
        <v>486</v>
      </c>
      <c r="K361" s="174" t="s">
        <v>1544</v>
      </c>
      <c r="L361" s="178">
        <v>32000000</v>
      </c>
      <c r="M361" s="178">
        <v>102.21484375</v>
      </c>
      <c r="N361" s="178">
        <v>3.8602583652</v>
      </c>
      <c r="O361" s="178">
        <v>-32708750</v>
      </c>
      <c r="P361" s="174" t="s">
        <v>337</v>
      </c>
      <c r="Q361" s="174" t="s">
        <v>1545</v>
      </c>
      <c r="R361" s="174" t="s">
        <v>22</v>
      </c>
      <c r="S361" s="174" t="s">
        <v>129</v>
      </c>
      <c r="T361" s="175" t="str">
        <f>VLOOKUP($S361,Mapping!$C:$C,1,0)</f>
        <v>Omgeo</v>
      </c>
      <c r="U361" s="174" t="s">
        <v>1546</v>
      </c>
      <c r="V361" s="174" t="s">
        <v>132</v>
      </c>
      <c r="W361" s="175"/>
      <c r="X361" s="175"/>
      <c r="Y361" s="174" t="s">
        <v>651</v>
      </c>
      <c r="Z361" s="174" t="s">
        <v>670</v>
      </c>
      <c r="AA361" s="174" t="s">
        <v>22</v>
      </c>
      <c r="AB361" s="174"/>
      <c r="AC361" s="175"/>
      <c r="AD361" s="174"/>
      <c r="AE361" s="176">
        <v>43164.469942129632</v>
      </c>
      <c r="AF361" s="174" t="s">
        <v>1546</v>
      </c>
      <c r="AG361" s="176">
        <v>43164.46371527778</v>
      </c>
      <c r="AH361" s="176">
        <v>43164.629780092589</v>
      </c>
      <c r="AI361" s="175"/>
      <c r="AJ361" s="175"/>
      <c r="AK361" s="178">
        <v>1</v>
      </c>
    </row>
    <row r="362" spans="1:37" ht="15.95" customHeight="1" x14ac:dyDescent="0.25">
      <c r="A362" s="174" t="s">
        <v>651</v>
      </c>
      <c r="B362" s="174" t="s">
        <v>1547</v>
      </c>
      <c r="C362" s="175"/>
      <c r="D362" s="174" t="s">
        <v>653</v>
      </c>
      <c r="E362" s="174" t="s">
        <v>666</v>
      </c>
      <c r="F362" s="176">
        <v>43164</v>
      </c>
      <c r="G362" s="176">
        <v>43172</v>
      </c>
      <c r="H362" s="174" t="s">
        <v>1508</v>
      </c>
      <c r="I362" s="175" t="e">
        <f>VLOOKUP($H362,Mapping!$A:$A,1,0)</f>
        <v>#N/A</v>
      </c>
      <c r="J362" s="177" t="s">
        <v>466</v>
      </c>
      <c r="K362" s="174" t="s">
        <v>1066</v>
      </c>
      <c r="L362" s="178">
        <v>32000000</v>
      </c>
      <c r="M362" s="178">
        <v>102.375</v>
      </c>
      <c r="N362" s="178">
        <v>3.8511872904</v>
      </c>
      <c r="O362" s="178">
        <v>32760000</v>
      </c>
      <c r="P362" s="174" t="s">
        <v>337</v>
      </c>
      <c r="Q362" s="174" t="s">
        <v>1067</v>
      </c>
      <c r="R362" s="174" t="s">
        <v>22</v>
      </c>
      <c r="S362" s="174" t="s">
        <v>129</v>
      </c>
      <c r="T362" s="175" t="str">
        <f>VLOOKUP($S362,Mapping!$C:$C,1,0)</f>
        <v>Omgeo</v>
      </c>
      <c r="U362" s="174" t="s">
        <v>1548</v>
      </c>
      <c r="V362" s="174" t="s">
        <v>132</v>
      </c>
      <c r="W362" s="175"/>
      <c r="X362" s="175"/>
      <c r="Y362" s="174" t="s">
        <v>651</v>
      </c>
      <c r="Z362" s="174" t="s">
        <v>670</v>
      </c>
      <c r="AA362" s="174" t="s">
        <v>22</v>
      </c>
      <c r="AB362" s="174"/>
      <c r="AC362" s="175"/>
      <c r="AD362" s="174"/>
      <c r="AE362" s="176">
        <v>43164.469942129632</v>
      </c>
      <c r="AF362" s="174" t="s">
        <v>1548</v>
      </c>
      <c r="AG362" s="176">
        <v>43164.46371527778</v>
      </c>
      <c r="AH362" s="176">
        <v>43164.629780092589</v>
      </c>
      <c r="AI362" s="175"/>
      <c r="AJ362" s="175"/>
      <c r="AK362" s="178">
        <v>1</v>
      </c>
    </row>
    <row r="363" spans="1:37" ht="15.95" customHeight="1" x14ac:dyDescent="0.25">
      <c r="A363" s="174" t="s">
        <v>651</v>
      </c>
      <c r="B363" s="174" t="s">
        <v>1549</v>
      </c>
      <c r="C363" s="175"/>
      <c r="D363" s="174" t="s">
        <v>653</v>
      </c>
      <c r="E363" s="174" t="s">
        <v>1550</v>
      </c>
      <c r="F363" s="176">
        <v>43164</v>
      </c>
      <c r="G363" s="176">
        <v>43172</v>
      </c>
      <c r="H363" s="174" t="s">
        <v>1508</v>
      </c>
      <c r="I363" s="175" t="e">
        <f>VLOOKUP($H363,Mapping!$A:$A,1,0)</f>
        <v>#N/A</v>
      </c>
      <c r="J363" s="177" t="s">
        <v>466</v>
      </c>
      <c r="K363" s="174" t="s">
        <v>825</v>
      </c>
      <c r="L363" s="178">
        <v>80000000</v>
      </c>
      <c r="M363" s="178">
        <v>99.625</v>
      </c>
      <c r="N363" s="178">
        <v>3.5074769336</v>
      </c>
      <c r="O363" s="178">
        <v>79700000</v>
      </c>
      <c r="P363" s="174" t="s">
        <v>337</v>
      </c>
      <c r="Q363" s="174" t="s">
        <v>826</v>
      </c>
      <c r="R363" s="174" t="s">
        <v>22</v>
      </c>
      <c r="S363" s="174" t="s">
        <v>129</v>
      </c>
      <c r="T363" s="175" t="str">
        <f>VLOOKUP($S363,Mapping!$C:$C,1,0)</f>
        <v>Omgeo</v>
      </c>
      <c r="U363" s="174" t="s">
        <v>1551</v>
      </c>
      <c r="V363" s="174" t="s">
        <v>132</v>
      </c>
      <c r="W363" s="175"/>
      <c r="X363" s="175"/>
      <c r="Y363" s="174" t="s">
        <v>651</v>
      </c>
      <c r="Z363" s="174" t="s">
        <v>1552</v>
      </c>
      <c r="AA363" s="174" t="s">
        <v>22</v>
      </c>
      <c r="AB363" s="174"/>
      <c r="AC363" s="175"/>
      <c r="AD363" s="174"/>
      <c r="AE363" s="176">
        <v>43164.632523148146</v>
      </c>
      <c r="AF363" s="174" t="s">
        <v>1551</v>
      </c>
      <c r="AG363" s="176">
        <v>43164.62940972222</v>
      </c>
      <c r="AH363" s="176">
        <v>43164.668020833335</v>
      </c>
      <c r="AI363" s="175"/>
      <c r="AJ363" s="175"/>
      <c r="AK363" s="178">
        <v>1</v>
      </c>
    </row>
    <row r="364" spans="1:37" ht="15.95" customHeight="1" x14ac:dyDescent="0.25">
      <c r="A364" s="174" t="s">
        <v>651</v>
      </c>
      <c r="B364" s="174" t="s">
        <v>1553</v>
      </c>
      <c r="C364" s="175"/>
      <c r="D364" s="174" t="s">
        <v>653</v>
      </c>
      <c r="E364" s="174" t="s">
        <v>1550</v>
      </c>
      <c r="F364" s="176">
        <v>43164</v>
      </c>
      <c r="G364" s="176">
        <v>43172</v>
      </c>
      <c r="H364" s="174" t="s">
        <v>1508</v>
      </c>
      <c r="I364" s="175" t="e">
        <f>VLOOKUP($H364,Mapping!$A:$A,1,0)</f>
        <v>#N/A</v>
      </c>
      <c r="J364" s="179" t="s">
        <v>486</v>
      </c>
      <c r="K364" s="174" t="s">
        <v>1554</v>
      </c>
      <c r="L364" s="178">
        <v>99992622</v>
      </c>
      <c r="M364" s="178">
        <v>99.875</v>
      </c>
      <c r="N364" s="178">
        <v>3.5070268274999998</v>
      </c>
      <c r="O364" s="178">
        <v>-80657753.096301302</v>
      </c>
      <c r="P364" s="174" t="s">
        <v>337</v>
      </c>
      <c r="Q364" s="174" t="s">
        <v>1555</v>
      </c>
      <c r="R364" s="174" t="s">
        <v>24</v>
      </c>
      <c r="S364" s="174" t="s">
        <v>129</v>
      </c>
      <c r="T364" s="175" t="str">
        <f>VLOOKUP($S364,Mapping!$C:$C,1,0)</f>
        <v>Omgeo</v>
      </c>
      <c r="U364" s="175"/>
      <c r="V364" s="175"/>
      <c r="W364" s="175"/>
      <c r="X364" s="175"/>
      <c r="Y364" s="174" t="s">
        <v>651</v>
      </c>
      <c r="Z364" s="174" t="s">
        <v>1552</v>
      </c>
      <c r="AA364" s="174" t="s">
        <v>24</v>
      </c>
      <c r="AB364" s="174"/>
      <c r="AC364" s="175"/>
      <c r="AD364" s="174"/>
      <c r="AE364" s="176">
        <v>43164.639039351852</v>
      </c>
      <c r="AF364" s="175"/>
      <c r="AG364" s="176">
        <v>43164.634930555556</v>
      </c>
      <c r="AH364" s="176">
        <v>43164.639236111114</v>
      </c>
      <c r="AI364" s="175"/>
      <c r="AJ364" s="175"/>
      <c r="AK364" s="178">
        <v>0.80670427</v>
      </c>
    </row>
    <row r="365" spans="1:37" ht="15.95" customHeight="1" x14ac:dyDescent="0.25">
      <c r="A365" s="174" t="s">
        <v>461</v>
      </c>
      <c r="B365" s="174" t="s">
        <v>1556</v>
      </c>
      <c r="C365" s="175"/>
      <c r="D365" s="174" t="s">
        <v>463</v>
      </c>
      <c r="E365" s="174" t="s">
        <v>806</v>
      </c>
      <c r="F365" s="176">
        <v>43164</v>
      </c>
      <c r="G365" s="176">
        <v>43164</v>
      </c>
      <c r="H365" s="174" t="s">
        <v>29</v>
      </c>
      <c r="I365" s="175" t="str">
        <f>VLOOKUP($H365,Mapping!$A:$A,1,0)</f>
        <v>NO BROKER SEND</v>
      </c>
      <c r="J365" s="179" t="s">
        <v>486</v>
      </c>
      <c r="K365" s="174" t="s">
        <v>1557</v>
      </c>
      <c r="L365" s="178">
        <v>50000000</v>
      </c>
      <c r="M365" s="178">
        <v>95.648437999999999</v>
      </c>
      <c r="N365" s="178">
        <v>2.5031615761000001</v>
      </c>
      <c r="O365" s="178">
        <v>-48040033.917127065</v>
      </c>
      <c r="P365" s="174" t="s">
        <v>337</v>
      </c>
      <c r="Q365" s="174" t="s">
        <v>1558</v>
      </c>
      <c r="R365" s="174" t="s">
        <v>22</v>
      </c>
      <c r="S365" s="174" t="s">
        <v>130</v>
      </c>
      <c r="T365" s="175" t="str">
        <f>VLOOKUP($S365,Mapping!$C:$C,1,0)</f>
        <v>Manual</v>
      </c>
      <c r="U365" s="175"/>
      <c r="V365" s="175"/>
      <c r="W365" s="175"/>
      <c r="X365" s="175"/>
      <c r="Y365" s="174" t="s">
        <v>469</v>
      </c>
      <c r="Z365" s="174" t="s">
        <v>809</v>
      </c>
      <c r="AA365" s="174" t="s">
        <v>22</v>
      </c>
      <c r="AB365" s="174"/>
      <c r="AC365" s="175"/>
      <c r="AD365" s="174" t="s">
        <v>1559</v>
      </c>
      <c r="AE365" s="175"/>
      <c r="AF365" s="175"/>
      <c r="AG365" s="176">
        <v>43164.315486111111</v>
      </c>
      <c r="AH365" s="176">
        <v>43164.315555555557</v>
      </c>
      <c r="AI365" s="175"/>
      <c r="AJ365" s="175"/>
      <c r="AK365" s="178">
        <v>1</v>
      </c>
    </row>
    <row r="366" spans="1:37" ht="15.95" customHeight="1" x14ac:dyDescent="0.25">
      <c r="A366" s="174" t="s">
        <v>461</v>
      </c>
      <c r="B366" s="174" t="s">
        <v>1560</v>
      </c>
      <c r="C366" s="175"/>
      <c r="D366" s="174" t="s">
        <v>463</v>
      </c>
      <c r="E366" s="174" t="s">
        <v>806</v>
      </c>
      <c r="F366" s="176">
        <v>43164</v>
      </c>
      <c r="G366" s="176">
        <v>43164</v>
      </c>
      <c r="H366" s="174" t="s">
        <v>29</v>
      </c>
      <c r="I366" s="175" t="str">
        <f>VLOOKUP($H366,Mapping!$A:$A,1,0)</f>
        <v>NO BROKER SEND</v>
      </c>
      <c r="J366" s="177" t="s">
        <v>466</v>
      </c>
      <c r="K366" s="174" t="s">
        <v>1557</v>
      </c>
      <c r="L366" s="178">
        <v>10000000</v>
      </c>
      <c r="M366" s="178">
        <v>95.648437999999999</v>
      </c>
      <c r="N366" s="178">
        <v>2.5031615761000001</v>
      </c>
      <c r="O366" s="178">
        <v>9608006.7834254093</v>
      </c>
      <c r="P366" s="174" t="s">
        <v>337</v>
      </c>
      <c r="Q366" s="174" t="s">
        <v>1558</v>
      </c>
      <c r="R366" s="174" t="s">
        <v>22</v>
      </c>
      <c r="S366" s="174" t="s">
        <v>130</v>
      </c>
      <c r="T366" s="175" t="str">
        <f>VLOOKUP($S366,Mapping!$C:$C,1,0)</f>
        <v>Manual</v>
      </c>
      <c r="U366" s="175"/>
      <c r="V366" s="175"/>
      <c r="W366" s="175"/>
      <c r="X366" s="175"/>
      <c r="Y366" s="174" t="s">
        <v>469</v>
      </c>
      <c r="Z366" s="174" t="s">
        <v>809</v>
      </c>
      <c r="AA366" s="174" t="s">
        <v>22</v>
      </c>
      <c r="AB366" s="174"/>
      <c r="AC366" s="175"/>
      <c r="AD366" s="174" t="s">
        <v>1559</v>
      </c>
      <c r="AE366" s="175"/>
      <c r="AF366" s="175"/>
      <c r="AG366" s="176">
        <v>43164.315474537034</v>
      </c>
      <c r="AH366" s="176">
        <v>43164.315578703703</v>
      </c>
      <c r="AI366" s="175"/>
      <c r="AJ366" s="175"/>
      <c r="AK366" s="178">
        <v>1</v>
      </c>
    </row>
    <row r="367" spans="1:37" ht="15.95" customHeight="1" x14ac:dyDescent="0.25">
      <c r="A367" s="174" t="s">
        <v>461</v>
      </c>
      <c r="B367" s="174" t="s">
        <v>1561</v>
      </c>
      <c r="C367" s="175"/>
      <c r="D367" s="174" t="s">
        <v>463</v>
      </c>
      <c r="E367" s="174" t="s">
        <v>806</v>
      </c>
      <c r="F367" s="176">
        <v>43164</v>
      </c>
      <c r="G367" s="176">
        <v>43164</v>
      </c>
      <c r="H367" s="174" t="s">
        <v>29</v>
      </c>
      <c r="I367" s="175" t="str">
        <f>VLOOKUP($H367,Mapping!$A:$A,1,0)</f>
        <v>NO BROKER SEND</v>
      </c>
      <c r="J367" s="177" t="s">
        <v>466</v>
      </c>
      <c r="K367" s="174" t="s">
        <v>1557</v>
      </c>
      <c r="L367" s="178">
        <v>50000000</v>
      </c>
      <c r="M367" s="178">
        <v>95.648437999999999</v>
      </c>
      <c r="N367" s="178">
        <v>2.5031615761000001</v>
      </c>
      <c r="O367" s="178">
        <v>48040033.917127065</v>
      </c>
      <c r="P367" s="174" t="s">
        <v>337</v>
      </c>
      <c r="Q367" s="174" t="s">
        <v>1558</v>
      </c>
      <c r="R367" s="174" t="s">
        <v>22</v>
      </c>
      <c r="S367" s="174" t="s">
        <v>130</v>
      </c>
      <c r="T367" s="175" t="str">
        <f>VLOOKUP($S367,Mapping!$C:$C,1,0)</f>
        <v>Manual</v>
      </c>
      <c r="U367" s="175"/>
      <c r="V367" s="175"/>
      <c r="W367" s="175"/>
      <c r="X367" s="175"/>
      <c r="Y367" s="174" t="s">
        <v>469</v>
      </c>
      <c r="Z367" s="174" t="s">
        <v>809</v>
      </c>
      <c r="AA367" s="174" t="s">
        <v>22</v>
      </c>
      <c r="AB367" s="174"/>
      <c r="AC367" s="175"/>
      <c r="AD367" s="174" t="s">
        <v>1559</v>
      </c>
      <c r="AE367" s="175"/>
      <c r="AF367" s="175"/>
      <c r="AG367" s="176">
        <v>43164.315474537034</v>
      </c>
      <c r="AH367" s="176">
        <v>43164.31559027778</v>
      </c>
      <c r="AI367" s="175"/>
      <c r="AJ367" s="175"/>
      <c r="AK367" s="178">
        <v>1</v>
      </c>
    </row>
    <row r="368" spans="1:37" ht="15.95" customHeight="1" x14ac:dyDescent="0.25">
      <c r="A368" s="174" t="s">
        <v>461</v>
      </c>
      <c r="B368" s="174" t="s">
        <v>1562</v>
      </c>
      <c r="C368" s="175"/>
      <c r="D368" s="174" t="s">
        <v>463</v>
      </c>
      <c r="E368" s="174" t="s">
        <v>806</v>
      </c>
      <c r="F368" s="176">
        <v>43164</v>
      </c>
      <c r="G368" s="176">
        <v>43164</v>
      </c>
      <c r="H368" s="174" t="s">
        <v>29</v>
      </c>
      <c r="I368" s="175" t="str">
        <f>VLOOKUP($H368,Mapping!$A:$A,1,0)</f>
        <v>NO BROKER SEND</v>
      </c>
      <c r="J368" s="179" t="s">
        <v>486</v>
      </c>
      <c r="K368" s="174" t="s">
        <v>1557</v>
      </c>
      <c r="L368" s="178">
        <v>10000000</v>
      </c>
      <c r="M368" s="178">
        <v>95.648437999999999</v>
      </c>
      <c r="N368" s="178">
        <v>2.5031615761000001</v>
      </c>
      <c r="O368" s="178">
        <v>-9608006.7834254093</v>
      </c>
      <c r="P368" s="174" t="s">
        <v>337</v>
      </c>
      <c r="Q368" s="174" t="s">
        <v>1558</v>
      </c>
      <c r="R368" s="174" t="s">
        <v>22</v>
      </c>
      <c r="S368" s="174" t="s">
        <v>130</v>
      </c>
      <c r="T368" s="175" t="str">
        <f>VLOOKUP($S368,Mapping!$C:$C,1,0)</f>
        <v>Manual</v>
      </c>
      <c r="U368" s="175"/>
      <c r="V368" s="175"/>
      <c r="W368" s="175"/>
      <c r="X368" s="175"/>
      <c r="Y368" s="174" t="s">
        <v>469</v>
      </c>
      <c r="Z368" s="174" t="s">
        <v>809</v>
      </c>
      <c r="AA368" s="174" t="s">
        <v>22</v>
      </c>
      <c r="AB368" s="174"/>
      <c r="AC368" s="175"/>
      <c r="AD368" s="174" t="s">
        <v>1559</v>
      </c>
      <c r="AE368" s="175"/>
      <c r="AF368" s="175"/>
      <c r="AG368" s="176">
        <v>43164.315474537034</v>
      </c>
      <c r="AH368" s="176">
        <v>43164.315636574072</v>
      </c>
      <c r="AI368" s="175"/>
      <c r="AJ368" s="175"/>
      <c r="AK368" s="178">
        <v>1</v>
      </c>
    </row>
    <row r="369" spans="1:37" ht="15.95" customHeight="1" x14ac:dyDescent="0.25">
      <c r="A369" s="174" t="s">
        <v>461</v>
      </c>
      <c r="B369" s="174" t="s">
        <v>1563</v>
      </c>
      <c r="C369" s="175"/>
      <c r="D369" s="174" t="s">
        <v>463</v>
      </c>
      <c r="E369" s="174" t="s">
        <v>806</v>
      </c>
      <c r="F369" s="176">
        <v>43164</v>
      </c>
      <c r="G369" s="176">
        <v>43164</v>
      </c>
      <c r="H369" s="174" t="s">
        <v>29</v>
      </c>
      <c r="I369" s="175" t="str">
        <f>VLOOKUP($H369,Mapping!$A:$A,1,0)</f>
        <v>NO BROKER SEND</v>
      </c>
      <c r="J369" s="179" t="s">
        <v>486</v>
      </c>
      <c r="K369" s="174" t="s">
        <v>1564</v>
      </c>
      <c r="L369" s="178">
        <v>50000000</v>
      </c>
      <c r="M369" s="178">
        <v>97.472656000000001</v>
      </c>
      <c r="N369" s="178">
        <v>2.5456839874999999</v>
      </c>
      <c r="O369" s="178">
        <v>-48749065.771739125</v>
      </c>
      <c r="P369" s="174" t="s">
        <v>337</v>
      </c>
      <c r="Q369" s="174" t="s">
        <v>1565</v>
      </c>
      <c r="R369" s="174" t="s">
        <v>22</v>
      </c>
      <c r="S369" s="174" t="s">
        <v>130</v>
      </c>
      <c r="T369" s="175" t="str">
        <f>VLOOKUP($S369,Mapping!$C:$C,1,0)</f>
        <v>Manual</v>
      </c>
      <c r="U369" s="175"/>
      <c r="V369" s="175"/>
      <c r="W369" s="175"/>
      <c r="X369" s="175"/>
      <c r="Y369" s="174" t="s">
        <v>469</v>
      </c>
      <c r="Z369" s="174" t="s">
        <v>809</v>
      </c>
      <c r="AA369" s="174" t="s">
        <v>22</v>
      </c>
      <c r="AB369" s="174"/>
      <c r="AC369" s="175"/>
      <c r="AD369" s="174" t="s">
        <v>1559</v>
      </c>
      <c r="AE369" s="175"/>
      <c r="AF369" s="175"/>
      <c r="AG369" s="176">
        <v>43164.315671296295</v>
      </c>
      <c r="AH369" s="176">
        <v>43164.315763888888</v>
      </c>
      <c r="AI369" s="175"/>
      <c r="AJ369" s="175"/>
      <c r="AK369" s="178">
        <v>1</v>
      </c>
    </row>
    <row r="370" spans="1:37" ht="15.95" customHeight="1" x14ac:dyDescent="0.25">
      <c r="A370" s="174" t="s">
        <v>461</v>
      </c>
      <c r="B370" s="174" t="s">
        <v>1566</v>
      </c>
      <c r="C370" s="175"/>
      <c r="D370" s="174" t="s">
        <v>463</v>
      </c>
      <c r="E370" s="174" t="s">
        <v>806</v>
      </c>
      <c r="F370" s="176">
        <v>43164</v>
      </c>
      <c r="G370" s="176">
        <v>43164</v>
      </c>
      <c r="H370" s="174" t="s">
        <v>29</v>
      </c>
      <c r="I370" s="175" t="str">
        <f>VLOOKUP($H370,Mapping!$A:$A,1,0)</f>
        <v>NO BROKER SEND</v>
      </c>
      <c r="J370" s="177" t="s">
        <v>466</v>
      </c>
      <c r="K370" s="174" t="s">
        <v>1564</v>
      </c>
      <c r="L370" s="178">
        <v>50000000</v>
      </c>
      <c r="M370" s="178">
        <v>97.472656000000001</v>
      </c>
      <c r="N370" s="178">
        <v>2.5456839874999999</v>
      </c>
      <c r="O370" s="178">
        <v>48749065.771739125</v>
      </c>
      <c r="P370" s="174" t="s">
        <v>337</v>
      </c>
      <c r="Q370" s="174" t="s">
        <v>1565</v>
      </c>
      <c r="R370" s="174" t="s">
        <v>22</v>
      </c>
      <c r="S370" s="174" t="s">
        <v>130</v>
      </c>
      <c r="T370" s="175" t="str">
        <f>VLOOKUP($S370,Mapping!$C:$C,1,0)</f>
        <v>Manual</v>
      </c>
      <c r="U370" s="175"/>
      <c r="V370" s="175"/>
      <c r="W370" s="175"/>
      <c r="X370" s="175"/>
      <c r="Y370" s="174" t="s">
        <v>469</v>
      </c>
      <c r="Z370" s="174" t="s">
        <v>809</v>
      </c>
      <c r="AA370" s="174" t="s">
        <v>22</v>
      </c>
      <c r="AB370" s="174"/>
      <c r="AC370" s="175"/>
      <c r="AD370" s="174" t="s">
        <v>1559</v>
      </c>
      <c r="AE370" s="175"/>
      <c r="AF370" s="175"/>
      <c r="AG370" s="176">
        <v>43164.315671296295</v>
      </c>
      <c r="AH370" s="176">
        <v>43164.315775462965</v>
      </c>
      <c r="AI370" s="175"/>
      <c r="AJ370" s="175"/>
      <c r="AK370" s="178">
        <v>1</v>
      </c>
    </row>
    <row r="371" spans="1:37" ht="15.95" customHeight="1" x14ac:dyDescent="0.25">
      <c r="A371" s="174" t="s">
        <v>461</v>
      </c>
      <c r="B371" s="174" t="s">
        <v>1567</v>
      </c>
      <c r="C371" s="175"/>
      <c r="D371" s="174" t="s">
        <v>463</v>
      </c>
      <c r="E371" s="174" t="s">
        <v>806</v>
      </c>
      <c r="F371" s="176">
        <v>43164</v>
      </c>
      <c r="G371" s="176">
        <v>43164</v>
      </c>
      <c r="H371" s="174" t="s">
        <v>29</v>
      </c>
      <c r="I371" s="175" t="str">
        <f>VLOOKUP($H371,Mapping!$A:$A,1,0)</f>
        <v>NO BROKER SEND</v>
      </c>
      <c r="J371" s="177" t="s">
        <v>466</v>
      </c>
      <c r="K371" s="174" t="s">
        <v>467</v>
      </c>
      <c r="L371" s="178">
        <v>7300000</v>
      </c>
      <c r="M371" s="178">
        <v>100.011719</v>
      </c>
      <c r="N371" s="178">
        <v>2.6224289055000001</v>
      </c>
      <c r="O371" s="178">
        <v>7303459.0875434801</v>
      </c>
      <c r="P371" s="174" t="s">
        <v>337</v>
      </c>
      <c r="Q371" s="174" t="s">
        <v>468</v>
      </c>
      <c r="R371" s="174" t="s">
        <v>22</v>
      </c>
      <c r="S371" s="174" t="s">
        <v>130</v>
      </c>
      <c r="T371" s="175" t="str">
        <f>VLOOKUP($S371,Mapping!$C:$C,1,0)</f>
        <v>Manual</v>
      </c>
      <c r="U371" s="175"/>
      <c r="V371" s="175"/>
      <c r="W371" s="175"/>
      <c r="X371" s="175"/>
      <c r="Y371" s="174" t="s">
        <v>469</v>
      </c>
      <c r="Z371" s="174" t="s">
        <v>809</v>
      </c>
      <c r="AA371" s="174" t="s">
        <v>22</v>
      </c>
      <c r="AB371" s="174"/>
      <c r="AC371" s="175"/>
      <c r="AD371" s="174" t="s">
        <v>1559</v>
      </c>
      <c r="AE371" s="175"/>
      <c r="AF371" s="175"/>
      <c r="AG371" s="176">
        <v>43164.316053240742</v>
      </c>
      <c r="AH371" s="176">
        <v>43164.316111111111</v>
      </c>
      <c r="AI371" s="175"/>
      <c r="AJ371" s="175"/>
      <c r="AK371" s="178">
        <v>1</v>
      </c>
    </row>
    <row r="372" spans="1:37" ht="15.95" customHeight="1" x14ac:dyDescent="0.25">
      <c r="A372" s="174" t="s">
        <v>461</v>
      </c>
      <c r="B372" s="174" t="s">
        <v>1568</v>
      </c>
      <c r="C372" s="175"/>
      <c r="D372" s="174" t="s">
        <v>463</v>
      </c>
      <c r="E372" s="174" t="s">
        <v>806</v>
      </c>
      <c r="F372" s="176">
        <v>43164</v>
      </c>
      <c r="G372" s="176">
        <v>43164</v>
      </c>
      <c r="H372" s="174" t="s">
        <v>29</v>
      </c>
      <c r="I372" s="175" t="str">
        <f>VLOOKUP($H372,Mapping!$A:$A,1,0)</f>
        <v>NO BROKER SEND</v>
      </c>
      <c r="J372" s="177" t="s">
        <v>466</v>
      </c>
      <c r="K372" s="174" t="s">
        <v>467</v>
      </c>
      <c r="L372" s="178">
        <v>40000000</v>
      </c>
      <c r="M372" s="178">
        <v>100.011719</v>
      </c>
      <c r="N372" s="178">
        <v>2.6224289055000001</v>
      </c>
      <c r="O372" s="178">
        <v>40018953.90434783</v>
      </c>
      <c r="P372" s="174" t="s">
        <v>337</v>
      </c>
      <c r="Q372" s="174" t="s">
        <v>468</v>
      </c>
      <c r="R372" s="174" t="s">
        <v>22</v>
      </c>
      <c r="S372" s="174" t="s">
        <v>130</v>
      </c>
      <c r="T372" s="175" t="str">
        <f>VLOOKUP($S372,Mapping!$C:$C,1,0)</f>
        <v>Manual</v>
      </c>
      <c r="U372" s="175"/>
      <c r="V372" s="175"/>
      <c r="W372" s="175"/>
      <c r="X372" s="175"/>
      <c r="Y372" s="174" t="s">
        <v>469</v>
      </c>
      <c r="Z372" s="174" t="s">
        <v>809</v>
      </c>
      <c r="AA372" s="174" t="s">
        <v>22</v>
      </c>
      <c r="AB372" s="174"/>
      <c r="AC372" s="175"/>
      <c r="AD372" s="174" t="s">
        <v>1559</v>
      </c>
      <c r="AE372" s="175"/>
      <c r="AF372" s="175"/>
      <c r="AG372" s="176">
        <v>43164.316041666665</v>
      </c>
      <c r="AH372" s="176">
        <v>43164.316134259258</v>
      </c>
      <c r="AI372" s="175"/>
      <c r="AJ372" s="175"/>
      <c r="AK372" s="178">
        <v>1</v>
      </c>
    </row>
    <row r="373" spans="1:37" ht="15.95" customHeight="1" x14ac:dyDescent="0.25">
      <c r="A373" s="174" t="s">
        <v>461</v>
      </c>
      <c r="B373" s="174" t="s">
        <v>1569</v>
      </c>
      <c r="C373" s="175"/>
      <c r="D373" s="174" t="s">
        <v>463</v>
      </c>
      <c r="E373" s="174" t="s">
        <v>806</v>
      </c>
      <c r="F373" s="176">
        <v>43164</v>
      </c>
      <c r="G373" s="176">
        <v>43164</v>
      </c>
      <c r="H373" s="174" t="s">
        <v>29</v>
      </c>
      <c r="I373" s="175" t="str">
        <f>VLOOKUP($H373,Mapping!$A:$A,1,0)</f>
        <v>NO BROKER SEND</v>
      </c>
      <c r="J373" s="179" t="s">
        <v>486</v>
      </c>
      <c r="K373" s="174" t="s">
        <v>467</v>
      </c>
      <c r="L373" s="178">
        <v>7300000</v>
      </c>
      <c r="M373" s="178">
        <v>100.011719</v>
      </c>
      <c r="N373" s="178">
        <v>2.6224289055000001</v>
      </c>
      <c r="O373" s="178">
        <v>-7303459.0875434801</v>
      </c>
      <c r="P373" s="174" t="s">
        <v>337</v>
      </c>
      <c r="Q373" s="174" t="s">
        <v>468</v>
      </c>
      <c r="R373" s="174" t="s">
        <v>22</v>
      </c>
      <c r="S373" s="174" t="s">
        <v>130</v>
      </c>
      <c r="T373" s="175" t="str">
        <f>VLOOKUP($S373,Mapping!$C:$C,1,0)</f>
        <v>Manual</v>
      </c>
      <c r="U373" s="175"/>
      <c r="V373" s="175"/>
      <c r="W373" s="175"/>
      <c r="X373" s="175"/>
      <c r="Y373" s="174" t="s">
        <v>469</v>
      </c>
      <c r="Z373" s="174" t="s">
        <v>809</v>
      </c>
      <c r="AA373" s="174" t="s">
        <v>22</v>
      </c>
      <c r="AB373" s="174"/>
      <c r="AC373" s="175"/>
      <c r="AD373" s="174" t="s">
        <v>1559</v>
      </c>
      <c r="AE373" s="175"/>
      <c r="AF373" s="175"/>
      <c r="AG373" s="176">
        <v>43164.316041666665</v>
      </c>
      <c r="AH373" s="176">
        <v>43164.316145833334</v>
      </c>
      <c r="AI373" s="175"/>
      <c r="AJ373" s="175"/>
      <c r="AK373" s="178">
        <v>1</v>
      </c>
    </row>
    <row r="374" spans="1:37" ht="15.95" customHeight="1" x14ac:dyDescent="0.25">
      <c r="A374" s="174" t="s">
        <v>461</v>
      </c>
      <c r="B374" s="174" t="s">
        <v>1570</v>
      </c>
      <c r="C374" s="175"/>
      <c r="D374" s="174" t="s">
        <v>463</v>
      </c>
      <c r="E374" s="174" t="s">
        <v>806</v>
      </c>
      <c r="F374" s="176">
        <v>43164</v>
      </c>
      <c r="G374" s="176">
        <v>43164</v>
      </c>
      <c r="H374" s="174" t="s">
        <v>29</v>
      </c>
      <c r="I374" s="175" t="str">
        <f>VLOOKUP($H374,Mapping!$A:$A,1,0)</f>
        <v>NO BROKER SEND</v>
      </c>
      <c r="J374" s="179" t="s">
        <v>486</v>
      </c>
      <c r="K374" s="174" t="s">
        <v>467</v>
      </c>
      <c r="L374" s="178">
        <v>40000000</v>
      </c>
      <c r="M374" s="178">
        <v>100.011719</v>
      </c>
      <c r="N374" s="178">
        <v>2.6224289055000001</v>
      </c>
      <c r="O374" s="178">
        <v>-40018953.90434783</v>
      </c>
      <c r="P374" s="174" t="s">
        <v>337</v>
      </c>
      <c r="Q374" s="174" t="s">
        <v>468</v>
      </c>
      <c r="R374" s="174" t="s">
        <v>22</v>
      </c>
      <c r="S374" s="174" t="s">
        <v>130</v>
      </c>
      <c r="T374" s="175" t="str">
        <f>VLOOKUP($S374,Mapping!$C:$C,1,0)</f>
        <v>Manual</v>
      </c>
      <c r="U374" s="175"/>
      <c r="V374" s="175"/>
      <c r="W374" s="175"/>
      <c r="X374" s="175"/>
      <c r="Y374" s="174" t="s">
        <v>469</v>
      </c>
      <c r="Z374" s="174" t="s">
        <v>809</v>
      </c>
      <c r="AA374" s="174" t="s">
        <v>22</v>
      </c>
      <c r="AB374" s="174"/>
      <c r="AC374" s="175"/>
      <c r="AD374" s="174" t="s">
        <v>1559</v>
      </c>
      <c r="AE374" s="175"/>
      <c r="AF374" s="175"/>
      <c r="AG374" s="176">
        <v>43164.316041666665</v>
      </c>
      <c r="AH374" s="176">
        <v>43164.316157407404</v>
      </c>
      <c r="AI374" s="175"/>
      <c r="AJ374" s="175"/>
      <c r="AK374" s="178">
        <v>1</v>
      </c>
    </row>
    <row r="375" spans="1:37" ht="15.95" customHeight="1" x14ac:dyDescent="0.25">
      <c r="A375" s="174" t="s">
        <v>461</v>
      </c>
      <c r="B375" s="174" t="s">
        <v>1571</v>
      </c>
      <c r="C375" s="175"/>
      <c r="D375" s="174" t="s">
        <v>463</v>
      </c>
      <c r="E375" s="174" t="s">
        <v>806</v>
      </c>
      <c r="F375" s="176">
        <v>43164</v>
      </c>
      <c r="G375" s="176">
        <v>43164</v>
      </c>
      <c r="H375" s="174" t="s">
        <v>29</v>
      </c>
      <c r="I375" s="175" t="str">
        <f>VLOOKUP($H375,Mapping!$A:$A,1,0)</f>
        <v>NO BROKER SEND</v>
      </c>
      <c r="J375" s="179" t="s">
        <v>486</v>
      </c>
      <c r="K375" s="174" t="s">
        <v>467</v>
      </c>
      <c r="L375" s="178">
        <v>36450000</v>
      </c>
      <c r="M375" s="178">
        <v>100.011719</v>
      </c>
      <c r="N375" s="178">
        <v>2.6224289055000001</v>
      </c>
      <c r="O375" s="178">
        <v>-36467271.745336957</v>
      </c>
      <c r="P375" s="174" t="s">
        <v>337</v>
      </c>
      <c r="Q375" s="174" t="s">
        <v>468</v>
      </c>
      <c r="R375" s="174" t="s">
        <v>22</v>
      </c>
      <c r="S375" s="174" t="s">
        <v>130</v>
      </c>
      <c r="T375" s="175" t="str">
        <f>VLOOKUP($S375,Mapping!$C:$C,1,0)</f>
        <v>Manual</v>
      </c>
      <c r="U375" s="175"/>
      <c r="V375" s="175"/>
      <c r="W375" s="175"/>
      <c r="X375" s="175"/>
      <c r="Y375" s="174" t="s">
        <v>469</v>
      </c>
      <c r="Z375" s="174" t="s">
        <v>809</v>
      </c>
      <c r="AA375" s="174" t="s">
        <v>22</v>
      </c>
      <c r="AB375" s="174"/>
      <c r="AC375" s="175"/>
      <c r="AD375" s="174" t="s">
        <v>1559</v>
      </c>
      <c r="AE375" s="175"/>
      <c r="AF375" s="175"/>
      <c r="AG375" s="176">
        <v>43164.316041666665</v>
      </c>
      <c r="AH375" s="176">
        <v>43164.316180555557</v>
      </c>
      <c r="AI375" s="175"/>
      <c r="AJ375" s="175"/>
      <c r="AK375" s="178">
        <v>1</v>
      </c>
    </row>
    <row r="376" spans="1:37" ht="15.95" customHeight="1" x14ac:dyDescent="0.25">
      <c r="A376" s="174" t="s">
        <v>461</v>
      </c>
      <c r="B376" s="174" t="s">
        <v>1572</v>
      </c>
      <c r="C376" s="175"/>
      <c r="D376" s="174" t="s">
        <v>463</v>
      </c>
      <c r="E376" s="174" t="s">
        <v>806</v>
      </c>
      <c r="F376" s="176">
        <v>43164</v>
      </c>
      <c r="G376" s="176">
        <v>43164</v>
      </c>
      <c r="H376" s="174" t="s">
        <v>29</v>
      </c>
      <c r="I376" s="175" t="str">
        <f>VLOOKUP($H376,Mapping!$A:$A,1,0)</f>
        <v>NO BROKER SEND</v>
      </c>
      <c r="J376" s="177" t="s">
        <v>466</v>
      </c>
      <c r="K376" s="174" t="s">
        <v>467</v>
      </c>
      <c r="L376" s="178">
        <v>36450000</v>
      </c>
      <c r="M376" s="178">
        <v>100.011719</v>
      </c>
      <c r="N376" s="178">
        <v>2.6224289055000001</v>
      </c>
      <c r="O376" s="178">
        <v>36467271.745336957</v>
      </c>
      <c r="P376" s="174" t="s">
        <v>337</v>
      </c>
      <c r="Q376" s="174" t="s">
        <v>468</v>
      </c>
      <c r="R376" s="174" t="s">
        <v>22</v>
      </c>
      <c r="S376" s="174" t="s">
        <v>130</v>
      </c>
      <c r="T376" s="175" t="str">
        <f>VLOOKUP($S376,Mapping!$C:$C,1,0)</f>
        <v>Manual</v>
      </c>
      <c r="U376" s="175"/>
      <c r="V376" s="175"/>
      <c r="W376" s="175"/>
      <c r="X376" s="175"/>
      <c r="Y376" s="174" t="s">
        <v>469</v>
      </c>
      <c r="Z376" s="174" t="s">
        <v>809</v>
      </c>
      <c r="AA376" s="174" t="s">
        <v>22</v>
      </c>
      <c r="AB376" s="174"/>
      <c r="AC376" s="175"/>
      <c r="AD376" s="174" t="s">
        <v>1559</v>
      </c>
      <c r="AE376" s="175"/>
      <c r="AF376" s="175"/>
      <c r="AG376" s="176">
        <v>43164.316053240742</v>
      </c>
      <c r="AH376" s="176">
        <v>43164.31621527778</v>
      </c>
      <c r="AI376" s="175"/>
      <c r="AJ376" s="175"/>
      <c r="AK376" s="178">
        <v>1</v>
      </c>
    </row>
    <row r="377" spans="1:37" ht="15.95" customHeight="1" x14ac:dyDescent="0.25">
      <c r="A377" s="174" t="s">
        <v>461</v>
      </c>
      <c r="B377" s="174" t="s">
        <v>1573</v>
      </c>
      <c r="C377" s="175"/>
      <c r="D377" s="174" t="s">
        <v>463</v>
      </c>
      <c r="E377" s="174" t="s">
        <v>806</v>
      </c>
      <c r="F377" s="176">
        <v>43164</v>
      </c>
      <c r="G377" s="176">
        <v>43164</v>
      </c>
      <c r="H377" s="174" t="s">
        <v>29</v>
      </c>
      <c r="I377" s="175" t="str">
        <f>VLOOKUP($H377,Mapping!$A:$A,1,0)</f>
        <v>NO BROKER SEND</v>
      </c>
      <c r="J377" s="179" t="s">
        <v>486</v>
      </c>
      <c r="K377" s="174" t="s">
        <v>807</v>
      </c>
      <c r="L377" s="178">
        <v>25000000</v>
      </c>
      <c r="M377" s="178">
        <v>94.832031000000001</v>
      </c>
      <c r="N377" s="178">
        <v>2.8784193553000001</v>
      </c>
      <c r="O377" s="178">
        <v>-23735977.363259669</v>
      </c>
      <c r="P377" s="174" t="s">
        <v>337</v>
      </c>
      <c r="Q377" s="174" t="s">
        <v>808</v>
      </c>
      <c r="R377" s="174" t="s">
        <v>22</v>
      </c>
      <c r="S377" s="174" t="s">
        <v>130</v>
      </c>
      <c r="T377" s="175" t="str">
        <f>VLOOKUP($S377,Mapping!$C:$C,1,0)</f>
        <v>Manual</v>
      </c>
      <c r="U377" s="175"/>
      <c r="V377" s="175"/>
      <c r="W377" s="175"/>
      <c r="X377" s="175"/>
      <c r="Y377" s="174" t="s">
        <v>469</v>
      </c>
      <c r="Z377" s="174" t="s">
        <v>809</v>
      </c>
      <c r="AA377" s="174" t="s">
        <v>22</v>
      </c>
      <c r="AB377" s="174"/>
      <c r="AC377" s="175"/>
      <c r="AD377" s="174" t="s">
        <v>1559</v>
      </c>
      <c r="AE377" s="175"/>
      <c r="AF377" s="175"/>
      <c r="AG377" s="176">
        <v>43164.316377314812</v>
      </c>
      <c r="AH377" s="176">
        <v>43164.316435185188</v>
      </c>
      <c r="AI377" s="175"/>
      <c r="AJ377" s="175"/>
      <c r="AK377" s="178">
        <v>1</v>
      </c>
    </row>
    <row r="378" spans="1:37" ht="15.95" customHeight="1" x14ac:dyDescent="0.25">
      <c r="A378" s="174" t="s">
        <v>461</v>
      </c>
      <c r="B378" s="174" t="s">
        <v>1574</v>
      </c>
      <c r="C378" s="175"/>
      <c r="D378" s="174" t="s">
        <v>463</v>
      </c>
      <c r="E378" s="174" t="s">
        <v>806</v>
      </c>
      <c r="F378" s="176">
        <v>43164</v>
      </c>
      <c r="G378" s="176">
        <v>43164</v>
      </c>
      <c r="H378" s="174" t="s">
        <v>29</v>
      </c>
      <c r="I378" s="175" t="str">
        <f>VLOOKUP($H378,Mapping!$A:$A,1,0)</f>
        <v>NO BROKER SEND</v>
      </c>
      <c r="J378" s="177" t="s">
        <v>466</v>
      </c>
      <c r="K378" s="174" t="s">
        <v>807</v>
      </c>
      <c r="L378" s="178">
        <v>25000000</v>
      </c>
      <c r="M378" s="178">
        <v>94.832031000000001</v>
      </c>
      <c r="N378" s="178">
        <v>2.8784193553000001</v>
      </c>
      <c r="O378" s="178">
        <v>23735977.363259669</v>
      </c>
      <c r="P378" s="174" t="s">
        <v>337</v>
      </c>
      <c r="Q378" s="174" t="s">
        <v>808</v>
      </c>
      <c r="R378" s="174" t="s">
        <v>22</v>
      </c>
      <c r="S378" s="174" t="s">
        <v>130</v>
      </c>
      <c r="T378" s="175" t="str">
        <f>VLOOKUP($S378,Mapping!$C:$C,1,0)</f>
        <v>Manual</v>
      </c>
      <c r="U378" s="175"/>
      <c r="V378" s="175"/>
      <c r="W378" s="175"/>
      <c r="X378" s="175"/>
      <c r="Y378" s="174" t="s">
        <v>469</v>
      </c>
      <c r="Z378" s="174" t="s">
        <v>809</v>
      </c>
      <c r="AA378" s="174" t="s">
        <v>22</v>
      </c>
      <c r="AB378" s="174"/>
      <c r="AC378" s="175"/>
      <c r="AD378" s="174" t="s">
        <v>1559</v>
      </c>
      <c r="AE378" s="175"/>
      <c r="AF378" s="175"/>
      <c r="AG378" s="176">
        <v>43164.316365740742</v>
      </c>
      <c r="AH378" s="176">
        <v>43164.316481481481</v>
      </c>
      <c r="AI378" s="175"/>
      <c r="AJ378" s="175"/>
      <c r="AK378" s="178">
        <v>1</v>
      </c>
    </row>
    <row r="379" spans="1:37" ht="15.95" customHeight="1" x14ac:dyDescent="0.25">
      <c r="A379" s="174" t="s">
        <v>461</v>
      </c>
      <c r="B379" s="174" t="s">
        <v>1575</v>
      </c>
      <c r="C379" s="175"/>
      <c r="D379" s="174" t="s">
        <v>463</v>
      </c>
      <c r="E379" s="174" t="s">
        <v>806</v>
      </c>
      <c r="F379" s="176">
        <v>43164</v>
      </c>
      <c r="G379" s="176">
        <v>43164</v>
      </c>
      <c r="H379" s="174" t="s">
        <v>29</v>
      </c>
      <c r="I379" s="175" t="str">
        <f>VLOOKUP($H379,Mapping!$A:$A,1,0)</f>
        <v>NO BROKER SEND</v>
      </c>
      <c r="J379" s="179" t="s">
        <v>486</v>
      </c>
      <c r="K379" s="174" t="s">
        <v>475</v>
      </c>
      <c r="L379" s="178">
        <v>23300000</v>
      </c>
      <c r="M379" s="178">
        <v>99.085937999999999</v>
      </c>
      <c r="N379" s="178">
        <v>2.8560823773999999</v>
      </c>
      <c r="O379" s="178">
        <v>-23118884.051237568</v>
      </c>
      <c r="P379" s="174" t="s">
        <v>337</v>
      </c>
      <c r="Q379" s="174" t="s">
        <v>476</v>
      </c>
      <c r="R379" s="174" t="s">
        <v>22</v>
      </c>
      <c r="S379" s="174" t="s">
        <v>130</v>
      </c>
      <c r="T379" s="175" t="str">
        <f>VLOOKUP($S379,Mapping!$C:$C,1,0)</f>
        <v>Manual</v>
      </c>
      <c r="U379" s="175"/>
      <c r="V379" s="175"/>
      <c r="W379" s="175"/>
      <c r="X379" s="175"/>
      <c r="Y379" s="174" t="s">
        <v>469</v>
      </c>
      <c r="Z379" s="174" t="s">
        <v>809</v>
      </c>
      <c r="AA379" s="174" t="s">
        <v>22</v>
      </c>
      <c r="AB379" s="174"/>
      <c r="AC379" s="175"/>
      <c r="AD379" s="174" t="s">
        <v>1559</v>
      </c>
      <c r="AE379" s="175"/>
      <c r="AF379" s="175"/>
      <c r="AG379" s="176">
        <v>43164.31653935185</v>
      </c>
      <c r="AH379" s="176">
        <v>43164.316608796296</v>
      </c>
      <c r="AI379" s="175"/>
      <c r="AJ379" s="175"/>
      <c r="AK379" s="178">
        <v>1</v>
      </c>
    </row>
    <row r="380" spans="1:37" ht="15.95" customHeight="1" x14ac:dyDescent="0.25">
      <c r="A380" s="174" t="s">
        <v>461</v>
      </c>
      <c r="B380" s="174" t="s">
        <v>1576</v>
      </c>
      <c r="C380" s="175"/>
      <c r="D380" s="174" t="s">
        <v>463</v>
      </c>
      <c r="E380" s="174" t="s">
        <v>806</v>
      </c>
      <c r="F380" s="176">
        <v>43164</v>
      </c>
      <c r="G380" s="176">
        <v>43164</v>
      </c>
      <c r="H380" s="174" t="s">
        <v>29</v>
      </c>
      <c r="I380" s="175" t="str">
        <f>VLOOKUP($H380,Mapping!$A:$A,1,0)</f>
        <v>NO BROKER SEND</v>
      </c>
      <c r="J380" s="177" t="s">
        <v>466</v>
      </c>
      <c r="K380" s="174" t="s">
        <v>475</v>
      </c>
      <c r="L380" s="178">
        <v>23300000</v>
      </c>
      <c r="M380" s="178">
        <v>99.085937999999999</v>
      </c>
      <c r="N380" s="178">
        <v>2.8560823773999999</v>
      </c>
      <c r="O380" s="178">
        <v>23118884.051237568</v>
      </c>
      <c r="P380" s="174" t="s">
        <v>337</v>
      </c>
      <c r="Q380" s="174" t="s">
        <v>476</v>
      </c>
      <c r="R380" s="174" t="s">
        <v>22</v>
      </c>
      <c r="S380" s="174" t="s">
        <v>130</v>
      </c>
      <c r="T380" s="175" t="str">
        <f>VLOOKUP($S380,Mapping!$C:$C,1,0)</f>
        <v>Manual</v>
      </c>
      <c r="U380" s="175"/>
      <c r="V380" s="175"/>
      <c r="W380" s="175"/>
      <c r="X380" s="175"/>
      <c r="Y380" s="174" t="s">
        <v>469</v>
      </c>
      <c r="Z380" s="174" t="s">
        <v>809</v>
      </c>
      <c r="AA380" s="174" t="s">
        <v>22</v>
      </c>
      <c r="AB380" s="174"/>
      <c r="AC380" s="175"/>
      <c r="AD380" s="174" t="s">
        <v>1559</v>
      </c>
      <c r="AE380" s="175"/>
      <c r="AF380" s="175"/>
      <c r="AG380" s="176">
        <v>43164.31653935185</v>
      </c>
      <c r="AH380" s="176">
        <v>43164.316655092596</v>
      </c>
      <c r="AI380" s="175"/>
      <c r="AJ380" s="175"/>
      <c r="AK380" s="178">
        <v>1</v>
      </c>
    </row>
    <row r="381" spans="1:37" ht="15.95" customHeight="1" x14ac:dyDescent="0.25">
      <c r="A381" s="174" t="s">
        <v>461</v>
      </c>
      <c r="B381" s="174" t="s">
        <v>1577</v>
      </c>
      <c r="C381" s="175"/>
      <c r="D381" s="174" t="s">
        <v>478</v>
      </c>
      <c r="E381" s="174" t="s">
        <v>903</v>
      </c>
      <c r="F381" s="176">
        <v>43164</v>
      </c>
      <c r="G381" s="176">
        <v>43164</v>
      </c>
      <c r="H381" s="174" t="s">
        <v>29</v>
      </c>
      <c r="I381" s="175" t="str">
        <f>VLOOKUP($H381,Mapping!$A:$A,1,0)</f>
        <v>NO BROKER SEND</v>
      </c>
      <c r="J381" s="179" t="s">
        <v>486</v>
      </c>
      <c r="K381" s="174" t="s">
        <v>543</v>
      </c>
      <c r="L381" s="178">
        <v>3500000</v>
      </c>
      <c r="M381" s="178">
        <v>92.578125</v>
      </c>
      <c r="N381" s="178">
        <v>3.1357862304999999</v>
      </c>
      <c r="O381" s="178">
        <v>-3269481.6125690597</v>
      </c>
      <c r="P381" s="174" t="s">
        <v>337</v>
      </c>
      <c r="Q381" s="174" t="s">
        <v>544</v>
      </c>
      <c r="R381" s="174" t="s">
        <v>22</v>
      </c>
      <c r="S381" s="174" t="s">
        <v>130</v>
      </c>
      <c r="T381" s="175" t="str">
        <f>VLOOKUP($S381,Mapping!$C:$C,1,0)</f>
        <v>Manual</v>
      </c>
      <c r="U381" s="175"/>
      <c r="V381" s="175"/>
      <c r="W381" s="175"/>
      <c r="X381" s="175"/>
      <c r="Y381" s="174" t="s">
        <v>469</v>
      </c>
      <c r="Z381" s="174" t="s">
        <v>906</v>
      </c>
      <c r="AA381" s="174" t="s">
        <v>22</v>
      </c>
      <c r="AB381" s="174"/>
      <c r="AC381" s="175"/>
      <c r="AD381" s="174" t="s">
        <v>1578</v>
      </c>
      <c r="AE381" s="175"/>
      <c r="AF381" s="175"/>
      <c r="AG381" s="176">
        <v>43164.318877314814</v>
      </c>
      <c r="AH381" s="176">
        <v>43164.318923611114</v>
      </c>
      <c r="AI381" s="175"/>
      <c r="AJ381" s="175"/>
      <c r="AK381" s="178">
        <v>1</v>
      </c>
    </row>
    <row r="382" spans="1:37" ht="15.95" customHeight="1" x14ac:dyDescent="0.25">
      <c r="A382" s="174" t="s">
        <v>461</v>
      </c>
      <c r="B382" s="174" t="s">
        <v>1579</v>
      </c>
      <c r="C382" s="175"/>
      <c r="D382" s="174" t="s">
        <v>478</v>
      </c>
      <c r="E382" s="174" t="s">
        <v>903</v>
      </c>
      <c r="F382" s="176">
        <v>43164</v>
      </c>
      <c r="G382" s="176">
        <v>43164</v>
      </c>
      <c r="H382" s="174" t="s">
        <v>29</v>
      </c>
      <c r="I382" s="175" t="str">
        <f>VLOOKUP($H382,Mapping!$A:$A,1,0)</f>
        <v>NO BROKER SEND</v>
      </c>
      <c r="J382" s="177" t="s">
        <v>466</v>
      </c>
      <c r="K382" s="174" t="s">
        <v>543</v>
      </c>
      <c r="L382" s="178">
        <v>3500000</v>
      </c>
      <c r="M382" s="178">
        <v>92.578125</v>
      </c>
      <c r="N382" s="178">
        <v>3.1357862304999999</v>
      </c>
      <c r="O382" s="178">
        <v>3269481.6125690597</v>
      </c>
      <c r="P382" s="174" t="s">
        <v>337</v>
      </c>
      <c r="Q382" s="174" t="s">
        <v>544</v>
      </c>
      <c r="R382" s="174" t="s">
        <v>22</v>
      </c>
      <c r="S382" s="174" t="s">
        <v>130</v>
      </c>
      <c r="T382" s="175" t="str">
        <f>VLOOKUP($S382,Mapping!$C:$C,1,0)</f>
        <v>Manual</v>
      </c>
      <c r="U382" s="175"/>
      <c r="V382" s="175"/>
      <c r="W382" s="175"/>
      <c r="X382" s="175"/>
      <c r="Y382" s="174" t="s">
        <v>469</v>
      </c>
      <c r="Z382" s="174" t="s">
        <v>906</v>
      </c>
      <c r="AA382" s="174" t="s">
        <v>22</v>
      </c>
      <c r="AB382" s="174"/>
      <c r="AC382" s="175"/>
      <c r="AD382" s="174" t="s">
        <v>1578</v>
      </c>
      <c r="AE382" s="175"/>
      <c r="AF382" s="175"/>
      <c r="AG382" s="176">
        <v>43164.318877314814</v>
      </c>
      <c r="AH382" s="176">
        <v>43164.31894675926</v>
      </c>
      <c r="AI382" s="175"/>
      <c r="AJ382" s="175"/>
      <c r="AK382" s="178">
        <v>1</v>
      </c>
    </row>
    <row r="383" spans="1:37" ht="15.95" customHeight="1" x14ac:dyDescent="0.25">
      <c r="A383" s="174" t="s">
        <v>484</v>
      </c>
      <c r="B383" s="174" t="s">
        <v>1580</v>
      </c>
      <c r="C383" s="175"/>
      <c r="D383" s="174" t="s">
        <v>478</v>
      </c>
      <c r="E383" s="174" t="s">
        <v>491</v>
      </c>
      <c r="F383" s="176">
        <v>43164</v>
      </c>
      <c r="G383" s="176">
        <v>43166</v>
      </c>
      <c r="H383" s="174" t="s">
        <v>29</v>
      </c>
      <c r="I383" s="175" t="str">
        <f>VLOOKUP($H383,Mapping!$A:$A,1,0)</f>
        <v>NO BROKER SEND</v>
      </c>
      <c r="J383" s="179" t="s">
        <v>486</v>
      </c>
      <c r="K383" s="174" t="s">
        <v>1581</v>
      </c>
      <c r="L383" s="178">
        <v>2730000</v>
      </c>
      <c r="M383" s="178">
        <v>99.867000000000004</v>
      </c>
      <c r="N383" s="178">
        <v>4.0342750432000001</v>
      </c>
      <c r="O383" s="178">
        <v>-2726978.4966666703</v>
      </c>
      <c r="P383" s="174" t="s">
        <v>337</v>
      </c>
      <c r="Q383" s="174" t="s">
        <v>1582</v>
      </c>
      <c r="R383" s="174" t="s">
        <v>22</v>
      </c>
      <c r="S383" s="174" t="s">
        <v>130</v>
      </c>
      <c r="T383" s="175" t="str">
        <f>VLOOKUP($S383,Mapping!$C:$C,1,0)</f>
        <v>Manual</v>
      </c>
      <c r="U383" s="175"/>
      <c r="V383" s="175"/>
      <c r="W383" s="175"/>
      <c r="X383" s="175"/>
      <c r="Y383" s="174" t="s">
        <v>1583</v>
      </c>
      <c r="Z383" s="174" t="s">
        <v>494</v>
      </c>
      <c r="AA383" s="174" t="s">
        <v>22</v>
      </c>
      <c r="AB383" s="174"/>
      <c r="AC383" s="175"/>
      <c r="AD383" s="174" t="s">
        <v>512</v>
      </c>
      <c r="AE383" s="175"/>
      <c r="AF383" s="175"/>
      <c r="AG383" s="176">
        <v>43164.332939814813</v>
      </c>
      <c r="AH383" s="176">
        <v>43164.332997685182</v>
      </c>
      <c r="AI383" s="175"/>
      <c r="AJ383" s="175"/>
      <c r="AK383" s="178">
        <v>1</v>
      </c>
    </row>
    <row r="384" spans="1:37" ht="15.95" customHeight="1" x14ac:dyDescent="0.25">
      <c r="A384" s="174" t="s">
        <v>461</v>
      </c>
      <c r="B384" s="174" t="s">
        <v>1584</v>
      </c>
      <c r="C384" s="175"/>
      <c r="D384" s="174" t="s">
        <v>478</v>
      </c>
      <c r="E384" s="174" t="s">
        <v>479</v>
      </c>
      <c r="F384" s="176">
        <v>43164</v>
      </c>
      <c r="G384" s="176">
        <v>43165</v>
      </c>
      <c r="H384" s="174" t="s">
        <v>29</v>
      </c>
      <c r="I384" s="175" t="str">
        <f>VLOOKUP($H384,Mapping!$A:$A,1,0)</f>
        <v>NO BROKER SEND</v>
      </c>
      <c r="J384" s="177" t="s">
        <v>466</v>
      </c>
      <c r="K384" s="174" t="s">
        <v>524</v>
      </c>
      <c r="L384" s="178">
        <v>2730000</v>
      </c>
      <c r="M384" s="178">
        <v>99.597656499999999</v>
      </c>
      <c r="N384" s="178">
        <v>2.3919637901000002</v>
      </c>
      <c r="O384" s="178">
        <v>2722239.9865383999</v>
      </c>
      <c r="P384" s="174" t="s">
        <v>337</v>
      </c>
      <c r="Q384" s="174" t="s">
        <v>525</v>
      </c>
      <c r="R384" s="174" t="s">
        <v>22</v>
      </c>
      <c r="S384" s="174" t="s">
        <v>130</v>
      </c>
      <c r="T384" s="175" t="str">
        <f>VLOOKUP($S384,Mapping!$C:$C,1,0)</f>
        <v>Manual</v>
      </c>
      <c r="U384" s="175"/>
      <c r="V384" s="175"/>
      <c r="W384" s="175"/>
      <c r="X384" s="175"/>
      <c r="Y384" s="174" t="s">
        <v>469</v>
      </c>
      <c r="Z384" s="174" t="s">
        <v>481</v>
      </c>
      <c r="AA384" s="174" t="s">
        <v>22</v>
      </c>
      <c r="AB384" s="174"/>
      <c r="AC384" s="175"/>
      <c r="AD384" s="174" t="s">
        <v>512</v>
      </c>
      <c r="AE384" s="175"/>
      <c r="AF384" s="175"/>
      <c r="AG384" s="176">
        <v>43164.332939814813</v>
      </c>
      <c r="AH384" s="176">
        <v>43164.333009259259</v>
      </c>
      <c r="AI384" s="175"/>
      <c r="AJ384" s="175"/>
      <c r="AK384" s="178">
        <v>1</v>
      </c>
    </row>
    <row r="385" spans="1:37" ht="15.95" customHeight="1" x14ac:dyDescent="0.25">
      <c r="A385" s="174" t="s">
        <v>461</v>
      </c>
      <c r="B385" s="174" t="s">
        <v>1585</v>
      </c>
      <c r="C385" s="175"/>
      <c r="D385" s="174" t="s">
        <v>478</v>
      </c>
      <c r="E385" s="174" t="s">
        <v>491</v>
      </c>
      <c r="F385" s="176">
        <v>43164</v>
      </c>
      <c r="G385" s="176">
        <v>43165</v>
      </c>
      <c r="H385" s="174" t="s">
        <v>29</v>
      </c>
      <c r="I385" s="175" t="str">
        <f>VLOOKUP($H385,Mapping!$A:$A,1,0)</f>
        <v>NO BROKER SEND</v>
      </c>
      <c r="J385" s="179" t="s">
        <v>486</v>
      </c>
      <c r="K385" s="174" t="s">
        <v>467</v>
      </c>
      <c r="L385" s="178">
        <v>4459000</v>
      </c>
      <c r="M385" s="178">
        <v>100.011719</v>
      </c>
      <c r="N385" s="178">
        <v>2.6224182037000001</v>
      </c>
      <c r="O385" s="178">
        <v>-4461430.9537426103</v>
      </c>
      <c r="P385" s="174" t="s">
        <v>337</v>
      </c>
      <c r="Q385" s="174" t="s">
        <v>468</v>
      </c>
      <c r="R385" s="174" t="s">
        <v>22</v>
      </c>
      <c r="S385" s="174" t="s">
        <v>130</v>
      </c>
      <c r="T385" s="175" t="str">
        <f>VLOOKUP($S385,Mapping!$C:$C,1,0)</f>
        <v>Manual</v>
      </c>
      <c r="U385" s="175"/>
      <c r="V385" s="175"/>
      <c r="W385" s="175"/>
      <c r="X385" s="175"/>
      <c r="Y385" s="174" t="s">
        <v>469</v>
      </c>
      <c r="Z385" s="174" t="s">
        <v>494</v>
      </c>
      <c r="AA385" s="174" t="s">
        <v>22</v>
      </c>
      <c r="AB385" s="174"/>
      <c r="AC385" s="175"/>
      <c r="AD385" s="174" t="s">
        <v>512</v>
      </c>
      <c r="AE385" s="175"/>
      <c r="AF385" s="175"/>
      <c r="AG385" s="176">
        <v>43164.332939814813</v>
      </c>
      <c r="AH385" s="176">
        <v>43164.333020833335</v>
      </c>
      <c r="AI385" s="175"/>
      <c r="AJ385" s="175"/>
      <c r="AK385" s="178">
        <v>1</v>
      </c>
    </row>
    <row r="386" spans="1:37" ht="15.95" customHeight="1" x14ac:dyDescent="0.25">
      <c r="A386" s="174" t="s">
        <v>461</v>
      </c>
      <c r="B386" s="174" t="s">
        <v>1586</v>
      </c>
      <c r="C386" s="175"/>
      <c r="D386" s="174" t="s">
        <v>478</v>
      </c>
      <c r="E386" s="174" t="s">
        <v>582</v>
      </c>
      <c r="F386" s="176">
        <v>43164</v>
      </c>
      <c r="G386" s="176">
        <v>43165</v>
      </c>
      <c r="H386" s="174" t="s">
        <v>29</v>
      </c>
      <c r="I386" s="175" t="str">
        <f>VLOOKUP($H386,Mapping!$A:$A,1,0)</f>
        <v>NO BROKER SEND</v>
      </c>
      <c r="J386" s="177" t="s">
        <v>466</v>
      </c>
      <c r="K386" s="174" t="s">
        <v>475</v>
      </c>
      <c r="L386" s="178">
        <v>4322000</v>
      </c>
      <c r="M386" s="178">
        <v>99.1015625</v>
      </c>
      <c r="N386" s="178">
        <v>2.8542782285000001</v>
      </c>
      <c r="O386" s="178">
        <v>4289407.7771063503</v>
      </c>
      <c r="P386" s="174" t="s">
        <v>337</v>
      </c>
      <c r="Q386" s="174" t="s">
        <v>476</v>
      </c>
      <c r="R386" s="174" t="s">
        <v>22</v>
      </c>
      <c r="S386" s="174" t="s">
        <v>130</v>
      </c>
      <c r="T386" s="175" t="str">
        <f>VLOOKUP($S386,Mapping!$C:$C,1,0)</f>
        <v>Manual</v>
      </c>
      <c r="U386" s="175"/>
      <c r="V386" s="175"/>
      <c r="W386" s="175"/>
      <c r="X386" s="175"/>
      <c r="Y386" s="174" t="s">
        <v>469</v>
      </c>
      <c r="Z386" s="174" t="s">
        <v>586</v>
      </c>
      <c r="AA386" s="174" t="s">
        <v>22</v>
      </c>
      <c r="AB386" s="174"/>
      <c r="AC386" s="175"/>
      <c r="AD386" s="174" t="s">
        <v>512</v>
      </c>
      <c r="AE386" s="175"/>
      <c r="AF386" s="175"/>
      <c r="AG386" s="176">
        <v>43164.332939814813</v>
      </c>
      <c r="AH386" s="176">
        <v>43164.333043981482</v>
      </c>
      <c r="AI386" s="175"/>
      <c r="AJ386" s="175"/>
      <c r="AK386" s="178">
        <v>1</v>
      </c>
    </row>
    <row r="387" spans="1:37" ht="15.95" customHeight="1" x14ac:dyDescent="0.25">
      <c r="A387" s="174" t="s">
        <v>484</v>
      </c>
      <c r="B387" s="174" t="s">
        <v>1587</v>
      </c>
      <c r="C387" s="175"/>
      <c r="D387" s="174" t="s">
        <v>478</v>
      </c>
      <c r="E387" s="174" t="s">
        <v>479</v>
      </c>
      <c r="F387" s="176">
        <v>43164</v>
      </c>
      <c r="G387" s="176">
        <v>43166</v>
      </c>
      <c r="H387" s="174" t="s">
        <v>29</v>
      </c>
      <c r="I387" s="175" t="str">
        <f>VLOOKUP($H387,Mapping!$A:$A,1,0)</f>
        <v>NO BROKER SEND</v>
      </c>
      <c r="J387" s="179" t="s">
        <v>486</v>
      </c>
      <c r="K387" s="174" t="s">
        <v>1588</v>
      </c>
      <c r="L387" s="178">
        <v>1820000</v>
      </c>
      <c r="M387" s="178">
        <v>99.798000000000002</v>
      </c>
      <c r="N387" s="178">
        <v>3.6743754223999998</v>
      </c>
      <c r="O387" s="178">
        <v>-1816692.65555556</v>
      </c>
      <c r="P387" s="174" t="s">
        <v>337</v>
      </c>
      <c r="Q387" s="174" t="s">
        <v>1589</v>
      </c>
      <c r="R387" s="174" t="s">
        <v>22</v>
      </c>
      <c r="S387" s="174" t="s">
        <v>130</v>
      </c>
      <c r="T387" s="175" t="str">
        <f>VLOOKUP($S387,Mapping!$C:$C,1,0)</f>
        <v>Manual</v>
      </c>
      <c r="U387" s="175"/>
      <c r="V387" s="175"/>
      <c r="W387" s="175"/>
      <c r="X387" s="175"/>
      <c r="Y387" s="174" t="s">
        <v>489</v>
      </c>
      <c r="Z387" s="174" t="s">
        <v>481</v>
      </c>
      <c r="AA387" s="174" t="s">
        <v>22</v>
      </c>
      <c r="AB387" s="174"/>
      <c r="AC387" s="175"/>
      <c r="AD387" s="174" t="s">
        <v>512</v>
      </c>
      <c r="AE387" s="175"/>
      <c r="AF387" s="175"/>
      <c r="AG387" s="176">
        <v>43164.332939814813</v>
      </c>
      <c r="AH387" s="176">
        <v>43164.333055555559</v>
      </c>
      <c r="AI387" s="175"/>
      <c r="AJ387" s="175"/>
      <c r="AK387" s="178">
        <v>1</v>
      </c>
    </row>
    <row r="388" spans="1:37" ht="15.95" customHeight="1" x14ac:dyDescent="0.25">
      <c r="A388" s="174" t="s">
        <v>461</v>
      </c>
      <c r="B388" s="174" t="s">
        <v>1590</v>
      </c>
      <c r="C388" s="175"/>
      <c r="D388" s="174" t="s">
        <v>478</v>
      </c>
      <c r="E388" s="174" t="s">
        <v>491</v>
      </c>
      <c r="F388" s="176">
        <v>43164</v>
      </c>
      <c r="G388" s="176">
        <v>43165</v>
      </c>
      <c r="H388" s="174" t="s">
        <v>29</v>
      </c>
      <c r="I388" s="175" t="str">
        <f>VLOOKUP($H388,Mapping!$A:$A,1,0)</f>
        <v>NO BROKER SEND</v>
      </c>
      <c r="J388" s="177" t="s">
        <v>466</v>
      </c>
      <c r="K388" s="174" t="s">
        <v>475</v>
      </c>
      <c r="L388" s="178">
        <v>2594000</v>
      </c>
      <c r="M388" s="178">
        <v>99.1015625</v>
      </c>
      <c r="N388" s="178">
        <v>2.8542782285000001</v>
      </c>
      <c r="O388" s="178">
        <v>2574438.6334599396</v>
      </c>
      <c r="P388" s="174" t="s">
        <v>337</v>
      </c>
      <c r="Q388" s="174" t="s">
        <v>476</v>
      </c>
      <c r="R388" s="174" t="s">
        <v>22</v>
      </c>
      <c r="S388" s="174" t="s">
        <v>130</v>
      </c>
      <c r="T388" s="175" t="str">
        <f>VLOOKUP($S388,Mapping!$C:$C,1,0)</f>
        <v>Manual</v>
      </c>
      <c r="U388" s="175"/>
      <c r="V388" s="175"/>
      <c r="W388" s="175"/>
      <c r="X388" s="175"/>
      <c r="Y388" s="174" t="s">
        <v>469</v>
      </c>
      <c r="Z388" s="174" t="s">
        <v>494</v>
      </c>
      <c r="AA388" s="174" t="s">
        <v>22</v>
      </c>
      <c r="AB388" s="174"/>
      <c r="AC388" s="175"/>
      <c r="AD388" s="174" t="s">
        <v>512</v>
      </c>
      <c r="AE388" s="175"/>
      <c r="AF388" s="175"/>
      <c r="AG388" s="176">
        <v>43164.332939814813</v>
      </c>
      <c r="AH388" s="176">
        <v>43164.333067129628</v>
      </c>
      <c r="AI388" s="175"/>
      <c r="AJ388" s="175"/>
      <c r="AK388" s="178">
        <v>1</v>
      </c>
    </row>
    <row r="389" spans="1:37" ht="15.95" customHeight="1" x14ac:dyDescent="0.25">
      <c r="A389" s="174" t="s">
        <v>484</v>
      </c>
      <c r="B389" s="174" t="s">
        <v>1591</v>
      </c>
      <c r="C389" s="175"/>
      <c r="D389" s="174" t="s">
        <v>478</v>
      </c>
      <c r="E389" s="174" t="s">
        <v>479</v>
      </c>
      <c r="F389" s="176">
        <v>43164</v>
      </c>
      <c r="G389" s="176">
        <v>43166</v>
      </c>
      <c r="H389" s="174" t="s">
        <v>29</v>
      </c>
      <c r="I389" s="175" t="str">
        <f>VLOOKUP($H389,Mapping!$A:$A,1,0)</f>
        <v>NO BROKER SEND</v>
      </c>
      <c r="J389" s="179" t="s">
        <v>486</v>
      </c>
      <c r="K389" s="174" t="s">
        <v>1592</v>
      </c>
      <c r="L389" s="178">
        <v>2730000</v>
      </c>
      <c r="M389" s="178">
        <v>99.936999999999998</v>
      </c>
      <c r="N389" s="178">
        <v>2.9222439742000001</v>
      </c>
      <c r="O389" s="178">
        <v>-2728719.9333333299</v>
      </c>
      <c r="P389" s="174" t="s">
        <v>337</v>
      </c>
      <c r="Q389" s="174" t="s">
        <v>1593</v>
      </c>
      <c r="R389" s="174" t="s">
        <v>22</v>
      </c>
      <c r="S389" s="174" t="s">
        <v>130</v>
      </c>
      <c r="T389" s="175" t="str">
        <f>VLOOKUP($S389,Mapping!$C:$C,1,0)</f>
        <v>Manual</v>
      </c>
      <c r="U389" s="175"/>
      <c r="V389" s="175"/>
      <c r="W389" s="175"/>
      <c r="X389" s="175"/>
      <c r="Y389" s="174" t="s">
        <v>489</v>
      </c>
      <c r="Z389" s="174" t="s">
        <v>481</v>
      </c>
      <c r="AA389" s="174" t="s">
        <v>22</v>
      </c>
      <c r="AB389" s="174"/>
      <c r="AC389" s="175"/>
      <c r="AD389" s="174" t="s">
        <v>512</v>
      </c>
      <c r="AE389" s="175"/>
      <c r="AF389" s="175"/>
      <c r="AG389" s="176">
        <v>43164.332939814813</v>
      </c>
      <c r="AH389" s="176">
        <v>43164.333124999997</v>
      </c>
      <c r="AI389" s="175"/>
      <c r="AJ389" s="175"/>
      <c r="AK389" s="178">
        <v>1</v>
      </c>
    </row>
    <row r="390" spans="1:37" ht="15.95" customHeight="1" x14ac:dyDescent="0.25">
      <c r="A390" s="174" t="s">
        <v>484</v>
      </c>
      <c r="B390" s="174" t="s">
        <v>1594</v>
      </c>
      <c r="C390" s="175"/>
      <c r="D390" s="174" t="s">
        <v>478</v>
      </c>
      <c r="E390" s="174" t="s">
        <v>491</v>
      </c>
      <c r="F390" s="176">
        <v>43164</v>
      </c>
      <c r="G390" s="176">
        <v>43166</v>
      </c>
      <c r="H390" s="174" t="s">
        <v>29</v>
      </c>
      <c r="I390" s="175" t="str">
        <f>VLOOKUP($H390,Mapping!$A:$A,1,0)</f>
        <v>NO BROKER SEND</v>
      </c>
      <c r="J390" s="179" t="s">
        <v>486</v>
      </c>
      <c r="K390" s="174" t="s">
        <v>1595</v>
      </c>
      <c r="L390" s="178">
        <v>4550000</v>
      </c>
      <c r="M390" s="178">
        <v>99.983999999999995</v>
      </c>
      <c r="N390" s="178">
        <v>3.5524867519000001</v>
      </c>
      <c r="O390" s="178">
        <v>-4550169.1083333297</v>
      </c>
      <c r="P390" s="174" t="s">
        <v>337</v>
      </c>
      <c r="Q390" s="174" t="s">
        <v>1596</v>
      </c>
      <c r="R390" s="174" t="s">
        <v>22</v>
      </c>
      <c r="S390" s="174" t="s">
        <v>130</v>
      </c>
      <c r="T390" s="175" t="str">
        <f>VLOOKUP($S390,Mapping!$C:$C,1,0)</f>
        <v>Manual</v>
      </c>
      <c r="U390" s="175"/>
      <c r="V390" s="175"/>
      <c r="W390" s="175"/>
      <c r="X390" s="175"/>
      <c r="Y390" s="174" t="s">
        <v>1583</v>
      </c>
      <c r="Z390" s="174" t="s">
        <v>494</v>
      </c>
      <c r="AA390" s="174" t="s">
        <v>22</v>
      </c>
      <c r="AB390" s="174"/>
      <c r="AC390" s="175"/>
      <c r="AD390" s="174" t="s">
        <v>512</v>
      </c>
      <c r="AE390" s="175"/>
      <c r="AF390" s="175"/>
      <c r="AG390" s="176">
        <v>43164.332939814813</v>
      </c>
      <c r="AH390" s="176">
        <v>43164.333136574074</v>
      </c>
      <c r="AI390" s="175"/>
      <c r="AJ390" s="175"/>
      <c r="AK390" s="178">
        <v>1</v>
      </c>
    </row>
    <row r="391" spans="1:37" x14ac:dyDescent="0.25">
      <c r="A391" s="174" t="s">
        <v>461</v>
      </c>
      <c r="B391" s="174" t="s">
        <v>1597</v>
      </c>
      <c r="C391" s="175"/>
      <c r="D391" s="174" t="s">
        <v>478</v>
      </c>
      <c r="E391" s="174" t="s">
        <v>582</v>
      </c>
      <c r="F391" s="176">
        <v>43164</v>
      </c>
      <c r="G391" s="176">
        <v>43165</v>
      </c>
      <c r="H391" s="174" t="s">
        <v>29</v>
      </c>
      <c r="I391" s="175" t="str">
        <f>VLOOKUP($H391,Mapping!$A:$A,1,0)</f>
        <v>NO BROKER SEND</v>
      </c>
      <c r="J391" s="179" t="s">
        <v>486</v>
      </c>
      <c r="K391" s="174" t="s">
        <v>475</v>
      </c>
      <c r="L391" s="178">
        <v>4322000</v>
      </c>
      <c r="M391" s="178">
        <v>99.1015625</v>
      </c>
      <c r="N391" s="178">
        <v>2.8542782285000001</v>
      </c>
      <c r="O391" s="178">
        <v>-4289407.7771063503</v>
      </c>
      <c r="P391" s="174" t="s">
        <v>337</v>
      </c>
      <c r="Q391" s="174" t="s">
        <v>476</v>
      </c>
      <c r="R391" s="174" t="s">
        <v>22</v>
      </c>
      <c r="S391" s="174" t="s">
        <v>130</v>
      </c>
      <c r="T391" s="175" t="str">
        <f>VLOOKUP($S391,Mapping!$C:$C,1,0)</f>
        <v>Manual</v>
      </c>
      <c r="U391" s="175"/>
      <c r="V391" s="175"/>
      <c r="W391" s="175"/>
      <c r="X391" s="175"/>
      <c r="Y391" s="174" t="s">
        <v>469</v>
      </c>
      <c r="Z391" s="174" t="s">
        <v>586</v>
      </c>
      <c r="AA391" s="174" t="s">
        <v>22</v>
      </c>
      <c r="AB391" s="174"/>
      <c r="AC391" s="175"/>
      <c r="AD391" s="174" t="s">
        <v>512</v>
      </c>
      <c r="AE391" s="175"/>
      <c r="AF391" s="175"/>
      <c r="AG391" s="176">
        <v>43164.332962962966</v>
      </c>
      <c r="AH391" s="176">
        <v>43164.333171296297</v>
      </c>
      <c r="AI391" s="175"/>
      <c r="AJ391" s="175"/>
      <c r="AK391" s="178">
        <v>1</v>
      </c>
    </row>
    <row r="392" spans="1:37" x14ac:dyDescent="0.25">
      <c r="A392" s="174" t="s">
        <v>461</v>
      </c>
      <c r="B392" s="174" t="s">
        <v>1598</v>
      </c>
      <c r="C392" s="175"/>
      <c r="D392" s="174" t="s">
        <v>478</v>
      </c>
      <c r="E392" s="174" t="s">
        <v>491</v>
      </c>
      <c r="F392" s="176">
        <v>43164</v>
      </c>
      <c r="G392" s="176">
        <v>43165</v>
      </c>
      <c r="H392" s="174" t="s">
        <v>29</v>
      </c>
      <c r="I392" s="175" t="str">
        <f>VLOOKUP($H392,Mapping!$A:$A,1,0)</f>
        <v>NO BROKER SEND</v>
      </c>
      <c r="J392" s="177" t="s">
        <v>466</v>
      </c>
      <c r="K392" s="174" t="s">
        <v>467</v>
      </c>
      <c r="L392" s="178">
        <v>4459000</v>
      </c>
      <c r="M392" s="178">
        <v>100.011719</v>
      </c>
      <c r="N392" s="178">
        <v>2.6224182037000001</v>
      </c>
      <c r="O392" s="178">
        <v>4461430.9537426103</v>
      </c>
      <c r="P392" s="174" t="s">
        <v>337</v>
      </c>
      <c r="Q392" s="174" t="s">
        <v>468</v>
      </c>
      <c r="R392" s="174" t="s">
        <v>22</v>
      </c>
      <c r="S392" s="174" t="s">
        <v>130</v>
      </c>
      <c r="T392" s="175" t="str">
        <f>VLOOKUP($S392,Mapping!$C:$C,1,0)</f>
        <v>Manual</v>
      </c>
      <c r="U392" s="175"/>
      <c r="V392" s="175"/>
      <c r="W392" s="175"/>
      <c r="X392" s="175"/>
      <c r="Y392" s="174" t="s">
        <v>469</v>
      </c>
      <c r="Z392" s="174" t="s">
        <v>494</v>
      </c>
      <c r="AA392" s="174" t="s">
        <v>22</v>
      </c>
      <c r="AB392" s="174"/>
      <c r="AC392" s="175"/>
      <c r="AD392" s="174" t="s">
        <v>512</v>
      </c>
      <c r="AE392" s="175"/>
      <c r="AF392" s="175"/>
      <c r="AG392" s="176">
        <v>43164.332962962966</v>
      </c>
      <c r="AH392" s="176">
        <v>43164.333229166667</v>
      </c>
      <c r="AI392" s="175"/>
      <c r="AJ392" s="175"/>
      <c r="AK392" s="178">
        <v>1</v>
      </c>
    </row>
    <row r="393" spans="1:37" x14ac:dyDescent="0.25">
      <c r="A393" s="174" t="s">
        <v>461</v>
      </c>
      <c r="B393" s="174" t="s">
        <v>1599</v>
      </c>
      <c r="C393" s="175"/>
      <c r="D393" s="174" t="s">
        <v>478</v>
      </c>
      <c r="E393" s="174" t="s">
        <v>558</v>
      </c>
      <c r="F393" s="176">
        <v>43164</v>
      </c>
      <c r="G393" s="176">
        <v>43165</v>
      </c>
      <c r="H393" s="174" t="s">
        <v>29</v>
      </c>
      <c r="I393" s="175" t="str">
        <f>VLOOKUP($H393,Mapping!$A:$A,1,0)</f>
        <v>NO BROKER SEND</v>
      </c>
      <c r="J393" s="177" t="s">
        <v>466</v>
      </c>
      <c r="K393" s="174" t="s">
        <v>475</v>
      </c>
      <c r="L393" s="178">
        <v>8655000</v>
      </c>
      <c r="M393" s="178">
        <v>99.1015625</v>
      </c>
      <c r="N393" s="178">
        <v>2.8542782285000001</v>
      </c>
      <c r="O393" s="178">
        <v>8589732.6031595301</v>
      </c>
      <c r="P393" s="174" t="s">
        <v>337</v>
      </c>
      <c r="Q393" s="174" t="s">
        <v>476</v>
      </c>
      <c r="R393" s="174" t="s">
        <v>22</v>
      </c>
      <c r="S393" s="174" t="s">
        <v>130</v>
      </c>
      <c r="T393" s="175" t="str">
        <f>VLOOKUP($S393,Mapping!$C:$C,1,0)</f>
        <v>Manual</v>
      </c>
      <c r="U393" s="175"/>
      <c r="V393" s="175"/>
      <c r="W393" s="175"/>
      <c r="X393" s="175"/>
      <c r="Y393" s="174" t="s">
        <v>469</v>
      </c>
      <c r="Z393" s="174" t="s">
        <v>560</v>
      </c>
      <c r="AA393" s="174" t="s">
        <v>22</v>
      </c>
      <c r="AB393" s="174"/>
      <c r="AC393" s="175"/>
      <c r="AD393" s="174" t="s">
        <v>512</v>
      </c>
      <c r="AE393" s="175"/>
      <c r="AF393" s="175"/>
      <c r="AG393" s="176">
        <v>43164.332962962966</v>
      </c>
      <c r="AH393" s="176">
        <v>43164.333240740743</v>
      </c>
      <c r="AI393" s="175"/>
      <c r="AJ393" s="175"/>
      <c r="AK393" s="178">
        <v>1</v>
      </c>
    </row>
    <row r="394" spans="1:37" x14ac:dyDescent="0.25">
      <c r="A394" s="174" t="s">
        <v>461</v>
      </c>
      <c r="B394" s="174" t="s">
        <v>1600</v>
      </c>
      <c r="C394" s="175"/>
      <c r="D394" s="174" t="s">
        <v>478</v>
      </c>
      <c r="E394" s="174" t="s">
        <v>479</v>
      </c>
      <c r="F394" s="176">
        <v>43164</v>
      </c>
      <c r="G394" s="176">
        <v>43165</v>
      </c>
      <c r="H394" s="174" t="s">
        <v>29</v>
      </c>
      <c r="I394" s="175" t="str">
        <f>VLOOKUP($H394,Mapping!$A:$A,1,0)</f>
        <v>NO BROKER SEND</v>
      </c>
      <c r="J394" s="177" t="s">
        <v>466</v>
      </c>
      <c r="K394" s="174" t="s">
        <v>475</v>
      </c>
      <c r="L394" s="178">
        <v>1766000</v>
      </c>
      <c r="M394" s="178">
        <v>99.1015625</v>
      </c>
      <c r="N394" s="178">
        <v>2.8542782285000001</v>
      </c>
      <c r="O394" s="178">
        <v>1752682.5854627101</v>
      </c>
      <c r="P394" s="174" t="s">
        <v>337</v>
      </c>
      <c r="Q394" s="174" t="s">
        <v>476</v>
      </c>
      <c r="R394" s="174" t="s">
        <v>22</v>
      </c>
      <c r="S394" s="174" t="s">
        <v>130</v>
      </c>
      <c r="T394" s="175" t="str">
        <f>VLOOKUP($S394,Mapping!$C:$C,1,0)</f>
        <v>Manual</v>
      </c>
      <c r="U394" s="175"/>
      <c r="V394" s="175"/>
      <c r="W394" s="175"/>
      <c r="X394" s="175"/>
      <c r="Y394" s="174" t="s">
        <v>469</v>
      </c>
      <c r="Z394" s="174" t="s">
        <v>481</v>
      </c>
      <c r="AA394" s="174" t="s">
        <v>22</v>
      </c>
      <c r="AB394" s="174"/>
      <c r="AC394" s="175"/>
      <c r="AD394" s="174" t="s">
        <v>512</v>
      </c>
      <c r="AE394" s="175"/>
      <c r="AF394" s="175"/>
      <c r="AG394" s="176">
        <v>43164.332962962966</v>
      </c>
      <c r="AH394" s="176">
        <v>43164.333252314813</v>
      </c>
      <c r="AI394" s="175"/>
      <c r="AJ394" s="175"/>
      <c r="AK394" s="178">
        <v>1</v>
      </c>
    </row>
    <row r="395" spans="1:37" x14ac:dyDescent="0.25">
      <c r="A395" s="174" t="s">
        <v>484</v>
      </c>
      <c r="B395" s="174" t="s">
        <v>1601</v>
      </c>
      <c r="C395" s="175"/>
      <c r="D395" s="174" t="s">
        <v>478</v>
      </c>
      <c r="E395" s="174" t="s">
        <v>491</v>
      </c>
      <c r="F395" s="176">
        <v>43164</v>
      </c>
      <c r="G395" s="176">
        <v>43166</v>
      </c>
      <c r="H395" s="174" t="s">
        <v>29</v>
      </c>
      <c r="I395" s="175" t="str">
        <f>VLOOKUP($H395,Mapping!$A:$A,1,0)</f>
        <v>NO BROKER SEND</v>
      </c>
      <c r="J395" s="177" t="s">
        <v>466</v>
      </c>
      <c r="K395" s="174" t="s">
        <v>1595</v>
      </c>
      <c r="L395" s="178">
        <v>4550000</v>
      </c>
      <c r="M395" s="178">
        <v>99.983999999999995</v>
      </c>
      <c r="N395" s="178">
        <v>3.5524867519000001</v>
      </c>
      <c r="O395" s="178">
        <v>4550169.1083333297</v>
      </c>
      <c r="P395" s="174" t="s">
        <v>337</v>
      </c>
      <c r="Q395" s="174" t="s">
        <v>1596</v>
      </c>
      <c r="R395" s="174" t="s">
        <v>22</v>
      </c>
      <c r="S395" s="174" t="s">
        <v>130</v>
      </c>
      <c r="T395" s="175" t="str">
        <f>VLOOKUP($S395,Mapping!$C:$C,1,0)</f>
        <v>Manual</v>
      </c>
      <c r="U395" s="175"/>
      <c r="V395" s="175"/>
      <c r="W395" s="175"/>
      <c r="X395" s="175"/>
      <c r="Y395" s="174" t="s">
        <v>1583</v>
      </c>
      <c r="Z395" s="174" t="s">
        <v>494</v>
      </c>
      <c r="AA395" s="174" t="s">
        <v>22</v>
      </c>
      <c r="AB395" s="174"/>
      <c r="AC395" s="175"/>
      <c r="AD395" s="174" t="s">
        <v>512</v>
      </c>
      <c r="AE395" s="175"/>
      <c r="AF395" s="175"/>
      <c r="AG395" s="176">
        <v>43164.332974537036</v>
      </c>
      <c r="AH395" s="176">
        <v>43164.333275462966</v>
      </c>
      <c r="AI395" s="175"/>
      <c r="AJ395" s="175"/>
      <c r="AK395" s="178">
        <v>1</v>
      </c>
    </row>
    <row r="396" spans="1:37" x14ac:dyDescent="0.25">
      <c r="A396" s="174" t="s">
        <v>461</v>
      </c>
      <c r="B396" s="174" t="s">
        <v>1602</v>
      </c>
      <c r="C396" s="175"/>
      <c r="D396" s="174" t="s">
        <v>478</v>
      </c>
      <c r="E396" s="174" t="s">
        <v>479</v>
      </c>
      <c r="F396" s="176">
        <v>43164</v>
      </c>
      <c r="G396" s="176">
        <v>43165</v>
      </c>
      <c r="H396" s="174" t="s">
        <v>29</v>
      </c>
      <c r="I396" s="175" t="str">
        <f>VLOOKUP($H396,Mapping!$A:$A,1,0)</f>
        <v>NO BROKER SEND</v>
      </c>
      <c r="J396" s="179" t="s">
        <v>486</v>
      </c>
      <c r="K396" s="174" t="s">
        <v>524</v>
      </c>
      <c r="L396" s="178">
        <v>2730000</v>
      </c>
      <c r="M396" s="178">
        <v>99.597656499999999</v>
      </c>
      <c r="N396" s="178">
        <v>2.3919637901000002</v>
      </c>
      <c r="O396" s="178">
        <v>-2722239.9865383999</v>
      </c>
      <c r="P396" s="174" t="s">
        <v>337</v>
      </c>
      <c r="Q396" s="174" t="s">
        <v>525</v>
      </c>
      <c r="R396" s="174" t="s">
        <v>22</v>
      </c>
      <c r="S396" s="174" t="s">
        <v>130</v>
      </c>
      <c r="T396" s="175" t="str">
        <f>VLOOKUP($S396,Mapping!$C:$C,1,0)</f>
        <v>Manual</v>
      </c>
      <c r="U396" s="175"/>
      <c r="V396" s="175"/>
      <c r="W396" s="175"/>
      <c r="X396" s="175"/>
      <c r="Y396" s="174" t="s">
        <v>469</v>
      </c>
      <c r="Z396" s="174" t="s">
        <v>481</v>
      </c>
      <c r="AA396" s="174" t="s">
        <v>22</v>
      </c>
      <c r="AB396" s="174"/>
      <c r="AC396" s="175"/>
      <c r="AD396" s="174" t="s">
        <v>512</v>
      </c>
      <c r="AE396" s="175"/>
      <c r="AF396" s="175"/>
      <c r="AG396" s="176">
        <v>43164.332974537036</v>
      </c>
      <c r="AH396" s="176">
        <v>43164.333287037036</v>
      </c>
      <c r="AI396" s="175"/>
      <c r="AJ396" s="175"/>
      <c r="AK396" s="178">
        <v>1</v>
      </c>
    </row>
    <row r="397" spans="1:37" x14ac:dyDescent="0.25">
      <c r="A397" s="174" t="s">
        <v>484</v>
      </c>
      <c r="B397" s="174" t="s">
        <v>1603</v>
      </c>
      <c r="C397" s="175"/>
      <c r="D397" s="174" t="s">
        <v>478</v>
      </c>
      <c r="E397" s="174" t="s">
        <v>479</v>
      </c>
      <c r="F397" s="176">
        <v>43164</v>
      </c>
      <c r="G397" s="176">
        <v>43166</v>
      </c>
      <c r="H397" s="174" t="s">
        <v>29</v>
      </c>
      <c r="I397" s="175" t="str">
        <f>VLOOKUP($H397,Mapping!$A:$A,1,0)</f>
        <v>NO BROKER SEND</v>
      </c>
      <c r="J397" s="177" t="s">
        <v>466</v>
      </c>
      <c r="K397" s="174" t="s">
        <v>1588</v>
      </c>
      <c r="L397" s="178">
        <v>1820000</v>
      </c>
      <c r="M397" s="178">
        <v>99.798000000000002</v>
      </c>
      <c r="N397" s="178">
        <v>3.6743754223999998</v>
      </c>
      <c r="O397" s="178">
        <v>1816692.65555556</v>
      </c>
      <c r="P397" s="174" t="s">
        <v>337</v>
      </c>
      <c r="Q397" s="174" t="s">
        <v>1589</v>
      </c>
      <c r="R397" s="174" t="s">
        <v>22</v>
      </c>
      <c r="S397" s="174" t="s">
        <v>130</v>
      </c>
      <c r="T397" s="175" t="str">
        <f>VLOOKUP($S397,Mapping!$C:$C,1,0)</f>
        <v>Manual</v>
      </c>
      <c r="U397" s="175"/>
      <c r="V397" s="175"/>
      <c r="W397" s="175"/>
      <c r="X397" s="175"/>
      <c r="Y397" s="174" t="s">
        <v>489</v>
      </c>
      <c r="Z397" s="174" t="s">
        <v>481</v>
      </c>
      <c r="AA397" s="174" t="s">
        <v>22</v>
      </c>
      <c r="AB397" s="174"/>
      <c r="AC397" s="175"/>
      <c r="AD397" s="174" t="s">
        <v>512</v>
      </c>
      <c r="AE397" s="175"/>
      <c r="AF397" s="175"/>
      <c r="AG397" s="176">
        <v>43164.332974537036</v>
      </c>
      <c r="AH397" s="176">
        <v>43164.333333333336</v>
      </c>
      <c r="AI397" s="175"/>
      <c r="AJ397" s="175"/>
      <c r="AK397" s="178">
        <v>1</v>
      </c>
    </row>
    <row r="398" spans="1:37" x14ac:dyDescent="0.25">
      <c r="A398" s="174" t="s">
        <v>484</v>
      </c>
      <c r="B398" s="174" t="s">
        <v>1604</v>
      </c>
      <c r="C398" s="175"/>
      <c r="D398" s="174" t="s">
        <v>478</v>
      </c>
      <c r="E398" s="174" t="s">
        <v>479</v>
      </c>
      <c r="F398" s="176">
        <v>43164</v>
      </c>
      <c r="G398" s="176">
        <v>43166</v>
      </c>
      <c r="H398" s="174" t="s">
        <v>29</v>
      </c>
      <c r="I398" s="175" t="str">
        <f>VLOOKUP($H398,Mapping!$A:$A,1,0)</f>
        <v>NO BROKER SEND</v>
      </c>
      <c r="J398" s="177" t="s">
        <v>466</v>
      </c>
      <c r="K398" s="174" t="s">
        <v>1592</v>
      </c>
      <c r="L398" s="178">
        <v>2730000</v>
      </c>
      <c r="M398" s="178">
        <v>99.936999999999998</v>
      </c>
      <c r="N398" s="178">
        <v>2.9222439742000001</v>
      </c>
      <c r="O398" s="178">
        <v>2728719.9333333299</v>
      </c>
      <c r="P398" s="174" t="s">
        <v>337</v>
      </c>
      <c r="Q398" s="174" t="s">
        <v>1593</v>
      </c>
      <c r="R398" s="174" t="s">
        <v>22</v>
      </c>
      <c r="S398" s="174" t="s">
        <v>130</v>
      </c>
      <c r="T398" s="175" t="str">
        <f>VLOOKUP($S398,Mapping!$C:$C,1,0)</f>
        <v>Manual</v>
      </c>
      <c r="U398" s="175"/>
      <c r="V398" s="175"/>
      <c r="W398" s="175"/>
      <c r="X398" s="175"/>
      <c r="Y398" s="174" t="s">
        <v>489</v>
      </c>
      <c r="Z398" s="174" t="s">
        <v>481</v>
      </c>
      <c r="AA398" s="174" t="s">
        <v>22</v>
      </c>
      <c r="AB398" s="174"/>
      <c r="AC398" s="175"/>
      <c r="AD398" s="174" t="s">
        <v>512</v>
      </c>
      <c r="AE398" s="175"/>
      <c r="AF398" s="175"/>
      <c r="AG398" s="176">
        <v>43164.332974537036</v>
      </c>
      <c r="AH398" s="176">
        <v>43164.333391203705</v>
      </c>
      <c r="AI398" s="175"/>
      <c r="AJ398" s="175"/>
      <c r="AK398" s="178">
        <v>1</v>
      </c>
    </row>
    <row r="399" spans="1:37" x14ac:dyDescent="0.25">
      <c r="A399" s="174" t="s">
        <v>484</v>
      </c>
      <c r="B399" s="174" t="s">
        <v>1605</v>
      </c>
      <c r="C399" s="175"/>
      <c r="D399" s="174" t="s">
        <v>478</v>
      </c>
      <c r="E399" s="174" t="s">
        <v>491</v>
      </c>
      <c r="F399" s="176">
        <v>43164</v>
      </c>
      <c r="G399" s="176">
        <v>43166</v>
      </c>
      <c r="H399" s="174" t="s">
        <v>29</v>
      </c>
      <c r="I399" s="175" t="str">
        <f>VLOOKUP($H399,Mapping!$A:$A,1,0)</f>
        <v>NO BROKER SEND</v>
      </c>
      <c r="J399" s="177" t="s">
        <v>466</v>
      </c>
      <c r="K399" s="174" t="s">
        <v>1581</v>
      </c>
      <c r="L399" s="178">
        <v>2730000</v>
      </c>
      <c r="M399" s="178">
        <v>99.867000000000004</v>
      </c>
      <c r="N399" s="178">
        <v>4.0342750432000001</v>
      </c>
      <c r="O399" s="178">
        <v>2726978.4966666703</v>
      </c>
      <c r="P399" s="174" t="s">
        <v>337</v>
      </c>
      <c r="Q399" s="174" t="s">
        <v>1582</v>
      </c>
      <c r="R399" s="174" t="s">
        <v>22</v>
      </c>
      <c r="S399" s="174" t="s">
        <v>130</v>
      </c>
      <c r="T399" s="175" t="str">
        <f>VLOOKUP($S399,Mapping!$C:$C,1,0)</f>
        <v>Manual</v>
      </c>
      <c r="U399" s="175"/>
      <c r="V399" s="175"/>
      <c r="W399" s="175"/>
      <c r="X399" s="175"/>
      <c r="Y399" s="174" t="s">
        <v>1583</v>
      </c>
      <c r="Z399" s="174" t="s">
        <v>494</v>
      </c>
      <c r="AA399" s="174" t="s">
        <v>22</v>
      </c>
      <c r="AB399" s="174"/>
      <c r="AC399" s="175"/>
      <c r="AD399" s="174" t="s">
        <v>512</v>
      </c>
      <c r="AE399" s="175"/>
      <c r="AF399" s="175"/>
      <c r="AG399" s="176">
        <v>43164.332974537036</v>
      </c>
      <c r="AH399" s="176">
        <v>43164.333425925928</v>
      </c>
      <c r="AI399" s="175"/>
      <c r="AJ399" s="175"/>
      <c r="AK399" s="178">
        <v>1</v>
      </c>
    </row>
    <row r="400" spans="1:37" x14ac:dyDescent="0.25">
      <c r="A400" s="174" t="s">
        <v>461</v>
      </c>
      <c r="B400" s="174" t="s">
        <v>1606</v>
      </c>
      <c r="C400" s="175"/>
      <c r="D400" s="174" t="s">
        <v>478</v>
      </c>
      <c r="E400" s="174" t="s">
        <v>558</v>
      </c>
      <c r="F400" s="176">
        <v>43164</v>
      </c>
      <c r="G400" s="176">
        <v>43165</v>
      </c>
      <c r="H400" s="174" t="s">
        <v>29</v>
      </c>
      <c r="I400" s="175" t="str">
        <f>VLOOKUP($H400,Mapping!$A:$A,1,0)</f>
        <v>NO BROKER SEND</v>
      </c>
      <c r="J400" s="179" t="s">
        <v>486</v>
      </c>
      <c r="K400" s="174" t="s">
        <v>475</v>
      </c>
      <c r="L400" s="178">
        <v>8655000</v>
      </c>
      <c r="M400" s="178">
        <v>99.1015625</v>
      </c>
      <c r="N400" s="178">
        <v>2.8542782285000001</v>
      </c>
      <c r="O400" s="178">
        <v>-8589732.6031595301</v>
      </c>
      <c r="P400" s="174" t="s">
        <v>337</v>
      </c>
      <c r="Q400" s="174" t="s">
        <v>476</v>
      </c>
      <c r="R400" s="174" t="s">
        <v>22</v>
      </c>
      <c r="S400" s="174" t="s">
        <v>130</v>
      </c>
      <c r="T400" s="175" t="str">
        <f>VLOOKUP($S400,Mapping!$C:$C,1,0)</f>
        <v>Manual</v>
      </c>
      <c r="U400" s="175"/>
      <c r="V400" s="175"/>
      <c r="W400" s="175"/>
      <c r="X400" s="175"/>
      <c r="Y400" s="174" t="s">
        <v>469</v>
      </c>
      <c r="Z400" s="174" t="s">
        <v>560</v>
      </c>
      <c r="AA400" s="174" t="s">
        <v>22</v>
      </c>
      <c r="AB400" s="174"/>
      <c r="AC400" s="175"/>
      <c r="AD400" s="174" t="s">
        <v>512</v>
      </c>
      <c r="AE400" s="175"/>
      <c r="AF400" s="175"/>
      <c r="AG400" s="176">
        <v>43164.332986111112</v>
      </c>
      <c r="AH400" s="176">
        <v>43164.333437499998</v>
      </c>
      <c r="AI400" s="175"/>
      <c r="AJ400" s="175"/>
      <c r="AK400" s="178">
        <v>1</v>
      </c>
    </row>
    <row r="401" spans="1:37" x14ac:dyDescent="0.25">
      <c r="A401" s="174" t="s">
        <v>461</v>
      </c>
      <c r="B401" s="174" t="s">
        <v>1607</v>
      </c>
      <c r="C401" s="175"/>
      <c r="D401" s="174" t="s">
        <v>478</v>
      </c>
      <c r="E401" s="174" t="s">
        <v>479</v>
      </c>
      <c r="F401" s="176">
        <v>43164</v>
      </c>
      <c r="G401" s="176">
        <v>43165</v>
      </c>
      <c r="H401" s="174" t="s">
        <v>29</v>
      </c>
      <c r="I401" s="175" t="str">
        <f>VLOOKUP($H401,Mapping!$A:$A,1,0)</f>
        <v>NO BROKER SEND</v>
      </c>
      <c r="J401" s="179" t="s">
        <v>486</v>
      </c>
      <c r="K401" s="174" t="s">
        <v>475</v>
      </c>
      <c r="L401" s="178">
        <v>1766000</v>
      </c>
      <c r="M401" s="178">
        <v>99.1015625</v>
      </c>
      <c r="N401" s="178">
        <v>2.8542782285000001</v>
      </c>
      <c r="O401" s="178">
        <v>-1752682.5854627101</v>
      </c>
      <c r="P401" s="174" t="s">
        <v>337</v>
      </c>
      <c r="Q401" s="174" t="s">
        <v>476</v>
      </c>
      <c r="R401" s="174" t="s">
        <v>22</v>
      </c>
      <c r="S401" s="174" t="s">
        <v>130</v>
      </c>
      <c r="T401" s="175" t="str">
        <f>VLOOKUP($S401,Mapping!$C:$C,1,0)</f>
        <v>Manual</v>
      </c>
      <c r="U401" s="175"/>
      <c r="V401" s="175"/>
      <c r="W401" s="175"/>
      <c r="X401" s="175"/>
      <c r="Y401" s="174" t="s">
        <v>469</v>
      </c>
      <c r="Z401" s="174" t="s">
        <v>481</v>
      </c>
      <c r="AA401" s="174" t="s">
        <v>22</v>
      </c>
      <c r="AB401" s="174"/>
      <c r="AC401" s="175"/>
      <c r="AD401" s="174" t="s">
        <v>512</v>
      </c>
      <c r="AE401" s="175"/>
      <c r="AF401" s="175"/>
      <c r="AG401" s="176">
        <v>43164.332986111112</v>
      </c>
      <c r="AH401" s="176">
        <v>43164.333449074074</v>
      </c>
      <c r="AI401" s="175"/>
      <c r="AJ401" s="175"/>
      <c r="AK401" s="178">
        <v>1</v>
      </c>
    </row>
    <row r="402" spans="1:37" x14ac:dyDescent="0.25">
      <c r="A402" s="174" t="s">
        <v>461</v>
      </c>
      <c r="B402" s="174" t="s">
        <v>1608</v>
      </c>
      <c r="C402" s="175"/>
      <c r="D402" s="174" t="s">
        <v>478</v>
      </c>
      <c r="E402" s="174" t="s">
        <v>491</v>
      </c>
      <c r="F402" s="176">
        <v>43164</v>
      </c>
      <c r="G402" s="176">
        <v>43165</v>
      </c>
      <c r="H402" s="174" t="s">
        <v>29</v>
      </c>
      <c r="I402" s="175" t="str">
        <f>VLOOKUP($H402,Mapping!$A:$A,1,0)</f>
        <v>NO BROKER SEND</v>
      </c>
      <c r="J402" s="179" t="s">
        <v>486</v>
      </c>
      <c r="K402" s="174" t="s">
        <v>475</v>
      </c>
      <c r="L402" s="178">
        <v>2594000</v>
      </c>
      <c r="M402" s="178">
        <v>99.1015625</v>
      </c>
      <c r="N402" s="178">
        <v>2.8542782285000001</v>
      </c>
      <c r="O402" s="178">
        <v>-2574438.6334599396</v>
      </c>
      <c r="P402" s="174" t="s">
        <v>337</v>
      </c>
      <c r="Q402" s="174" t="s">
        <v>476</v>
      </c>
      <c r="R402" s="174" t="s">
        <v>22</v>
      </c>
      <c r="S402" s="174" t="s">
        <v>130</v>
      </c>
      <c r="T402" s="175" t="str">
        <f>VLOOKUP($S402,Mapping!$C:$C,1,0)</f>
        <v>Manual</v>
      </c>
      <c r="U402" s="175"/>
      <c r="V402" s="175"/>
      <c r="W402" s="175"/>
      <c r="X402" s="175"/>
      <c r="Y402" s="174" t="s">
        <v>469</v>
      </c>
      <c r="Z402" s="174" t="s">
        <v>494</v>
      </c>
      <c r="AA402" s="174" t="s">
        <v>22</v>
      </c>
      <c r="AB402" s="174"/>
      <c r="AC402" s="175"/>
      <c r="AD402" s="174" t="s">
        <v>512</v>
      </c>
      <c r="AE402" s="175"/>
      <c r="AF402" s="175"/>
      <c r="AG402" s="176">
        <v>43164.332986111112</v>
      </c>
      <c r="AH402" s="176">
        <v>43164.333483796298</v>
      </c>
      <c r="AI402" s="175"/>
      <c r="AJ402" s="175"/>
      <c r="AK402" s="178">
        <v>1</v>
      </c>
    </row>
    <row r="403" spans="1:37" x14ac:dyDescent="0.25">
      <c r="A403" s="174" t="s">
        <v>484</v>
      </c>
      <c r="B403" s="174" t="s">
        <v>1609</v>
      </c>
      <c r="C403" s="175"/>
      <c r="D403" s="174" t="s">
        <v>478</v>
      </c>
      <c r="E403" s="174" t="s">
        <v>558</v>
      </c>
      <c r="F403" s="176">
        <v>43164</v>
      </c>
      <c r="G403" s="176">
        <v>43166</v>
      </c>
      <c r="H403" s="174" t="s">
        <v>29</v>
      </c>
      <c r="I403" s="175" t="str">
        <f>VLOOKUP($H403,Mapping!$A:$A,1,0)</f>
        <v>NO BROKER SEND</v>
      </c>
      <c r="J403" s="179" t="s">
        <v>486</v>
      </c>
      <c r="K403" s="174" t="s">
        <v>1610</v>
      </c>
      <c r="L403" s="178">
        <v>9100000</v>
      </c>
      <c r="M403" s="178">
        <v>99.608999999999995</v>
      </c>
      <c r="N403" s="178">
        <v>4.0139009558999996</v>
      </c>
      <c r="O403" s="178">
        <v>-9066426.0555555597</v>
      </c>
      <c r="P403" s="174" t="s">
        <v>337</v>
      </c>
      <c r="Q403" s="174" t="s">
        <v>1611</v>
      </c>
      <c r="R403" s="174" t="s">
        <v>22</v>
      </c>
      <c r="S403" s="174" t="s">
        <v>130</v>
      </c>
      <c r="T403" s="175" t="str">
        <f>VLOOKUP($S403,Mapping!$C:$C,1,0)</f>
        <v>Manual</v>
      </c>
      <c r="U403" s="175"/>
      <c r="V403" s="175"/>
      <c r="W403" s="175"/>
      <c r="X403" s="175"/>
      <c r="Y403" s="174" t="s">
        <v>489</v>
      </c>
      <c r="Z403" s="174" t="s">
        <v>560</v>
      </c>
      <c r="AA403" s="174" t="s">
        <v>22</v>
      </c>
      <c r="AB403" s="174"/>
      <c r="AC403" s="175"/>
      <c r="AD403" s="174" t="s">
        <v>512</v>
      </c>
      <c r="AE403" s="175"/>
      <c r="AF403" s="175"/>
      <c r="AG403" s="176">
        <v>43164.333148148151</v>
      </c>
      <c r="AH403" s="176">
        <v>43164.333726851852</v>
      </c>
      <c r="AI403" s="175"/>
      <c r="AJ403" s="175"/>
      <c r="AK403" s="178">
        <v>1</v>
      </c>
    </row>
    <row r="404" spans="1:37" x14ac:dyDescent="0.25">
      <c r="A404" s="174" t="s">
        <v>484</v>
      </c>
      <c r="B404" s="174" t="s">
        <v>1612</v>
      </c>
      <c r="C404" s="175"/>
      <c r="D404" s="174" t="s">
        <v>478</v>
      </c>
      <c r="E404" s="174" t="s">
        <v>582</v>
      </c>
      <c r="F404" s="176">
        <v>43164</v>
      </c>
      <c r="G404" s="176">
        <v>43166</v>
      </c>
      <c r="H404" s="174" t="s">
        <v>29</v>
      </c>
      <c r="I404" s="175" t="str">
        <f>VLOOKUP($H404,Mapping!$A:$A,1,0)</f>
        <v>NO BROKER SEND</v>
      </c>
      <c r="J404" s="179" t="s">
        <v>486</v>
      </c>
      <c r="K404" s="174" t="s">
        <v>1610</v>
      </c>
      <c r="L404" s="178">
        <v>4550000</v>
      </c>
      <c r="M404" s="178">
        <v>99.608999999999995</v>
      </c>
      <c r="N404" s="178">
        <v>4.0139009558999996</v>
      </c>
      <c r="O404" s="178">
        <v>-4533213.0277777798</v>
      </c>
      <c r="P404" s="174" t="s">
        <v>337</v>
      </c>
      <c r="Q404" s="174" t="s">
        <v>1611</v>
      </c>
      <c r="R404" s="174" t="s">
        <v>22</v>
      </c>
      <c r="S404" s="174" t="s">
        <v>130</v>
      </c>
      <c r="T404" s="175" t="str">
        <f>VLOOKUP($S404,Mapping!$C:$C,1,0)</f>
        <v>Manual</v>
      </c>
      <c r="U404" s="175"/>
      <c r="V404" s="175"/>
      <c r="W404" s="175"/>
      <c r="X404" s="175"/>
      <c r="Y404" s="174" t="s">
        <v>489</v>
      </c>
      <c r="Z404" s="174" t="s">
        <v>586</v>
      </c>
      <c r="AA404" s="174" t="s">
        <v>22</v>
      </c>
      <c r="AB404" s="174"/>
      <c r="AC404" s="175"/>
      <c r="AD404" s="174" t="s">
        <v>512</v>
      </c>
      <c r="AE404" s="175"/>
      <c r="AF404" s="175"/>
      <c r="AG404" s="176">
        <v>43164.333298611113</v>
      </c>
      <c r="AH404" s="176">
        <v>43164.333784722221</v>
      </c>
      <c r="AI404" s="175"/>
      <c r="AJ404" s="175"/>
      <c r="AK404" s="178">
        <v>1</v>
      </c>
    </row>
    <row r="405" spans="1:37" x14ac:dyDescent="0.25">
      <c r="A405" s="174" t="s">
        <v>484</v>
      </c>
      <c r="B405" s="174" t="s">
        <v>1613</v>
      </c>
      <c r="C405" s="175"/>
      <c r="D405" s="174" t="s">
        <v>478</v>
      </c>
      <c r="E405" s="174" t="s">
        <v>558</v>
      </c>
      <c r="F405" s="176">
        <v>43164</v>
      </c>
      <c r="G405" s="176">
        <v>43166</v>
      </c>
      <c r="H405" s="174" t="s">
        <v>29</v>
      </c>
      <c r="I405" s="175" t="str">
        <f>VLOOKUP($H405,Mapping!$A:$A,1,0)</f>
        <v>NO BROKER SEND</v>
      </c>
      <c r="J405" s="177" t="s">
        <v>466</v>
      </c>
      <c r="K405" s="174" t="s">
        <v>1610</v>
      </c>
      <c r="L405" s="178">
        <v>9100000</v>
      </c>
      <c r="M405" s="178">
        <v>99.608999999999995</v>
      </c>
      <c r="N405" s="178">
        <v>4.0139009558999996</v>
      </c>
      <c r="O405" s="178">
        <v>9066426.0555555597</v>
      </c>
      <c r="P405" s="174" t="s">
        <v>337</v>
      </c>
      <c r="Q405" s="174" t="s">
        <v>1611</v>
      </c>
      <c r="R405" s="174" t="s">
        <v>22</v>
      </c>
      <c r="S405" s="174" t="s">
        <v>130</v>
      </c>
      <c r="T405" s="175" t="str">
        <f>VLOOKUP($S405,Mapping!$C:$C,1,0)</f>
        <v>Manual</v>
      </c>
      <c r="U405" s="175"/>
      <c r="V405" s="175"/>
      <c r="W405" s="175"/>
      <c r="X405" s="175"/>
      <c r="Y405" s="174" t="s">
        <v>489</v>
      </c>
      <c r="Z405" s="174" t="s">
        <v>560</v>
      </c>
      <c r="AA405" s="174" t="s">
        <v>22</v>
      </c>
      <c r="AB405" s="174"/>
      <c r="AC405" s="175"/>
      <c r="AD405" s="174" t="s">
        <v>512</v>
      </c>
      <c r="AE405" s="175"/>
      <c r="AF405" s="175"/>
      <c r="AG405" s="176">
        <v>43164.333310185182</v>
      </c>
      <c r="AH405" s="176">
        <v>43164.333796296298</v>
      </c>
      <c r="AI405" s="175"/>
      <c r="AJ405" s="175"/>
      <c r="AK405" s="178">
        <v>1</v>
      </c>
    </row>
    <row r="406" spans="1:37" x14ac:dyDescent="0.25">
      <c r="A406" s="174" t="s">
        <v>484</v>
      </c>
      <c r="B406" s="174" t="s">
        <v>1614</v>
      </c>
      <c r="C406" s="175"/>
      <c r="D406" s="174" t="s">
        <v>478</v>
      </c>
      <c r="E406" s="174" t="s">
        <v>582</v>
      </c>
      <c r="F406" s="176">
        <v>43164</v>
      </c>
      <c r="G406" s="176">
        <v>43166</v>
      </c>
      <c r="H406" s="174" t="s">
        <v>29</v>
      </c>
      <c r="I406" s="175" t="str">
        <f>VLOOKUP($H406,Mapping!$A:$A,1,0)</f>
        <v>NO BROKER SEND</v>
      </c>
      <c r="J406" s="177" t="s">
        <v>466</v>
      </c>
      <c r="K406" s="174" t="s">
        <v>1610</v>
      </c>
      <c r="L406" s="178">
        <v>4550000</v>
      </c>
      <c r="M406" s="178">
        <v>99.608999999999995</v>
      </c>
      <c r="N406" s="178">
        <v>4.0139009558999996</v>
      </c>
      <c r="O406" s="178">
        <v>4533213.0277777798</v>
      </c>
      <c r="P406" s="174" t="s">
        <v>337</v>
      </c>
      <c r="Q406" s="174" t="s">
        <v>1611</v>
      </c>
      <c r="R406" s="174" t="s">
        <v>22</v>
      </c>
      <c r="S406" s="174" t="s">
        <v>130</v>
      </c>
      <c r="T406" s="175" t="str">
        <f>VLOOKUP($S406,Mapping!$C:$C,1,0)</f>
        <v>Manual</v>
      </c>
      <c r="U406" s="175"/>
      <c r="V406" s="175"/>
      <c r="W406" s="175"/>
      <c r="X406" s="175"/>
      <c r="Y406" s="174" t="s">
        <v>489</v>
      </c>
      <c r="Z406" s="174" t="s">
        <v>586</v>
      </c>
      <c r="AA406" s="174" t="s">
        <v>22</v>
      </c>
      <c r="AB406" s="174"/>
      <c r="AC406" s="175"/>
      <c r="AD406" s="174" t="s">
        <v>512</v>
      </c>
      <c r="AE406" s="175"/>
      <c r="AF406" s="175"/>
      <c r="AG406" s="176">
        <v>43164.333460648151</v>
      </c>
      <c r="AH406" s="176">
        <v>43164.333854166667</v>
      </c>
      <c r="AI406" s="175"/>
      <c r="AJ406" s="175"/>
      <c r="AK406" s="178">
        <v>1</v>
      </c>
    </row>
    <row r="407" spans="1:37" x14ac:dyDescent="0.25">
      <c r="A407" s="174" t="s">
        <v>484</v>
      </c>
      <c r="B407" s="174" t="s">
        <v>1619</v>
      </c>
      <c r="C407" s="175"/>
      <c r="D407" s="174" t="s">
        <v>478</v>
      </c>
      <c r="E407" s="174" t="s">
        <v>582</v>
      </c>
      <c r="F407" s="176">
        <v>43164</v>
      </c>
      <c r="G407" s="176">
        <v>43166</v>
      </c>
      <c r="H407" s="174" t="s">
        <v>29</v>
      </c>
      <c r="I407" s="175" t="str">
        <f>VLOOKUP($H407,Mapping!$A:$A,1,0)</f>
        <v>NO BROKER SEND</v>
      </c>
      <c r="J407" s="179" t="s">
        <v>486</v>
      </c>
      <c r="K407" s="174" t="s">
        <v>1616</v>
      </c>
      <c r="L407" s="178">
        <v>9100000</v>
      </c>
      <c r="M407" s="178">
        <v>99.61</v>
      </c>
      <c r="N407" s="178">
        <v>0.86077062520000003</v>
      </c>
      <c r="O407" s="178">
        <v>-9065932.9215000011</v>
      </c>
      <c r="P407" s="174" t="s">
        <v>337</v>
      </c>
      <c r="Q407" s="174" t="s">
        <v>1617</v>
      </c>
      <c r="R407" s="174" t="s">
        <v>22</v>
      </c>
      <c r="S407" s="174" t="s">
        <v>130</v>
      </c>
      <c r="T407" s="175" t="str">
        <f>VLOOKUP($S407,Mapping!$C:$C,1,0)</f>
        <v>Manual</v>
      </c>
      <c r="U407" s="175"/>
      <c r="V407" s="175"/>
      <c r="W407" s="175"/>
      <c r="X407" s="175"/>
      <c r="Y407" s="174" t="s">
        <v>489</v>
      </c>
      <c r="Z407" s="174" t="s">
        <v>586</v>
      </c>
      <c r="AA407" s="174" t="s">
        <v>22</v>
      </c>
      <c r="AB407" s="174"/>
      <c r="AC407" s="175"/>
      <c r="AD407" s="174" t="s">
        <v>512</v>
      </c>
      <c r="AE407" s="175"/>
      <c r="AF407" s="175"/>
      <c r="AG407" s="176">
        <v>43164.361898148149</v>
      </c>
      <c r="AH407" s="176">
        <v>43164.361956018518</v>
      </c>
      <c r="AI407" s="175"/>
      <c r="AJ407" s="175"/>
      <c r="AK407" s="178">
        <v>1</v>
      </c>
    </row>
    <row r="408" spans="1:37" x14ac:dyDescent="0.25">
      <c r="A408" s="174" t="s">
        <v>484</v>
      </c>
      <c r="B408" s="174" t="s">
        <v>1620</v>
      </c>
      <c r="C408" s="175"/>
      <c r="D408" s="174" t="s">
        <v>478</v>
      </c>
      <c r="E408" s="174" t="s">
        <v>582</v>
      </c>
      <c r="F408" s="176">
        <v>43164</v>
      </c>
      <c r="G408" s="176">
        <v>43166</v>
      </c>
      <c r="H408" s="174" t="s">
        <v>29</v>
      </c>
      <c r="I408" s="175" t="str">
        <f>VLOOKUP($H408,Mapping!$A:$A,1,0)</f>
        <v>NO BROKER SEND</v>
      </c>
      <c r="J408" s="177" t="s">
        <v>466</v>
      </c>
      <c r="K408" s="174" t="s">
        <v>1616</v>
      </c>
      <c r="L408" s="178">
        <v>9100000</v>
      </c>
      <c r="M408" s="178">
        <v>99.61</v>
      </c>
      <c r="N408" s="178">
        <v>0.86077062520000003</v>
      </c>
      <c r="O408" s="178">
        <v>9065932.9215000011</v>
      </c>
      <c r="P408" s="174" t="s">
        <v>337</v>
      </c>
      <c r="Q408" s="174" t="s">
        <v>1617</v>
      </c>
      <c r="R408" s="174" t="s">
        <v>22</v>
      </c>
      <c r="S408" s="174" t="s">
        <v>130</v>
      </c>
      <c r="T408" s="175" t="str">
        <f>VLOOKUP($S408,Mapping!$C:$C,1,0)</f>
        <v>Manual</v>
      </c>
      <c r="U408" s="175"/>
      <c r="V408" s="175"/>
      <c r="W408" s="175"/>
      <c r="X408" s="175"/>
      <c r="Y408" s="174" t="s">
        <v>489</v>
      </c>
      <c r="Z408" s="174" t="s">
        <v>586</v>
      </c>
      <c r="AA408" s="174" t="s">
        <v>22</v>
      </c>
      <c r="AB408" s="174"/>
      <c r="AC408" s="175"/>
      <c r="AD408" s="174" t="s">
        <v>512</v>
      </c>
      <c r="AE408" s="175"/>
      <c r="AF408" s="175"/>
      <c r="AG408" s="176">
        <v>43164.361909722225</v>
      </c>
      <c r="AH408" s="176">
        <v>43164.361979166664</v>
      </c>
      <c r="AI408" s="175"/>
      <c r="AJ408" s="175"/>
      <c r="AK408" s="178">
        <v>1</v>
      </c>
    </row>
    <row r="409" spans="1:37" x14ac:dyDescent="0.25">
      <c r="A409" s="174" t="s">
        <v>484</v>
      </c>
      <c r="B409" s="174" t="s">
        <v>1623</v>
      </c>
      <c r="C409" s="175"/>
      <c r="D409" s="174" t="s">
        <v>478</v>
      </c>
      <c r="E409" s="174" t="s">
        <v>558</v>
      </c>
      <c r="F409" s="176">
        <v>43164</v>
      </c>
      <c r="G409" s="176">
        <v>43166</v>
      </c>
      <c r="H409" s="174" t="s">
        <v>29</v>
      </c>
      <c r="I409" s="175" t="str">
        <f>VLOOKUP($H409,Mapping!$A:$A,1,0)</f>
        <v>NO BROKER SEND</v>
      </c>
      <c r="J409" s="179" t="s">
        <v>486</v>
      </c>
      <c r="K409" s="174" t="s">
        <v>1616</v>
      </c>
      <c r="L409" s="178">
        <v>18200000</v>
      </c>
      <c r="M409" s="178">
        <v>99.61</v>
      </c>
      <c r="N409" s="178">
        <v>0.86077062520000003</v>
      </c>
      <c r="O409" s="178">
        <v>-18131865.843000002</v>
      </c>
      <c r="P409" s="174" t="s">
        <v>337</v>
      </c>
      <c r="Q409" s="174" t="s">
        <v>1617</v>
      </c>
      <c r="R409" s="174" t="s">
        <v>22</v>
      </c>
      <c r="S409" s="174" t="s">
        <v>130</v>
      </c>
      <c r="T409" s="175" t="str">
        <f>VLOOKUP($S409,Mapping!$C:$C,1,0)</f>
        <v>Manual</v>
      </c>
      <c r="U409" s="175"/>
      <c r="V409" s="175"/>
      <c r="W409" s="175"/>
      <c r="X409" s="175"/>
      <c r="Y409" s="174" t="s">
        <v>489</v>
      </c>
      <c r="Z409" s="174" t="s">
        <v>560</v>
      </c>
      <c r="AA409" s="174" t="s">
        <v>22</v>
      </c>
      <c r="AB409" s="174"/>
      <c r="AC409" s="175"/>
      <c r="AD409" s="174" t="s">
        <v>512</v>
      </c>
      <c r="AE409" s="175"/>
      <c r="AF409" s="175"/>
      <c r="AG409" s="176">
        <v>43164.363298611112</v>
      </c>
      <c r="AH409" s="176">
        <v>43164.363356481481</v>
      </c>
      <c r="AI409" s="175"/>
      <c r="AJ409" s="175"/>
      <c r="AK409" s="178">
        <v>1</v>
      </c>
    </row>
    <row r="410" spans="1:37" x14ac:dyDescent="0.25">
      <c r="A410" s="174" t="s">
        <v>484</v>
      </c>
      <c r="B410" s="174" t="s">
        <v>1624</v>
      </c>
      <c r="C410" s="175"/>
      <c r="D410" s="174" t="s">
        <v>478</v>
      </c>
      <c r="E410" s="174" t="s">
        <v>558</v>
      </c>
      <c r="F410" s="176">
        <v>43164</v>
      </c>
      <c r="G410" s="176">
        <v>43166</v>
      </c>
      <c r="H410" s="174" t="s">
        <v>29</v>
      </c>
      <c r="I410" s="175" t="str">
        <f>VLOOKUP($H410,Mapping!$A:$A,1,0)</f>
        <v>NO BROKER SEND</v>
      </c>
      <c r="J410" s="177" t="s">
        <v>466</v>
      </c>
      <c r="K410" s="174" t="s">
        <v>1616</v>
      </c>
      <c r="L410" s="178">
        <v>18200000</v>
      </c>
      <c r="M410" s="178">
        <v>99.61</v>
      </c>
      <c r="N410" s="178">
        <v>0.86077062520000003</v>
      </c>
      <c r="O410" s="178">
        <v>18131865.843000002</v>
      </c>
      <c r="P410" s="174" t="s">
        <v>337</v>
      </c>
      <c r="Q410" s="174" t="s">
        <v>1617</v>
      </c>
      <c r="R410" s="174" t="s">
        <v>22</v>
      </c>
      <c r="S410" s="174" t="s">
        <v>130</v>
      </c>
      <c r="T410" s="175" t="str">
        <f>VLOOKUP($S410,Mapping!$C:$C,1,0)</f>
        <v>Manual</v>
      </c>
      <c r="U410" s="175"/>
      <c r="V410" s="175"/>
      <c r="W410" s="175"/>
      <c r="X410" s="175"/>
      <c r="Y410" s="174" t="s">
        <v>489</v>
      </c>
      <c r="Z410" s="174" t="s">
        <v>560</v>
      </c>
      <c r="AA410" s="174" t="s">
        <v>22</v>
      </c>
      <c r="AB410" s="174"/>
      <c r="AC410" s="175"/>
      <c r="AD410" s="174" t="s">
        <v>512</v>
      </c>
      <c r="AE410" s="175"/>
      <c r="AF410" s="175"/>
      <c r="AG410" s="176">
        <v>43164.363680555558</v>
      </c>
      <c r="AH410" s="176">
        <v>43164.363761574074</v>
      </c>
      <c r="AI410" s="175"/>
      <c r="AJ410" s="175"/>
      <c r="AK410" s="178">
        <v>1</v>
      </c>
    </row>
    <row r="411" spans="1:37" x14ac:dyDescent="0.25">
      <c r="A411" s="174" t="s">
        <v>484</v>
      </c>
      <c r="B411" s="174" t="s">
        <v>1625</v>
      </c>
      <c r="C411" s="175"/>
      <c r="D411" s="174" t="s">
        <v>566</v>
      </c>
      <c r="E411" s="174" t="s">
        <v>1626</v>
      </c>
      <c r="F411" s="176">
        <v>43164</v>
      </c>
      <c r="G411" s="176">
        <v>43164</v>
      </c>
      <c r="H411" s="174" t="s">
        <v>29</v>
      </c>
      <c r="I411" s="175" t="str">
        <f>VLOOKUP($H411,Mapping!$A:$A,1,0)</f>
        <v>NO BROKER SEND</v>
      </c>
      <c r="J411" s="177" t="s">
        <v>466</v>
      </c>
      <c r="K411" s="174" t="s">
        <v>1627</v>
      </c>
      <c r="L411" s="178">
        <v>1000000</v>
      </c>
      <c r="M411" s="178">
        <v>78</v>
      </c>
      <c r="N411" s="178">
        <v>4.2411942755999998</v>
      </c>
      <c r="O411" s="178">
        <v>786277.39726026997</v>
      </c>
      <c r="P411" s="174" t="s">
        <v>386</v>
      </c>
      <c r="Q411" s="174" t="s">
        <v>1628</v>
      </c>
      <c r="R411" s="174" t="s">
        <v>22</v>
      </c>
      <c r="S411" s="174" t="s">
        <v>130</v>
      </c>
      <c r="T411" s="175" t="str">
        <f>VLOOKUP($S411,Mapping!$C:$C,1,0)</f>
        <v>Manual</v>
      </c>
      <c r="U411" s="175"/>
      <c r="V411" s="175"/>
      <c r="W411" s="175"/>
      <c r="X411" s="175"/>
      <c r="Y411" s="174" t="s">
        <v>640</v>
      </c>
      <c r="Z411" s="174" t="s">
        <v>1629</v>
      </c>
      <c r="AA411" s="174" t="s">
        <v>22</v>
      </c>
      <c r="AB411" s="174"/>
      <c r="AC411" s="175"/>
      <c r="AD411" s="174" t="s">
        <v>1630</v>
      </c>
      <c r="AE411" s="175"/>
      <c r="AF411" s="175"/>
      <c r="AG411" s="176">
        <v>43164.385821759257</v>
      </c>
      <c r="AH411" s="176">
        <v>43164.385879629626</v>
      </c>
      <c r="AI411" s="175"/>
      <c r="AJ411" s="175"/>
      <c r="AK411" s="178">
        <v>1</v>
      </c>
    </row>
    <row r="412" spans="1:37" x14ac:dyDescent="0.25">
      <c r="A412" s="174" t="s">
        <v>484</v>
      </c>
      <c r="B412" s="174" t="s">
        <v>1631</v>
      </c>
      <c r="C412" s="175"/>
      <c r="D412" s="174" t="s">
        <v>566</v>
      </c>
      <c r="E412" s="174" t="s">
        <v>1626</v>
      </c>
      <c r="F412" s="176">
        <v>43164</v>
      </c>
      <c r="G412" s="176">
        <v>43164</v>
      </c>
      <c r="H412" s="174" t="s">
        <v>29</v>
      </c>
      <c r="I412" s="175" t="str">
        <f>VLOOKUP($H412,Mapping!$A:$A,1,0)</f>
        <v>NO BROKER SEND</v>
      </c>
      <c r="J412" s="177" t="s">
        <v>466</v>
      </c>
      <c r="K412" s="174" t="s">
        <v>1627</v>
      </c>
      <c r="L412" s="178">
        <v>1000000</v>
      </c>
      <c r="M412" s="178">
        <v>78</v>
      </c>
      <c r="N412" s="178">
        <v>4.2411942755999998</v>
      </c>
      <c r="O412" s="178">
        <v>786277.39726026997</v>
      </c>
      <c r="P412" s="174" t="s">
        <v>386</v>
      </c>
      <c r="Q412" s="174" t="s">
        <v>1628</v>
      </c>
      <c r="R412" s="174" t="s">
        <v>22</v>
      </c>
      <c r="S412" s="174" t="s">
        <v>130</v>
      </c>
      <c r="T412" s="175" t="str">
        <f>VLOOKUP($S412,Mapping!$C:$C,1,0)</f>
        <v>Manual</v>
      </c>
      <c r="U412" s="175"/>
      <c r="V412" s="175"/>
      <c r="W412" s="175"/>
      <c r="X412" s="175"/>
      <c r="Y412" s="174" t="s">
        <v>640</v>
      </c>
      <c r="Z412" s="174" t="s">
        <v>1629</v>
      </c>
      <c r="AA412" s="174" t="s">
        <v>22</v>
      </c>
      <c r="AB412" s="174"/>
      <c r="AC412" s="175"/>
      <c r="AD412" s="174" t="s">
        <v>1630</v>
      </c>
      <c r="AE412" s="175"/>
      <c r="AF412" s="175"/>
      <c r="AG412" s="176">
        <v>43164.385821759257</v>
      </c>
      <c r="AH412" s="176">
        <v>43164.38590277778</v>
      </c>
      <c r="AI412" s="175"/>
      <c r="AJ412" s="175"/>
      <c r="AK412" s="178">
        <v>1</v>
      </c>
    </row>
    <row r="413" spans="1:37" x14ac:dyDescent="0.25">
      <c r="A413" s="174" t="s">
        <v>484</v>
      </c>
      <c r="B413" s="174" t="s">
        <v>1632</v>
      </c>
      <c r="C413" s="175"/>
      <c r="D413" s="174" t="s">
        <v>566</v>
      </c>
      <c r="E413" s="174" t="s">
        <v>1626</v>
      </c>
      <c r="F413" s="176">
        <v>43164</v>
      </c>
      <c r="G413" s="176">
        <v>43164</v>
      </c>
      <c r="H413" s="174" t="s">
        <v>29</v>
      </c>
      <c r="I413" s="175" t="str">
        <f>VLOOKUP($H413,Mapping!$A:$A,1,0)</f>
        <v>NO BROKER SEND</v>
      </c>
      <c r="J413" s="179" t="s">
        <v>486</v>
      </c>
      <c r="K413" s="174" t="s">
        <v>1627</v>
      </c>
      <c r="L413" s="178">
        <v>1000000</v>
      </c>
      <c r="M413" s="178">
        <v>78</v>
      </c>
      <c r="N413" s="178">
        <v>4.2411942755999998</v>
      </c>
      <c r="O413" s="178">
        <v>-786277.39726026997</v>
      </c>
      <c r="P413" s="174" t="s">
        <v>386</v>
      </c>
      <c r="Q413" s="174" t="s">
        <v>1628</v>
      </c>
      <c r="R413" s="174" t="s">
        <v>22</v>
      </c>
      <c r="S413" s="174" t="s">
        <v>130</v>
      </c>
      <c r="T413" s="175" t="str">
        <f>VLOOKUP($S413,Mapping!$C:$C,1,0)</f>
        <v>Manual</v>
      </c>
      <c r="U413" s="175"/>
      <c r="V413" s="175"/>
      <c r="W413" s="175"/>
      <c r="X413" s="175"/>
      <c r="Y413" s="174" t="s">
        <v>640</v>
      </c>
      <c r="Z413" s="174" t="s">
        <v>1629</v>
      </c>
      <c r="AA413" s="174" t="s">
        <v>22</v>
      </c>
      <c r="AB413" s="174"/>
      <c r="AC413" s="175"/>
      <c r="AD413" s="174" t="s">
        <v>1630</v>
      </c>
      <c r="AE413" s="175"/>
      <c r="AF413" s="175"/>
      <c r="AG413" s="176">
        <v>43164.385833333334</v>
      </c>
      <c r="AH413" s="176">
        <v>43164.385914351849</v>
      </c>
      <c r="AI413" s="175"/>
      <c r="AJ413" s="175"/>
      <c r="AK413" s="178">
        <v>1</v>
      </c>
    </row>
    <row r="414" spans="1:37" x14ac:dyDescent="0.25">
      <c r="A414" s="174" t="s">
        <v>484</v>
      </c>
      <c r="B414" s="174" t="s">
        <v>1633</v>
      </c>
      <c r="C414" s="175"/>
      <c r="D414" s="174" t="s">
        <v>566</v>
      </c>
      <c r="E414" s="174" t="s">
        <v>1626</v>
      </c>
      <c r="F414" s="176">
        <v>43164</v>
      </c>
      <c r="G414" s="176">
        <v>43164</v>
      </c>
      <c r="H414" s="174" t="s">
        <v>29</v>
      </c>
      <c r="I414" s="175" t="str">
        <f>VLOOKUP($H414,Mapping!$A:$A,1,0)</f>
        <v>NO BROKER SEND</v>
      </c>
      <c r="J414" s="179" t="s">
        <v>486</v>
      </c>
      <c r="K414" s="174" t="s">
        <v>1627</v>
      </c>
      <c r="L414" s="178">
        <v>2000000</v>
      </c>
      <c r="M414" s="178">
        <v>78</v>
      </c>
      <c r="N414" s="178">
        <v>4.2411942755999998</v>
      </c>
      <c r="O414" s="178">
        <v>-1572554.7945205499</v>
      </c>
      <c r="P414" s="174" t="s">
        <v>386</v>
      </c>
      <c r="Q414" s="174" t="s">
        <v>1628</v>
      </c>
      <c r="R414" s="174" t="s">
        <v>22</v>
      </c>
      <c r="S414" s="174" t="s">
        <v>130</v>
      </c>
      <c r="T414" s="175" t="str">
        <f>VLOOKUP($S414,Mapping!$C:$C,1,0)</f>
        <v>Manual</v>
      </c>
      <c r="U414" s="175"/>
      <c r="V414" s="175"/>
      <c r="W414" s="175"/>
      <c r="X414" s="175"/>
      <c r="Y414" s="174" t="s">
        <v>640</v>
      </c>
      <c r="Z414" s="174" t="s">
        <v>1629</v>
      </c>
      <c r="AA414" s="174" t="s">
        <v>22</v>
      </c>
      <c r="AB414" s="174"/>
      <c r="AC414" s="175"/>
      <c r="AD414" s="174" t="s">
        <v>1630</v>
      </c>
      <c r="AE414" s="175"/>
      <c r="AF414" s="175"/>
      <c r="AG414" s="176">
        <v>43164.385833333334</v>
      </c>
      <c r="AH414" s="176">
        <v>43164.385925925926</v>
      </c>
      <c r="AI414" s="175"/>
      <c r="AJ414" s="175"/>
      <c r="AK414" s="178">
        <v>1</v>
      </c>
    </row>
    <row r="415" spans="1:37" x14ac:dyDescent="0.25">
      <c r="A415" s="174" t="s">
        <v>484</v>
      </c>
      <c r="B415" s="174" t="s">
        <v>1634</v>
      </c>
      <c r="C415" s="175"/>
      <c r="D415" s="174" t="s">
        <v>566</v>
      </c>
      <c r="E415" s="174" t="s">
        <v>1626</v>
      </c>
      <c r="F415" s="176">
        <v>43164</v>
      </c>
      <c r="G415" s="176">
        <v>43164</v>
      </c>
      <c r="H415" s="174" t="s">
        <v>29</v>
      </c>
      <c r="I415" s="175" t="str">
        <f>VLOOKUP($H415,Mapping!$A:$A,1,0)</f>
        <v>NO BROKER SEND</v>
      </c>
      <c r="J415" s="179" t="s">
        <v>486</v>
      </c>
      <c r="K415" s="174" t="s">
        <v>1627</v>
      </c>
      <c r="L415" s="178">
        <v>1000000</v>
      </c>
      <c r="M415" s="178">
        <v>78</v>
      </c>
      <c r="N415" s="178">
        <v>4.2411942755999998</v>
      </c>
      <c r="O415" s="178">
        <v>-786277.39726026997</v>
      </c>
      <c r="P415" s="174" t="s">
        <v>386</v>
      </c>
      <c r="Q415" s="174" t="s">
        <v>1628</v>
      </c>
      <c r="R415" s="174" t="s">
        <v>22</v>
      </c>
      <c r="S415" s="174" t="s">
        <v>130</v>
      </c>
      <c r="T415" s="175" t="str">
        <f>VLOOKUP($S415,Mapping!$C:$C,1,0)</f>
        <v>Manual</v>
      </c>
      <c r="U415" s="175"/>
      <c r="V415" s="175"/>
      <c r="W415" s="175"/>
      <c r="X415" s="175"/>
      <c r="Y415" s="174" t="s">
        <v>640</v>
      </c>
      <c r="Z415" s="174" t="s">
        <v>1629</v>
      </c>
      <c r="AA415" s="174" t="s">
        <v>22</v>
      </c>
      <c r="AB415" s="174"/>
      <c r="AC415" s="175"/>
      <c r="AD415" s="174" t="s">
        <v>1630</v>
      </c>
      <c r="AE415" s="175"/>
      <c r="AF415" s="175"/>
      <c r="AG415" s="176">
        <v>43164.385821759257</v>
      </c>
      <c r="AH415" s="176">
        <v>43164.385937500003</v>
      </c>
      <c r="AI415" s="175"/>
      <c r="AJ415" s="175"/>
      <c r="AK415" s="178">
        <v>1</v>
      </c>
    </row>
    <row r="416" spans="1:37" x14ac:dyDescent="0.25">
      <c r="A416" s="174" t="s">
        <v>484</v>
      </c>
      <c r="B416" s="174" t="s">
        <v>1635</v>
      </c>
      <c r="C416" s="175"/>
      <c r="D416" s="174" t="s">
        <v>566</v>
      </c>
      <c r="E416" s="174" t="s">
        <v>1626</v>
      </c>
      <c r="F416" s="176">
        <v>43164</v>
      </c>
      <c r="G416" s="176">
        <v>43164</v>
      </c>
      <c r="H416" s="174" t="s">
        <v>29</v>
      </c>
      <c r="I416" s="175" t="str">
        <f>VLOOKUP($H416,Mapping!$A:$A,1,0)</f>
        <v>NO BROKER SEND</v>
      </c>
      <c r="J416" s="177" t="s">
        <v>466</v>
      </c>
      <c r="K416" s="174" t="s">
        <v>1627</v>
      </c>
      <c r="L416" s="178">
        <v>2000000</v>
      </c>
      <c r="M416" s="178">
        <v>78</v>
      </c>
      <c r="N416" s="178">
        <v>4.2411942755999998</v>
      </c>
      <c r="O416" s="178">
        <v>1572554.7945205499</v>
      </c>
      <c r="P416" s="174" t="s">
        <v>386</v>
      </c>
      <c r="Q416" s="174" t="s">
        <v>1628</v>
      </c>
      <c r="R416" s="174" t="s">
        <v>22</v>
      </c>
      <c r="S416" s="174" t="s">
        <v>130</v>
      </c>
      <c r="T416" s="175" t="str">
        <f>VLOOKUP($S416,Mapping!$C:$C,1,0)</f>
        <v>Manual</v>
      </c>
      <c r="U416" s="175"/>
      <c r="V416" s="175"/>
      <c r="W416" s="175"/>
      <c r="X416" s="175"/>
      <c r="Y416" s="174" t="s">
        <v>640</v>
      </c>
      <c r="Z416" s="174" t="s">
        <v>1629</v>
      </c>
      <c r="AA416" s="174" t="s">
        <v>22</v>
      </c>
      <c r="AB416" s="174"/>
      <c r="AC416" s="175"/>
      <c r="AD416" s="174" t="s">
        <v>1630</v>
      </c>
      <c r="AE416" s="175"/>
      <c r="AF416" s="175"/>
      <c r="AG416" s="176">
        <v>43164.385821759257</v>
      </c>
      <c r="AH416" s="176">
        <v>43164.385949074072</v>
      </c>
      <c r="AI416" s="175"/>
      <c r="AJ416" s="175"/>
      <c r="AK416" s="178">
        <v>1</v>
      </c>
    </row>
    <row r="417" spans="1:37" x14ac:dyDescent="0.25">
      <c r="A417" s="174" t="s">
        <v>484</v>
      </c>
      <c r="B417" s="174" t="s">
        <v>1636</v>
      </c>
      <c r="C417" s="175"/>
      <c r="D417" s="174" t="s">
        <v>478</v>
      </c>
      <c r="E417" s="174" t="s">
        <v>846</v>
      </c>
      <c r="F417" s="176">
        <v>43164</v>
      </c>
      <c r="G417" s="176">
        <v>43164</v>
      </c>
      <c r="H417" s="174" t="s">
        <v>29</v>
      </c>
      <c r="I417" s="175" t="str">
        <f>VLOOKUP($H417,Mapping!$A:$A,1,0)</f>
        <v>NO BROKER SEND</v>
      </c>
      <c r="J417" s="179" t="s">
        <v>486</v>
      </c>
      <c r="K417" s="174" t="s">
        <v>1637</v>
      </c>
      <c r="L417" s="178">
        <v>500000</v>
      </c>
      <c r="M417" s="178">
        <v>83.855769305899997</v>
      </c>
      <c r="N417" s="178">
        <v>8.6054556283999997</v>
      </c>
      <c r="O417" s="178">
        <v>-425889.95764060999</v>
      </c>
      <c r="P417" s="174" t="s">
        <v>337</v>
      </c>
      <c r="Q417" s="174" t="s">
        <v>1638</v>
      </c>
      <c r="R417" s="174" t="s">
        <v>22</v>
      </c>
      <c r="S417" s="174" t="s">
        <v>130</v>
      </c>
      <c r="T417" s="175" t="str">
        <f>VLOOKUP($S417,Mapping!$C:$C,1,0)</f>
        <v>Manual</v>
      </c>
      <c r="U417" s="175"/>
      <c r="V417" s="175"/>
      <c r="W417" s="175"/>
      <c r="X417" s="175"/>
      <c r="Y417" s="174" t="s">
        <v>489</v>
      </c>
      <c r="Z417" s="174" t="s">
        <v>851</v>
      </c>
      <c r="AA417" s="174" t="s">
        <v>22</v>
      </c>
      <c r="AB417" s="174"/>
      <c r="AC417" s="175"/>
      <c r="AD417" s="174" t="s">
        <v>1471</v>
      </c>
      <c r="AE417" s="175"/>
      <c r="AF417" s="175"/>
      <c r="AG417" s="176">
        <v>43164.412928240738</v>
      </c>
      <c r="AH417" s="176">
        <v>43164.41302083333</v>
      </c>
      <c r="AI417" s="175"/>
      <c r="AJ417" s="175"/>
      <c r="AK417" s="178">
        <v>1</v>
      </c>
    </row>
    <row r="418" spans="1:37" x14ac:dyDescent="0.25">
      <c r="A418" s="174" t="s">
        <v>484</v>
      </c>
      <c r="B418" s="174" t="s">
        <v>1639</v>
      </c>
      <c r="C418" s="175"/>
      <c r="D418" s="174" t="s">
        <v>478</v>
      </c>
      <c r="E418" s="174" t="s">
        <v>846</v>
      </c>
      <c r="F418" s="176">
        <v>43164</v>
      </c>
      <c r="G418" s="176">
        <v>43164</v>
      </c>
      <c r="H418" s="174" t="s">
        <v>29</v>
      </c>
      <c r="I418" s="175" t="str">
        <f>VLOOKUP($H418,Mapping!$A:$A,1,0)</f>
        <v>NO BROKER SEND</v>
      </c>
      <c r="J418" s="179" t="s">
        <v>486</v>
      </c>
      <c r="K418" s="174" t="s">
        <v>1637</v>
      </c>
      <c r="L418" s="178">
        <v>1000000</v>
      </c>
      <c r="M418" s="178">
        <v>83.855769305899997</v>
      </c>
      <c r="N418" s="178">
        <v>8.6054556283999997</v>
      </c>
      <c r="O418" s="178">
        <v>-851779.91528121999</v>
      </c>
      <c r="P418" s="174" t="s">
        <v>337</v>
      </c>
      <c r="Q418" s="174" t="s">
        <v>1638</v>
      </c>
      <c r="R418" s="174" t="s">
        <v>22</v>
      </c>
      <c r="S418" s="174" t="s">
        <v>130</v>
      </c>
      <c r="T418" s="175" t="str">
        <f>VLOOKUP($S418,Mapping!$C:$C,1,0)</f>
        <v>Manual</v>
      </c>
      <c r="U418" s="175"/>
      <c r="V418" s="175"/>
      <c r="W418" s="175"/>
      <c r="X418" s="175"/>
      <c r="Y418" s="174" t="s">
        <v>489</v>
      </c>
      <c r="Z418" s="174" t="s">
        <v>851</v>
      </c>
      <c r="AA418" s="174" t="s">
        <v>22</v>
      </c>
      <c r="AB418" s="174"/>
      <c r="AC418" s="175"/>
      <c r="AD418" s="174" t="s">
        <v>1471</v>
      </c>
      <c r="AE418" s="175"/>
      <c r="AF418" s="175"/>
      <c r="AG418" s="176">
        <v>43164.412928240738</v>
      </c>
      <c r="AH418" s="176">
        <v>43164.413032407407</v>
      </c>
      <c r="AI418" s="175"/>
      <c r="AJ418" s="175"/>
      <c r="AK418" s="178">
        <v>1</v>
      </c>
    </row>
    <row r="419" spans="1:37" x14ac:dyDescent="0.25">
      <c r="A419" s="174" t="s">
        <v>484</v>
      </c>
      <c r="B419" s="174" t="s">
        <v>1640</v>
      </c>
      <c r="C419" s="175"/>
      <c r="D419" s="174" t="s">
        <v>478</v>
      </c>
      <c r="E419" s="174" t="s">
        <v>846</v>
      </c>
      <c r="F419" s="176">
        <v>43164</v>
      </c>
      <c r="G419" s="176">
        <v>43164</v>
      </c>
      <c r="H419" s="174" t="s">
        <v>29</v>
      </c>
      <c r="I419" s="175" t="str">
        <f>VLOOKUP($H419,Mapping!$A:$A,1,0)</f>
        <v>NO BROKER SEND</v>
      </c>
      <c r="J419" s="179" t="s">
        <v>486</v>
      </c>
      <c r="K419" s="174" t="s">
        <v>1637</v>
      </c>
      <c r="L419" s="178">
        <v>500000</v>
      </c>
      <c r="M419" s="178">
        <v>83.855769305899997</v>
      </c>
      <c r="N419" s="178">
        <v>8.6054556283999997</v>
      </c>
      <c r="O419" s="178">
        <v>-425889.95764060999</v>
      </c>
      <c r="P419" s="174" t="s">
        <v>337</v>
      </c>
      <c r="Q419" s="174" t="s">
        <v>1638</v>
      </c>
      <c r="R419" s="174" t="s">
        <v>22</v>
      </c>
      <c r="S419" s="174" t="s">
        <v>130</v>
      </c>
      <c r="T419" s="175" t="str">
        <f>VLOOKUP($S419,Mapping!$C:$C,1,0)</f>
        <v>Manual</v>
      </c>
      <c r="U419" s="175"/>
      <c r="V419" s="175"/>
      <c r="W419" s="175"/>
      <c r="X419" s="175"/>
      <c r="Y419" s="174" t="s">
        <v>489</v>
      </c>
      <c r="Z419" s="174" t="s">
        <v>851</v>
      </c>
      <c r="AA419" s="174" t="s">
        <v>22</v>
      </c>
      <c r="AB419" s="174"/>
      <c r="AC419" s="175"/>
      <c r="AD419" s="174" t="s">
        <v>1471</v>
      </c>
      <c r="AE419" s="175"/>
      <c r="AF419" s="175"/>
      <c r="AG419" s="176">
        <v>43164.412928240738</v>
      </c>
      <c r="AH419" s="176">
        <v>43164.413043981483</v>
      </c>
      <c r="AI419" s="175"/>
      <c r="AJ419" s="175"/>
      <c r="AK419" s="178">
        <v>1</v>
      </c>
    </row>
    <row r="420" spans="1:37" x14ac:dyDescent="0.25">
      <c r="A420" s="174" t="s">
        <v>484</v>
      </c>
      <c r="B420" s="174" t="s">
        <v>1641</v>
      </c>
      <c r="C420" s="175"/>
      <c r="D420" s="174" t="s">
        <v>478</v>
      </c>
      <c r="E420" s="174" t="s">
        <v>846</v>
      </c>
      <c r="F420" s="176">
        <v>43164</v>
      </c>
      <c r="G420" s="176">
        <v>43164</v>
      </c>
      <c r="H420" s="174" t="s">
        <v>29</v>
      </c>
      <c r="I420" s="175" t="str">
        <f>VLOOKUP($H420,Mapping!$A:$A,1,0)</f>
        <v>NO BROKER SEND</v>
      </c>
      <c r="J420" s="177" t="s">
        <v>466</v>
      </c>
      <c r="K420" s="174" t="s">
        <v>1637</v>
      </c>
      <c r="L420" s="178">
        <v>500000</v>
      </c>
      <c r="M420" s="178">
        <v>83.855769305899997</v>
      </c>
      <c r="N420" s="178">
        <v>8.6054556283999997</v>
      </c>
      <c r="O420" s="178">
        <v>425889.95764060999</v>
      </c>
      <c r="P420" s="174" t="s">
        <v>337</v>
      </c>
      <c r="Q420" s="174" t="s">
        <v>1638</v>
      </c>
      <c r="R420" s="174" t="s">
        <v>22</v>
      </c>
      <c r="S420" s="174" t="s">
        <v>130</v>
      </c>
      <c r="T420" s="175" t="str">
        <f>VLOOKUP($S420,Mapping!$C:$C,1,0)</f>
        <v>Manual</v>
      </c>
      <c r="U420" s="175"/>
      <c r="V420" s="175"/>
      <c r="W420" s="175"/>
      <c r="X420" s="175"/>
      <c r="Y420" s="174" t="s">
        <v>489</v>
      </c>
      <c r="Z420" s="174" t="s">
        <v>851</v>
      </c>
      <c r="AA420" s="174" t="s">
        <v>22</v>
      </c>
      <c r="AB420" s="174"/>
      <c r="AC420" s="175"/>
      <c r="AD420" s="174" t="s">
        <v>1471</v>
      </c>
      <c r="AE420" s="175"/>
      <c r="AF420" s="175"/>
      <c r="AG420" s="176">
        <v>43164.412939814814</v>
      </c>
      <c r="AH420" s="176">
        <v>43164.413055555553</v>
      </c>
      <c r="AI420" s="175"/>
      <c r="AJ420" s="175"/>
      <c r="AK420" s="178">
        <v>1</v>
      </c>
    </row>
    <row r="421" spans="1:37" x14ac:dyDescent="0.25">
      <c r="A421" s="174" t="s">
        <v>484</v>
      </c>
      <c r="B421" s="174" t="s">
        <v>1642</v>
      </c>
      <c r="C421" s="175"/>
      <c r="D421" s="174" t="s">
        <v>478</v>
      </c>
      <c r="E421" s="174" t="s">
        <v>846</v>
      </c>
      <c r="F421" s="176">
        <v>43164</v>
      </c>
      <c r="G421" s="176">
        <v>43164</v>
      </c>
      <c r="H421" s="174" t="s">
        <v>29</v>
      </c>
      <c r="I421" s="175" t="str">
        <f>VLOOKUP($H421,Mapping!$A:$A,1,0)</f>
        <v>NO BROKER SEND</v>
      </c>
      <c r="J421" s="177" t="s">
        <v>466</v>
      </c>
      <c r="K421" s="174" t="s">
        <v>1637</v>
      </c>
      <c r="L421" s="178">
        <v>1000000</v>
      </c>
      <c r="M421" s="178">
        <v>83.855769305899997</v>
      </c>
      <c r="N421" s="178">
        <v>8.6054556283999997</v>
      </c>
      <c r="O421" s="178">
        <v>851779.91528121999</v>
      </c>
      <c r="P421" s="174" t="s">
        <v>337</v>
      </c>
      <c r="Q421" s="174" t="s">
        <v>1638</v>
      </c>
      <c r="R421" s="174" t="s">
        <v>22</v>
      </c>
      <c r="S421" s="174" t="s">
        <v>130</v>
      </c>
      <c r="T421" s="175" t="str">
        <f>VLOOKUP($S421,Mapping!$C:$C,1,0)</f>
        <v>Manual</v>
      </c>
      <c r="U421" s="175"/>
      <c r="V421" s="175"/>
      <c r="W421" s="175"/>
      <c r="X421" s="175"/>
      <c r="Y421" s="174" t="s">
        <v>489</v>
      </c>
      <c r="Z421" s="174" t="s">
        <v>851</v>
      </c>
      <c r="AA421" s="174" t="s">
        <v>22</v>
      </c>
      <c r="AB421" s="174"/>
      <c r="AC421" s="175"/>
      <c r="AD421" s="174" t="s">
        <v>1471</v>
      </c>
      <c r="AE421" s="175"/>
      <c r="AF421" s="175"/>
      <c r="AG421" s="176">
        <v>43164.412939814814</v>
      </c>
      <c r="AH421" s="176">
        <v>43164.413101851853</v>
      </c>
      <c r="AI421" s="175"/>
      <c r="AJ421" s="175"/>
      <c r="AK421" s="178">
        <v>1</v>
      </c>
    </row>
    <row r="422" spans="1:37" x14ac:dyDescent="0.25">
      <c r="A422" s="174" t="s">
        <v>484</v>
      </c>
      <c r="B422" s="174" t="s">
        <v>1643</v>
      </c>
      <c r="C422" s="175"/>
      <c r="D422" s="174" t="s">
        <v>478</v>
      </c>
      <c r="E422" s="174" t="s">
        <v>846</v>
      </c>
      <c r="F422" s="176">
        <v>43164</v>
      </c>
      <c r="G422" s="176">
        <v>43164</v>
      </c>
      <c r="H422" s="174" t="s">
        <v>29</v>
      </c>
      <c r="I422" s="175" t="str">
        <f>VLOOKUP($H422,Mapping!$A:$A,1,0)</f>
        <v>NO BROKER SEND</v>
      </c>
      <c r="J422" s="177" t="s">
        <v>466</v>
      </c>
      <c r="K422" s="174" t="s">
        <v>1637</v>
      </c>
      <c r="L422" s="178">
        <v>500000</v>
      </c>
      <c r="M422" s="178">
        <v>83.855769305899997</v>
      </c>
      <c r="N422" s="178">
        <v>8.6054556283999997</v>
      </c>
      <c r="O422" s="178">
        <v>425889.95764060999</v>
      </c>
      <c r="P422" s="174" t="s">
        <v>337</v>
      </c>
      <c r="Q422" s="174" t="s">
        <v>1638</v>
      </c>
      <c r="R422" s="174" t="s">
        <v>22</v>
      </c>
      <c r="S422" s="174" t="s">
        <v>130</v>
      </c>
      <c r="T422" s="175" t="str">
        <f>VLOOKUP($S422,Mapping!$C:$C,1,0)</f>
        <v>Manual</v>
      </c>
      <c r="U422" s="175"/>
      <c r="V422" s="175"/>
      <c r="W422" s="175"/>
      <c r="X422" s="175"/>
      <c r="Y422" s="174" t="s">
        <v>489</v>
      </c>
      <c r="Z422" s="174" t="s">
        <v>851</v>
      </c>
      <c r="AA422" s="174" t="s">
        <v>22</v>
      </c>
      <c r="AB422" s="174"/>
      <c r="AC422" s="175"/>
      <c r="AD422" s="174" t="s">
        <v>1471</v>
      </c>
      <c r="AE422" s="175"/>
      <c r="AF422" s="175"/>
      <c r="AG422" s="176">
        <v>43164.412928240738</v>
      </c>
      <c r="AH422" s="176">
        <v>43164.413148148145</v>
      </c>
      <c r="AI422" s="175"/>
      <c r="AJ422" s="175"/>
      <c r="AK422" s="178">
        <v>1</v>
      </c>
    </row>
    <row r="423" spans="1:37" x14ac:dyDescent="0.25">
      <c r="A423" s="174" t="s">
        <v>461</v>
      </c>
      <c r="B423" s="174" t="s">
        <v>1644</v>
      </c>
      <c r="C423" s="175"/>
      <c r="D423" s="174" t="s">
        <v>478</v>
      </c>
      <c r="E423" s="174" t="s">
        <v>479</v>
      </c>
      <c r="F423" s="176">
        <v>43164</v>
      </c>
      <c r="G423" s="176">
        <v>43165</v>
      </c>
      <c r="H423" s="174" t="s">
        <v>29</v>
      </c>
      <c r="I423" s="175" t="str">
        <f>VLOOKUP($H423,Mapping!$A:$A,1,0)</f>
        <v>NO BROKER SEND</v>
      </c>
      <c r="J423" s="177" t="s">
        <v>466</v>
      </c>
      <c r="K423" s="174" t="s">
        <v>475</v>
      </c>
      <c r="L423" s="178">
        <v>3749000</v>
      </c>
      <c r="M423" s="178">
        <v>99.203125</v>
      </c>
      <c r="N423" s="178">
        <v>2.8424247609000002</v>
      </c>
      <c r="O423" s="178">
        <v>3724536.35100138</v>
      </c>
      <c r="P423" s="174" t="s">
        <v>337</v>
      </c>
      <c r="Q423" s="174" t="s">
        <v>476</v>
      </c>
      <c r="R423" s="174" t="s">
        <v>22</v>
      </c>
      <c r="S423" s="174" t="s">
        <v>130</v>
      </c>
      <c r="T423" s="175" t="str">
        <f>VLOOKUP($S423,Mapping!$C:$C,1,0)</f>
        <v>Manual</v>
      </c>
      <c r="U423" s="175"/>
      <c r="V423" s="175"/>
      <c r="W423" s="175"/>
      <c r="X423" s="175"/>
      <c r="Y423" s="174" t="s">
        <v>469</v>
      </c>
      <c r="Z423" s="174" t="s">
        <v>481</v>
      </c>
      <c r="AA423" s="174" t="s">
        <v>22</v>
      </c>
      <c r="AB423" s="174"/>
      <c r="AC423" s="175"/>
      <c r="AD423" s="174" t="s">
        <v>512</v>
      </c>
      <c r="AE423" s="175"/>
      <c r="AF423" s="175"/>
      <c r="AG423" s="176">
        <v>43164.444756944446</v>
      </c>
      <c r="AH423" s="176">
        <v>43164.444837962961</v>
      </c>
      <c r="AI423" s="175"/>
      <c r="AJ423" s="175"/>
      <c r="AK423" s="178">
        <v>1</v>
      </c>
    </row>
    <row r="424" spans="1:37" x14ac:dyDescent="0.25">
      <c r="A424" s="174" t="s">
        <v>484</v>
      </c>
      <c r="B424" s="174" t="s">
        <v>1645</v>
      </c>
      <c r="C424" s="175"/>
      <c r="D424" s="174" t="s">
        <v>478</v>
      </c>
      <c r="E424" s="174" t="s">
        <v>479</v>
      </c>
      <c r="F424" s="176">
        <v>43164</v>
      </c>
      <c r="G424" s="176">
        <v>43166</v>
      </c>
      <c r="H424" s="174" t="s">
        <v>29</v>
      </c>
      <c r="I424" s="175" t="str">
        <f>VLOOKUP($H424,Mapping!$A:$A,1,0)</f>
        <v>NO BROKER SEND</v>
      </c>
      <c r="J424" s="179" t="s">
        <v>486</v>
      </c>
      <c r="K424" s="174" t="s">
        <v>962</v>
      </c>
      <c r="L424" s="178">
        <v>4095000</v>
      </c>
      <c r="M424" s="178">
        <v>94.040999999999997</v>
      </c>
      <c r="N424" s="178">
        <v>4.2320035920999999</v>
      </c>
      <c r="O424" s="178">
        <v>-3911095.8250000002</v>
      </c>
      <c r="P424" s="174" t="s">
        <v>337</v>
      </c>
      <c r="Q424" s="174" t="s">
        <v>963</v>
      </c>
      <c r="R424" s="174" t="s">
        <v>22</v>
      </c>
      <c r="S424" s="174" t="s">
        <v>130</v>
      </c>
      <c r="T424" s="175" t="str">
        <f>VLOOKUP($S424,Mapping!$C:$C,1,0)</f>
        <v>Manual</v>
      </c>
      <c r="U424" s="175"/>
      <c r="V424" s="175"/>
      <c r="W424" s="175"/>
      <c r="X424" s="175"/>
      <c r="Y424" s="174" t="s">
        <v>640</v>
      </c>
      <c r="Z424" s="174" t="s">
        <v>481</v>
      </c>
      <c r="AA424" s="174" t="s">
        <v>22</v>
      </c>
      <c r="AB424" s="174"/>
      <c r="AC424" s="175"/>
      <c r="AD424" s="174" t="s">
        <v>512</v>
      </c>
      <c r="AE424" s="175"/>
      <c r="AF424" s="175"/>
      <c r="AG424" s="176">
        <v>43164.444756944446</v>
      </c>
      <c r="AH424" s="176">
        <v>43164.444849537038</v>
      </c>
      <c r="AI424" s="175"/>
      <c r="AJ424" s="175"/>
      <c r="AK424" s="178">
        <v>1</v>
      </c>
    </row>
    <row r="425" spans="1:37" x14ac:dyDescent="0.25">
      <c r="A425" s="174" t="s">
        <v>484</v>
      </c>
      <c r="B425" s="174" t="s">
        <v>1646</v>
      </c>
      <c r="C425" s="175"/>
      <c r="D425" s="174" t="s">
        <v>478</v>
      </c>
      <c r="E425" s="174" t="s">
        <v>582</v>
      </c>
      <c r="F425" s="176">
        <v>43164</v>
      </c>
      <c r="G425" s="176">
        <v>43166</v>
      </c>
      <c r="H425" s="174" t="s">
        <v>29</v>
      </c>
      <c r="I425" s="175" t="str">
        <f>VLOOKUP($H425,Mapping!$A:$A,1,0)</f>
        <v>NO BROKER SEND</v>
      </c>
      <c r="J425" s="177" t="s">
        <v>466</v>
      </c>
      <c r="K425" s="174" t="s">
        <v>962</v>
      </c>
      <c r="L425" s="178">
        <v>4095000</v>
      </c>
      <c r="M425" s="178">
        <v>94.040999999999997</v>
      </c>
      <c r="N425" s="178">
        <v>4.2320035920999999</v>
      </c>
      <c r="O425" s="178">
        <v>3911095.8250000002</v>
      </c>
      <c r="P425" s="174" t="s">
        <v>337</v>
      </c>
      <c r="Q425" s="174" t="s">
        <v>963</v>
      </c>
      <c r="R425" s="174" t="s">
        <v>22</v>
      </c>
      <c r="S425" s="174" t="s">
        <v>130</v>
      </c>
      <c r="T425" s="175" t="str">
        <f>VLOOKUP($S425,Mapping!$C:$C,1,0)</f>
        <v>Manual</v>
      </c>
      <c r="U425" s="175"/>
      <c r="V425" s="175"/>
      <c r="W425" s="175"/>
      <c r="X425" s="175"/>
      <c r="Y425" s="174" t="s">
        <v>640</v>
      </c>
      <c r="Z425" s="174" t="s">
        <v>586</v>
      </c>
      <c r="AA425" s="174" t="s">
        <v>22</v>
      </c>
      <c r="AB425" s="174"/>
      <c r="AC425" s="175"/>
      <c r="AD425" s="174" t="s">
        <v>512</v>
      </c>
      <c r="AE425" s="175"/>
      <c r="AF425" s="175"/>
      <c r="AG425" s="176">
        <v>43164.444953703707</v>
      </c>
      <c r="AH425" s="176">
        <v>43164.445</v>
      </c>
      <c r="AI425" s="175"/>
      <c r="AJ425" s="175"/>
      <c r="AK425" s="178">
        <v>1</v>
      </c>
    </row>
    <row r="426" spans="1:37" x14ac:dyDescent="0.25">
      <c r="A426" s="174" t="s">
        <v>461</v>
      </c>
      <c r="B426" s="174" t="s">
        <v>1647</v>
      </c>
      <c r="C426" s="175"/>
      <c r="D426" s="174" t="s">
        <v>478</v>
      </c>
      <c r="E426" s="174" t="s">
        <v>582</v>
      </c>
      <c r="F426" s="176">
        <v>43164</v>
      </c>
      <c r="G426" s="176">
        <v>43165</v>
      </c>
      <c r="H426" s="174" t="s">
        <v>29</v>
      </c>
      <c r="I426" s="175" t="str">
        <f>VLOOKUP($H426,Mapping!$A:$A,1,0)</f>
        <v>NO BROKER SEND</v>
      </c>
      <c r="J426" s="179" t="s">
        <v>486</v>
      </c>
      <c r="K426" s="174" t="s">
        <v>475</v>
      </c>
      <c r="L426" s="178">
        <v>3749000</v>
      </c>
      <c r="M426" s="178">
        <v>99.203125</v>
      </c>
      <c r="N426" s="178">
        <v>2.8424247609000002</v>
      </c>
      <c r="O426" s="178">
        <v>-3724536.35100138</v>
      </c>
      <c r="P426" s="174" t="s">
        <v>337</v>
      </c>
      <c r="Q426" s="174" t="s">
        <v>476</v>
      </c>
      <c r="R426" s="174" t="s">
        <v>22</v>
      </c>
      <c r="S426" s="174" t="s">
        <v>130</v>
      </c>
      <c r="T426" s="175" t="str">
        <f>VLOOKUP($S426,Mapping!$C:$C,1,0)</f>
        <v>Manual</v>
      </c>
      <c r="U426" s="175"/>
      <c r="V426" s="175"/>
      <c r="W426" s="175"/>
      <c r="X426" s="175"/>
      <c r="Y426" s="174" t="s">
        <v>469</v>
      </c>
      <c r="Z426" s="174" t="s">
        <v>586</v>
      </c>
      <c r="AA426" s="174" t="s">
        <v>22</v>
      </c>
      <c r="AB426" s="174"/>
      <c r="AC426" s="175"/>
      <c r="AD426" s="174" t="s">
        <v>512</v>
      </c>
      <c r="AE426" s="175"/>
      <c r="AF426" s="175"/>
      <c r="AG426" s="176">
        <v>43164.44494212963</v>
      </c>
      <c r="AH426" s="176">
        <v>43164.445011574076</v>
      </c>
      <c r="AI426" s="175"/>
      <c r="AJ426" s="175"/>
      <c r="AK426" s="178">
        <v>1</v>
      </c>
    </row>
    <row r="427" spans="1:37" x14ac:dyDescent="0.25">
      <c r="A427" s="174" t="s">
        <v>484</v>
      </c>
      <c r="B427" s="174" t="s">
        <v>1648</v>
      </c>
      <c r="C427" s="175"/>
      <c r="D427" s="174" t="s">
        <v>478</v>
      </c>
      <c r="E427" s="174" t="s">
        <v>903</v>
      </c>
      <c r="F427" s="176">
        <v>43164</v>
      </c>
      <c r="G427" s="176">
        <v>43164</v>
      </c>
      <c r="H427" s="174" t="s">
        <v>29</v>
      </c>
      <c r="I427" s="175" t="str">
        <f>VLOOKUP($H427,Mapping!$A:$A,1,0)</f>
        <v>NO BROKER SEND</v>
      </c>
      <c r="J427" s="177" t="s">
        <v>466</v>
      </c>
      <c r="K427" s="174" t="s">
        <v>1649</v>
      </c>
      <c r="L427" s="178">
        <v>7000000</v>
      </c>
      <c r="M427" s="178">
        <v>93.648688296000003</v>
      </c>
      <c r="N427" s="178">
        <v>4.7307751431999998</v>
      </c>
      <c r="O427" s="178">
        <v>6650685.9584977794</v>
      </c>
      <c r="P427" s="174" t="s">
        <v>337</v>
      </c>
      <c r="Q427" s="174" t="s">
        <v>1650</v>
      </c>
      <c r="R427" s="174" t="s">
        <v>22</v>
      </c>
      <c r="S427" s="174" t="s">
        <v>130</v>
      </c>
      <c r="T427" s="175" t="str">
        <f>VLOOKUP($S427,Mapping!$C:$C,1,0)</f>
        <v>Manual</v>
      </c>
      <c r="U427" s="175"/>
      <c r="V427" s="175"/>
      <c r="W427" s="175"/>
      <c r="X427" s="175"/>
      <c r="Y427" s="174" t="s">
        <v>489</v>
      </c>
      <c r="Z427" s="174" t="s">
        <v>906</v>
      </c>
      <c r="AA427" s="174" t="s">
        <v>22</v>
      </c>
      <c r="AB427" s="174"/>
      <c r="AC427" s="175"/>
      <c r="AD427" s="174" t="s">
        <v>1578</v>
      </c>
      <c r="AE427" s="175"/>
      <c r="AF427" s="175"/>
      <c r="AG427" s="176">
        <v>43164.447106481479</v>
      </c>
      <c r="AH427" s="176">
        <v>43164.447175925925</v>
      </c>
      <c r="AI427" s="175"/>
      <c r="AJ427" s="175"/>
      <c r="AK427" s="178">
        <v>1</v>
      </c>
    </row>
    <row r="428" spans="1:37" x14ac:dyDescent="0.25">
      <c r="A428" s="174" t="s">
        <v>484</v>
      </c>
      <c r="B428" s="174" t="s">
        <v>1651</v>
      </c>
      <c r="C428" s="175"/>
      <c r="D428" s="174" t="s">
        <v>478</v>
      </c>
      <c r="E428" s="174" t="s">
        <v>903</v>
      </c>
      <c r="F428" s="176">
        <v>43164</v>
      </c>
      <c r="G428" s="176">
        <v>43164</v>
      </c>
      <c r="H428" s="174" t="s">
        <v>29</v>
      </c>
      <c r="I428" s="175" t="str">
        <f>VLOOKUP($H428,Mapping!$A:$A,1,0)</f>
        <v>NO BROKER SEND</v>
      </c>
      <c r="J428" s="179" t="s">
        <v>486</v>
      </c>
      <c r="K428" s="174" t="s">
        <v>1649</v>
      </c>
      <c r="L428" s="178">
        <v>7000000</v>
      </c>
      <c r="M428" s="178">
        <v>93.648688296000003</v>
      </c>
      <c r="N428" s="178">
        <v>4.7307751431999998</v>
      </c>
      <c r="O428" s="178">
        <v>-6650685.9584977794</v>
      </c>
      <c r="P428" s="174" t="s">
        <v>337</v>
      </c>
      <c r="Q428" s="174" t="s">
        <v>1650</v>
      </c>
      <c r="R428" s="174" t="s">
        <v>22</v>
      </c>
      <c r="S428" s="174" t="s">
        <v>130</v>
      </c>
      <c r="T428" s="175" t="str">
        <f>VLOOKUP($S428,Mapping!$C:$C,1,0)</f>
        <v>Manual</v>
      </c>
      <c r="U428" s="175"/>
      <c r="V428" s="175"/>
      <c r="W428" s="175"/>
      <c r="X428" s="175"/>
      <c r="Y428" s="174" t="s">
        <v>489</v>
      </c>
      <c r="Z428" s="174" t="s">
        <v>906</v>
      </c>
      <c r="AA428" s="174" t="s">
        <v>22</v>
      </c>
      <c r="AB428" s="174"/>
      <c r="AC428" s="175"/>
      <c r="AD428" s="174" t="s">
        <v>1578</v>
      </c>
      <c r="AE428" s="175"/>
      <c r="AF428" s="175"/>
      <c r="AG428" s="176">
        <v>43164.447106481479</v>
      </c>
      <c r="AH428" s="176">
        <v>43164.447187500002</v>
      </c>
      <c r="AI428" s="175"/>
      <c r="AJ428" s="175"/>
      <c r="AK428" s="178">
        <v>1</v>
      </c>
    </row>
    <row r="429" spans="1:37" x14ac:dyDescent="0.25">
      <c r="A429" s="174" t="s">
        <v>484</v>
      </c>
      <c r="B429" s="174" t="s">
        <v>1652</v>
      </c>
      <c r="C429" s="175"/>
      <c r="D429" s="174" t="s">
        <v>478</v>
      </c>
      <c r="E429" s="174" t="s">
        <v>903</v>
      </c>
      <c r="F429" s="176">
        <v>43164</v>
      </c>
      <c r="G429" s="176">
        <v>43164</v>
      </c>
      <c r="H429" s="174" t="s">
        <v>29</v>
      </c>
      <c r="I429" s="175" t="str">
        <f>VLOOKUP($H429,Mapping!$A:$A,1,0)</f>
        <v>NO BROKER SEND</v>
      </c>
      <c r="J429" s="179" t="s">
        <v>486</v>
      </c>
      <c r="K429" s="174" t="s">
        <v>1649</v>
      </c>
      <c r="L429" s="178">
        <v>4850000</v>
      </c>
      <c r="M429" s="178">
        <v>93.648688296000003</v>
      </c>
      <c r="N429" s="178">
        <v>4.7307751431999998</v>
      </c>
      <c r="O429" s="178">
        <v>-4607975.2712448901</v>
      </c>
      <c r="P429" s="174" t="s">
        <v>337</v>
      </c>
      <c r="Q429" s="174" t="s">
        <v>1650</v>
      </c>
      <c r="R429" s="174" t="s">
        <v>22</v>
      </c>
      <c r="S429" s="174" t="s">
        <v>130</v>
      </c>
      <c r="T429" s="175" t="str">
        <f>VLOOKUP($S429,Mapping!$C:$C,1,0)</f>
        <v>Manual</v>
      </c>
      <c r="U429" s="175"/>
      <c r="V429" s="175"/>
      <c r="W429" s="175"/>
      <c r="X429" s="175"/>
      <c r="Y429" s="174" t="s">
        <v>489</v>
      </c>
      <c r="Z429" s="174" t="s">
        <v>906</v>
      </c>
      <c r="AA429" s="174" t="s">
        <v>22</v>
      </c>
      <c r="AB429" s="174"/>
      <c r="AC429" s="175"/>
      <c r="AD429" s="174" t="s">
        <v>1578</v>
      </c>
      <c r="AE429" s="175"/>
      <c r="AF429" s="175"/>
      <c r="AG429" s="176">
        <v>43164.447106481479</v>
      </c>
      <c r="AH429" s="176">
        <v>43164.447210648148</v>
      </c>
      <c r="AI429" s="175"/>
      <c r="AJ429" s="175"/>
      <c r="AK429" s="178">
        <v>1</v>
      </c>
    </row>
    <row r="430" spans="1:37" x14ac:dyDescent="0.25">
      <c r="A430" s="174" t="s">
        <v>484</v>
      </c>
      <c r="B430" s="174" t="s">
        <v>1653</v>
      </c>
      <c r="C430" s="175"/>
      <c r="D430" s="174" t="s">
        <v>478</v>
      </c>
      <c r="E430" s="174" t="s">
        <v>903</v>
      </c>
      <c r="F430" s="176">
        <v>43164</v>
      </c>
      <c r="G430" s="176">
        <v>43164</v>
      </c>
      <c r="H430" s="174" t="s">
        <v>29</v>
      </c>
      <c r="I430" s="175" t="str">
        <f>VLOOKUP($H430,Mapping!$A:$A,1,0)</f>
        <v>NO BROKER SEND</v>
      </c>
      <c r="J430" s="177" t="s">
        <v>466</v>
      </c>
      <c r="K430" s="174" t="s">
        <v>1649</v>
      </c>
      <c r="L430" s="178">
        <v>4850000</v>
      </c>
      <c r="M430" s="178">
        <v>93.648688296000003</v>
      </c>
      <c r="N430" s="178">
        <v>4.7307751431999998</v>
      </c>
      <c r="O430" s="178">
        <v>4607975.2712448901</v>
      </c>
      <c r="P430" s="174" t="s">
        <v>337</v>
      </c>
      <c r="Q430" s="174" t="s">
        <v>1650</v>
      </c>
      <c r="R430" s="174" t="s">
        <v>22</v>
      </c>
      <c r="S430" s="174" t="s">
        <v>130</v>
      </c>
      <c r="T430" s="175" t="str">
        <f>VLOOKUP($S430,Mapping!$C:$C,1,0)</f>
        <v>Manual</v>
      </c>
      <c r="U430" s="175"/>
      <c r="V430" s="175"/>
      <c r="W430" s="175"/>
      <c r="X430" s="175"/>
      <c r="Y430" s="174" t="s">
        <v>489</v>
      </c>
      <c r="Z430" s="174" t="s">
        <v>906</v>
      </c>
      <c r="AA430" s="174" t="s">
        <v>22</v>
      </c>
      <c r="AB430" s="174"/>
      <c r="AC430" s="175"/>
      <c r="AD430" s="174" t="s">
        <v>1578</v>
      </c>
      <c r="AE430" s="175"/>
      <c r="AF430" s="175"/>
      <c r="AG430" s="176">
        <v>43164.447106481479</v>
      </c>
      <c r="AH430" s="176">
        <v>43164.447222222225</v>
      </c>
      <c r="AI430" s="175"/>
      <c r="AJ430" s="175"/>
      <c r="AK430" s="178">
        <v>1</v>
      </c>
    </row>
    <row r="431" spans="1:37" x14ac:dyDescent="0.25">
      <c r="A431" s="174" t="s">
        <v>484</v>
      </c>
      <c r="B431" s="174" t="s">
        <v>1654</v>
      </c>
      <c r="C431" s="175"/>
      <c r="D431" s="174" t="s">
        <v>478</v>
      </c>
      <c r="E431" s="174" t="s">
        <v>903</v>
      </c>
      <c r="F431" s="176">
        <v>43164</v>
      </c>
      <c r="G431" s="176">
        <v>43164</v>
      </c>
      <c r="H431" s="174" t="s">
        <v>29</v>
      </c>
      <c r="I431" s="175" t="str">
        <f>VLOOKUP($H431,Mapping!$A:$A,1,0)</f>
        <v>NO BROKER SEND</v>
      </c>
      <c r="J431" s="177" t="s">
        <v>466</v>
      </c>
      <c r="K431" s="174" t="s">
        <v>1649</v>
      </c>
      <c r="L431" s="178">
        <v>3000000</v>
      </c>
      <c r="M431" s="178">
        <v>93.648688296000003</v>
      </c>
      <c r="N431" s="178">
        <v>4.7307751431999998</v>
      </c>
      <c r="O431" s="178">
        <v>2850293.98221333</v>
      </c>
      <c r="P431" s="174" t="s">
        <v>337</v>
      </c>
      <c r="Q431" s="174" t="s">
        <v>1650</v>
      </c>
      <c r="R431" s="174" t="s">
        <v>22</v>
      </c>
      <c r="S431" s="174" t="s">
        <v>130</v>
      </c>
      <c r="T431" s="175" t="str">
        <f>VLOOKUP($S431,Mapping!$C:$C,1,0)</f>
        <v>Manual</v>
      </c>
      <c r="U431" s="175"/>
      <c r="V431" s="175"/>
      <c r="W431" s="175"/>
      <c r="X431" s="175"/>
      <c r="Y431" s="174" t="s">
        <v>489</v>
      </c>
      <c r="Z431" s="174" t="s">
        <v>906</v>
      </c>
      <c r="AA431" s="174" t="s">
        <v>22</v>
      </c>
      <c r="AB431" s="174"/>
      <c r="AC431" s="175"/>
      <c r="AD431" s="174" t="s">
        <v>1578</v>
      </c>
      <c r="AE431" s="175"/>
      <c r="AF431" s="175"/>
      <c r="AG431" s="176">
        <v>43164.447106481479</v>
      </c>
      <c r="AH431" s="176">
        <v>43164.447233796294</v>
      </c>
      <c r="AI431" s="175"/>
      <c r="AJ431" s="175"/>
      <c r="AK431" s="178">
        <v>1</v>
      </c>
    </row>
    <row r="432" spans="1:37" x14ac:dyDescent="0.25">
      <c r="A432" s="174" t="s">
        <v>484</v>
      </c>
      <c r="B432" s="174" t="s">
        <v>1655</v>
      </c>
      <c r="C432" s="175"/>
      <c r="D432" s="174" t="s">
        <v>478</v>
      </c>
      <c r="E432" s="174" t="s">
        <v>903</v>
      </c>
      <c r="F432" s="176">
        <v>43164</v>
      </c>
      <c r="G432" s="176">
        <v>43164</v>
      </c>
      <c r="H432" s="174" t="s">
        <v>29</v>
      </c>
      <c r="I432" s="175" t="str">
        <f>VLOOKUP($H432,Mapping!$A:$A,1,0)</f>
        <v>NO BROKER SEND</v>
      </c>
      <c r="J432" s="179" t="s">
        <v>486</v>
      </c>
      <c r="K432" s="174" t="s">
        <v>1649</v>
      </c>
      <c r="L432" s="178">
        <v>3000000</v>
      </c>
      <c r="M432" s="178">
        <v>93.648688296000003</v>
      </c>
      <c r="N432" s="178">
        <v>4.7307751431999998</v>
      </c>
      <c r="O432" s="178">
        <v>-2850293.98221333</v>
      </c>
      <c r="P432" s="174" t="s">
        <v>337</v>
      </c>
      <c r="Q432" s="174" t="s">
        <v>1650</v>
      </c>
      <c r="R432" s="174" t="s">
        <v>22</v>
      </c>
      <c r="S432" s="174" t="s">
        <v>130</v>
      </c>
      <c r="T432" s="175" t="str">
        <f>VLOOKUP($S432,Mapping!$C:$C,1,0)</f>
        <v>Manual</v>
      </c>
      <c r="U432" s="175"/>
      <c r="V432" s="175"/>
      <c r="W432" s="175"/>
      <c r="X432" s="175"/>
      <c r="Y432" s="174" t="s">
        <v>489</v>
      </c>
      <c r="Z432" s="174" t="s">
        <v>906</v>
      </c>
      <c r="AA432" s="174" t="s">
        <v>22</v>
      </c>
      <c r="AB432" s="174"/>
      <c r="AC432" s="175"/>
      <c r="AD432" s="174" t="s">
        <v>1578</v>
      </c>
      <c r="AE432" s="175"/>
      <c r="AF432" s="175"/>
      <c r="AG432" s="176">
        <v>43164.447118055556</v>
      </c>
      <c r="AH432" s="176">
        <v>43164.447245370371</v>
      </c>
      <c r="AI432" s="175"/>
      <c r="AJ432" s="175"/>
      <c r="AK432" s="178">
        <v>1</v>
      </c>
    </row>
    <row r="433" spans="1:37" x14ac:dyDescent="0.25">
      <c r="A433" s="174" t="s">
        <v>484</v>
      </c>
      <c r="B433" s="174" t="s">
        <v>1656</v>
      </c>
      <c r="C433" s="175"/>
      <c r="D433" s="174" t="s">
        <v>478</v>
      </c>
      <c r="E433" s="174" t="s">
        <v>903</v>
      </c>
      <c r="F433" s="176">
        <v>43164</v>
      </c>
      <c r="G433" s="176">
        <v>43164</v>
      </c>
      <c r="H433" s="174" t="s">
        <v>29</v>
      </c>
      <c r="I433" s="175" t="str">
        <f>VLOOKUP($H433,Mapping!$A:$A,1,0)</f>
        <v>NO BROKER SEND</v>
      </c>
      <c r="J433" s="179" t="s">
        <v>486</v>
      </c>
      <c r="K433" s="174" t="s">
        <v>1657</v>
      </c>
      <c r="L433" s="178">
        <v>1510000</v>
      </c>
      <c r="M433" s="178">
        <v>100.875</v>
      </c>
      <c r="N433" s="178">
        <v>5.5791729333999998</v>
      </c>
      <c r="O433" s="178">
        <v>-1549742.3611111098</v>
      </c>
      <c r="P433" s="174" t="s">
        <v>337</v>
      </c>
      <c r="Q433" s="174" t="s">
        <v>1658</v>
      </c>
      <c r="R433" s="174" t="s">
        <v>22</v>
      </c>
      <c r="S433" s="174" t="s">
        <v>130</v>
      </c>
      <c r="T433" s="175" t="str">
        <f>VLOOKUP($S433,Mapping!$C:$C,1,0)</f>
        <v>Manual</v>
      </c>
      <c r="U433" s="175"/>
      <c r="V433" s="175"/>
      <c r="W433" s="175"/>
      <c r="X433" s="175"/>
      <c r="Y433" s="174" t="s">
        <v>489</v>
      </c>
      <c r="Z433" s="174" t="s">
        <v>906</v>
      </c>
      <c r="AA433" s="174" t="s">
        <v>22</v>
      </c>
      <c r="AB433" s="174"/>
      <c r="AC433" s="175"/>
      <c r="AD433" s="174" t="s">
        <v>1578</v>
      </c>
      <c r="AE433" s="175"/>
      <c r="AF433" s="175"/>
      <c r="AG433" s="176">
        <v>43164.448379629626</v>
      </c>
      <c r="AH433" s="176">
        <v>43164.448425925926</v>
      </c>
      <c r="AI433" s="175"/>
      <c r="AJ433" s="175"/>
      <c r="AK433" s="178">
        <v>1</v>
      </c>
    </row>
    <row r="434" spans="1:37" x14ac:dyDescent="0.25">
      <c r="A434" s="174" t="s">
        <v>484</v>
      </c>
      <c r="B434" s="174" t="s">
        <v>1659</v>
      </c>
      <c r="C434" s="175"/>
      <c r="D434" s="174" t="s">
        <v>478</v>
      </c>
      <c r="E434" s="174" t="s">
        <v>903</v>
      </c>
      <c r="F434" s="176">
        <v>43164</v>
      </c>
      <c r="G434" s="176">
        <v>43164</v>
      </c>
      <c r="H434" s="174" t="s">
        <v>29</v>
      </c>
      <c r="I434" s="175" t="str">
        <f>VLOOKUP($H434,Mapping!$A:$A,1,0)</f>
        <v>NO BROKER SEND</v>
      </c>
      <c r="J434" s="177" t="s">
        <v>466</v>
      </c>
      <c r="K434" s="174" t="s">
        <v>1657</v>
      </c>
      <c r="L434" s="178">
        <v>1510000</v>
      </c>
      <c r="M434" s="178">
        <v>100.875</v>
      </c>
      <c r="N434" s="178">
        <v>5.5791729333999998</v>
      </c>
      <c r="O434" s="178">
        <v>1549742.3611111098</v>
      </c>
      <c r="P434" s="174" t="s">
        <v>337</v>
      </c>
      <c r="Q434" s="174" t="s">
        <v>1658</v>
      </c>
      <c r="R434" s="174" t="s">
        <v>22</v>
      </c>
      <c r="S434" s="174" t="s">
        <v>130</v>
      </c>
      <c r="T434" s="175" t="str">
        <f>VLOOKUP($S434,Mapping!$C:$C,1,0)</f>
        <v>Manual</v>
      </c>
      <c r="U434" s="175"/>
      <c r="V434" s="175"/>
      <c r="W434" s="175"/>
      <c r="X434" s="175"/>
      <c r="Y434" s="174" t="s">
        <v>489</v>
      </c>
      <c r="Z434" s="174" t="s">
        <v>906</v>
      </c>
      <c r="AA434" s="174" t="s">
        <v>22</v>
      </c>
      <c r="AB434" s="174"/>
      <c r="AC434" s="175"/>
      <c r="AD434" s="174" t="s">
        <v>1578</v>
      </c>
      <c r="AE434" s="175"/>
      <c r="AF434" s="175"/>
      <c r="AG434" s="176">
        <v>43164.448368055557</v>
      </c>
      <c r="AH434" s="176">
        <v>43164.448437500003</v>
      </c>
      <c r="AI434" s="175"/>
      <c r="AJ434" s="175"/>
      <c r="AK434" s="178">
        <v>1</v>
      </c>
    </row>
    <row r="435" spans="1:37" x14ac:dyDescent="0.25">
      <c r="A435" s="174" t="s">
        <v>484</v>
      </c>
      <c r="B435" s="174" t="s">
        <v>1660</v>
      </c>
      <c r="C435" s="175"/>
      <c r="D435" s="174" t="s">
        <v>478</v>
      </c>
      <c r="E435" s="174" t="s">
        <v>903</v>
      </c>
      <c r="F435" s="176">
        <v>43164</v>
      </c>
      <c r="G435" s="176">
        <v>43164</v>
      </c>
      <c r="H435" s="174" t="s">
        <v>29</v>
      </c>
      <c r="I435" s="175" t="str">
        <f>VLOOKUP($H435,Mapping!$A:$A,1,0)</f>
        <v>NO BROKER SEND</v>
      </c>
      <c r="J435" s="177" t="s">
        <v>466</v>
      </c>
      <c r="K435" s="174" t="s">
        <v>1657</v>
      </c>
      <c r="L435" s="178">
        <v>2535000</v>
      </c>
      <c r="M435" s="178">
        <v>100.875</v>
      </c>
      <c r="N435" s="178">
        <v>5.5791729333999998</v>
      </c>
      <c r="O435" s="178">
        <v>2601719.7916666702</v>
      </c>
      <c r="P435" s="174" t="s">
        <v>337</v>
      </c>
      <c r="Q435" s="174" t="s">
        <v>1658</v>
      </c>
      <c r="R435" s="174" t="s">
        <v>22</v>
      </c>
      <c r="S435" s="174" t="s">
        <v>130</v>
      </c>
      <c r="T435" s="175" t="str">
        <f>VLOOKUP($S435,Mapping!$C:$C,1,0)</f>
        <v>Manual</v>
      </c>
      <c r="U435" s="175"/>
      <c r="V435" s="175"/>
      <c r="W435" s="175"/>
      <c r="X435" s="175"/>
      <c r="Y435" s="174" t="s">
        <v>489</v>
      </c>
      <c r="Z435" s="174" t="s">
        <v>906</v>
      </c>
      <c r="AA435" s="174" t="s">
        <v>22</v>
      </c>
      <c r="AB435" s="174"/>
      <c r="AC435" s="175"/>
      <c r="AD435" s="174" t="s">
        <v>1578</v>
      </c>
      <c r="AE435" s="175"/>
      <c r="AF435" s="175"/>
      <c r="AG435" s="176">
        <v>43164.448379629626</v>
      </c>
      <c r="AH435" s="176">
        <v>43164.448449074072</v>
      </c>
      <c r="AI435" s="175"/>
      <c r="AJ435" s="175"/>
      <c r="AK435" s="178">
        <v>1</v>
      </c>
    </row>
    <row r="436" spans="1:37" x14ac:dyDescent="0.25">
      <c r="A436" s="174" t="s">
        <v>484</v>
      </c>
      <c r="B436" s="174" t="s">
        <v>1661</v>
      </c>
      <c r="C436" s="175"/>
      <c r="D436" s="174" t="s">
        <v>478</v>
      </c>
      <c r="E436" s="174" t="s">
        <v>903</v>
      </c>
      <c r="F436" s="176">
        <v>43164</v>
      </c>
      <c r="G436" s="176">
        <v>43164</v>
      </c>
      <c r="H436" s="174" t="s">
        <v>29</v>
      </c>
      <c r="I436" s="175" t="str">
        <f>VLOOKUP($H436,Mapping!$A:$A,1,0)</f>
        <v>NO BROKER SEND</v>
      </c>
      <c r="J436" s="179" t="s">
        <v>486</v>
      </c>
      <c r="K436" s="174" t="s">
        <v>1657</v>
      </c>
      <c r="L436" s="178">
        <v>2535000</v>
      </c>
      <c r="M436" s="178">
        <v>100.875</v>
      </c>
      <c r="N436" s="178">
        <v>5.5791729333999998</v>
      </c>
      <c r="O436" s="178">
        <v>-2601719.7916666702</v>
      </c>
      <c r="P436" s="174" t="s">
        <v>337</v>
      </c>
      <c r="Q436" s="174" t="s">
        <v>1658</v>
      </c>
      <c r="R436" s="174" t="s">
        <v>22</v>
      </c>
      <c r="S436" s="174" t="s">
        <v>130</v>
      </c>
      <c r="T436" s="175" t="str">
        <f>VLOOKUP($S436,Mapping!$C:$C,1,0)</f>
        <v>Manual</v>
      </c>
      <c r="U436" s="175"/>
      <c r="V436" s="175"/>
      <c r="W436" s="175"/>
      <c r="X436" s="175"/>
      <c r="Y436" s="174" t="s">
        <v>489</v>
      </c>
      <c r="Z436" s="174" t="s">
        <v>906</v>
      </c>
      <c r="AA436" s="174" t="s">
        <v>22</v>
      </c>
      <c r="AB436" s="174"/>
      <c r="AC436" s="175"/>
      <c r="AD436" s="174" t="s">
        <v>1578</v>
      </c>
      <c r="AE436" s="175"/>
      <c r="AF436" s="175"/>
      <c r="AG436" s="176">
        <v>43164.448379629626</v>
      </c>
      <c r="AH436" s="176">
        <v>43164.448495370372</v>
      </c>
      <c r="AI436" s="175"/>
      <c r="AJ436" s="175"/>
      <c r="AK436" s="178">
        <v>1</v>
      </c>
    </row>
    <row r="437" spans="1:37" x14ac:dyDescent="0.25">
      <c r="A437" s="174" t="s">
        <v>484</v>
      </c>
      <c r="B437" s="174" t="s">
        <v>1662</v>
      </c>
      <c r="C437" s="175"/>
      <c r="D437" s="174" t="s">
        <v>478</v>
      </c>
      <c r="E437" s="174" t="s">
        <v>903</v>
      </c>
      <c r="F437" s="176">
        <v>43164</v>
      </c>
      <c r="G437" s="176">
        <v>43164</v>
      </c>
      <c r="H437" s="174" t="s">
        <v>29</v>
      </c>
      <c r="I437" s="175" t="str">
        <f>VLOOKUP($H437,Mapping!$A:$A,1,0)</f>
        <v>NO BROKER SEND</v>
      </c>
      <c r="J437" s="177" t="s">
        <v>466</v>
      </c>
      <c r="K437" s="174" t="s">
        <v>1657</v>
      </c>
      <c r="L437" s="178">
        <v>2200000</v>
      </c>
      <c r="M437" s="178">
        <v>100.875</v>
      </c>
      <c r="N437" s="178">
        <v>5.5791729333999998</v>
      </c>
      <c r="O437" s="178">
        <v>2257902.7777777798</v>
      </c>
      <c r="P437" s="174" t="s">
        <v>337</v>
      </c>
      <c r="Q437" s="174" t="s">
        <v>1658</v>
      </c>
      <c r="R437" s="174" t="s">
        <v>22</v>
      </c>
      <c r="S437" s="174" t="s">
        <v>130</v>
      </c>
      <c r="T437" s="175" t="str">
        <f>VLOOKUP($S437,Mapping!$C:$C,1,0)</f>
        <v>Manual</v>
      </c>
      <c r="U437" s="175"/>
      <c r="V437" s="175"/>
      <c r="W437" s="175"/>
      <c r="X437" s="175"/>
      <c r="Y437" s="174" t="s">
        <v>489</v>
      </c>
      <c r="Z437" s="174" t="s">
        <v>906</v>
      </c>
      <c r="AA437" s="174" t="s">
        <v>22</v>
      </c>
      <c r="AB437" s="174"/>
      <c r="AC437" s="175"/>
      <c r="AD437" s="174" t="s">
        <v>1578</v>
      </c>
      <c r="AE437" s="175"/>
      <c r="AF437" s="175"/>
      <c r="AG437" s="176">
        <v>43164.448379629626</v>
      </c>
      <c r="AH437" s="176">
        <v>43164.448506944442</v>
      </c>
      <c r="AI437" s="175"/>
      <c r="AJ437" s="175"/>
      <c r="AK437" s="178">
        <v>1</v>
      </c>
    </row>
    <row r="438" spans="1:37" x14ac:dyDescent="0.25">
      <c r="A438" s="174" t="s">
        <v>484</v>
      </c>
      <c r="B438" s="174" t="s">
        <v>1663</v>
      </c>
      <c r="C438" s="175"/>
      <c r="D438" s="174" t="s">
        <v>478</v>
      </c>
      <c r="E438" s="174" t="s">
        <v>903</v>
      </c>
      <c r="F438" s="176">
        <v>43164</v>
      </c>
      <c r="G438" s="176">
        <v>43164</v>
      </c>
      <c r="H438" s="174" t="s">
        <v>29</v>
      </c>
      <c r="I438" s="175" t="str">
        <f>VLOOKUP($H438,Mapping!$A:$A,1,0)</f>
        <v>NO BROKER SEND</v>
      </c>
      <c r="J438" s="179" t="s">
        <v>486</v>
      </c>
      <c r="K438" s="174" t="s">
        <v>1657</v>
      </c>
      <c r="L438" s="178">
        <v>2200000</v>
      </c>
      <c r="M438" s="178">
        <v>100.875</v>
      </c>
      <c r="N438" s="178">
        <v>5.5791729333999998</v>
      </c>
      <c r="O438" s="178">
        <v>-2257902.7777777798</v>
      </c>
      <c r="P438" s="174" t="s">
        <v>337</v>
      </c>
      <c r="Q438" s="174" t="s">
        <v>1658</v>
      </c>
      <c r="R438" s="174" t="s">
        <v>22</v>
      </c>
      <c r="S438" s="174" t="s">
        <v>130</v>
      </c>
      <c r="T438" s="175" t="str">
        <f>VLOOKUP($S438,Mapping!$C:$C,1,0)</f>
        <v>Manual</v>
      </c>
      <c r="U438" s="175"/>
      <c r="V438" s="175"/>
      <c r="W438" s="175"/>
      <c r="X438" s="175"/>
      <c r="Y438" s="174" t="s">
        <v>489</v>
      </c>
      <c r="Z438" s="174" t="s">
        <v>906</v>
      </c>
      <c r="AA438" s="174" t="s">
        <v>22</v>
      </c>
      <c r="AB438" s="174"/>
      <c r="AC438" s="175"/>
      <c r="AD438" s="174" t="s">
        <v>1578</v>
      </c>
      <c r="AE438" s="175"/>
      <c r="AF438" s="175"/>
      <c r="AG438" s="176">
        <v>43164.448391203703</v>
      </c>
      <c r="AH438" s="176">
        <v>43164.448518518519</v>
      </c>
      <c r="AI438" s="175"/>
      <c r="AJ438" s="175"/>
      <c r="AK438" s="178">
        <v>1</v>
      </c>
    </row>
    <row r="439" spans="1:37" x14ac:dyDescent="0.25">
      <c r="A439" s="174" t="s">
        <v>484</v>
      </c>
      <c r="B439" s="174" t="s">
        <v>1664</v>
      </c>
      <c r="C439" s="175"/>
      <c r="D439" s="174" t="s">
        <v>478</v>
      </c>
      <c r="E439" s="174" t="s">
        <v>903</v>
      </c>
      <c r="F439" s="176">
        <v>43164</v>
      </c>
      <c r="G439" s="176">
        <v>43164</v>
      </c>
      <c r="H439" s="174" t="s">
        <v>29</v>
      </c>
      <c r="I439" s="175" t="str">
        <f>VLOOKUP($H439,Mapping!$A:$A,1,0)</f>
        <v>NO BROKER SEND</v>
      </c>
      <c r="J439" s="179" t="s">
        <v>486</v>
      </c>
      <c r="K439" s="174" t="s">
        <v>1657</v>
      </c>
      <c r="L439" s="178">
        <v>125000</v>
      </c>
      <c r="M439" s="178">
        <v>100.875</v>
      </c>
      <c r="N439" s="178">
        <v>5.5791729333999998</v>
      </c>
      <c r="O439" s="178">
        <v>-128289.93055556</v>
      </c>
      <c r="P439" s="174" t="s">
        <v>337</v>
      </c>
      <c r="Q439" s="174" t="s">
        <v>1658</v>
      </c>
      <c r="R439" s="174" t="s">
        <v>22</v>
      </c>
      <c r="S439" s="174" t="s">
        <v>130</v>
      </c>
      <c r="T439" s="175" t="str">
        <f>VLOOKUP($S439,Mapping!$C:$C,1,0)</f>
        <v>Manual</v>
      </c>
      <c r="U439" s="175"/>
      <c r="V439" s="175"/>
      <c r="W439" s="175"/>
      <c r="X439" s="175"/>
      <c r="Y439" s="174" t="s">
        <v>489</v>
      </c>
      <c r="Z439" s="174" t="s">
        <v>906</v>
      </c>
      <c r="AA439" s="174" t="s">
        <v>22</v>
      </c>
      <c r="AB439" s="174"/>
      <c r="AC439" s="175"/>
      <c r="AD439" s="174" t="s">
        <v>1578</v>
      </c>
      <c r="AE439" s="175"/>
      <c r="AF439" s="175"/>
      <c r="AG439" s="176">
        <v>43164.448391203703</v>
      </c>
      <c r="AH439" s="176">
        <v>43164.448530092595</v>
      </c>
      <c r="AI439" s="175"/>
      <c r="AJ439" s="175"/>
      <c r="AK439" s="178">
        <v>1</v>
      </c>
    </row>
    <row r="440" spans="1:37" x14ac:dyDescent="0.25">
      <c r="A440" s="174" t="s">
        <v>484</v>
      </c>
      <c r="B440" s="174" t="s">
        <v>1665</v>
      </c>
      <c r="C440" s="175"/>
      <c r="D440" s="174" t="s">
        <v>478</v>
      </c>
      <c r="E440" s="174" t="s">
        <v>903</v>
      </c>
      <c r="F440" s="176">
        <v>43164</v>
      </c>
      <c r="G440" s="176">
        <v>43164</v>
      </c>
      <c r="H440" s="174" t="s">
        <v>29</v>
      </c>
      <c r="I440" s="175" t="str">
        <f>VLOOKUP($H440,Mapping!$A:$A,1,0)</f>
        <v>NO BROKER SEND</v>
      </c>
      <c r="J440" s="179" t="s">
        <v>486</v>
      </c>
      <c r="K440" s="174" t="s">
        <v>1657</v>
      </c>
      <c r="L440" s="178">
        <v>2290000</v>
      </c>
      <c r="M440" s="178">
        <v>100.875</v>
      </c>
      <c r="N440" s="178">
        <v>5.5791729333999998</v>
      </c>
      <c r="O440" s="178">
        <v>-2350271.5277777803</v>
      </c>
      <c r="P440" s="174" t="s">
        <v>337</v>
      </c>
      <c r="Q440" s="174" t="s">
        <v>1658</v>
      </c>
      <c r="R440" s="174" t="s">
        <v>22</v>
      </c>
      <c r="S440" s="174" t="s">
        <v>130</v>
      </c>
      <c r="T440" s="175" t="str">
        <f>VLOOKUP($S440,Mapping!$C:$C,1,0)</f>
        <v>Manual</v>
      </c>
      <c r="U440" s="175"/>
      <c r="V440" s="175"/>
      <c r="W440" s="175"/>
      <c r="X440" s="175"/>
      <c r="Y440" s="174" t="s">
        <v>489</v>
      </c>
      <c r="Z440" s="174" t="s">
        <v>906</v>
      </c>
      <c r="AA440" s="174" t="s">
        <v>22</v>
      </c>
      <c r="AB440" s="174"/>
      <c r="AC440" s="175"/>
      <c r="AD440" s="174" t="s">
        <v>1578</v>
      </c>
      <c r="AE440" s="175"/>
      <c r="AF440" s="175"/>
      <c r="AG440" s="176">
        <v>43164.44840277778</v>
      </c>
      <c r="AH440" s="176">
        <v>43164.448541666665</v>
      </c>
      <c r="AI440" s="175"/>
      <c r="AJ440" s="175"/>
      <c r="AK440" s="178">
        <v>1</v>
      </c>
    </row>
    <row r="441" spans="1:37" x14ac:dyDescent="0.25">
      <c r="A441" s="174" t="s">
        <v>484</v>
      </c>
      <c r="B441" s="174" t="s">
        <v>1666</v>
      </c>
      <c r="C441" s="175"/>
      <c r="D441" s="174" t="s">
        <v>478</v>
      </c>
      <c r="E441" s="174" t="s">
        <v>903</v>
      </c>
      <c r="F441" s="176">
        <v>43164</v>
      </c>
      <c r="G441" s="176">
        <v>43164</v>
      </c>
      <c r="H441" s="174" t="s">
        <v>29</v>
      </c>
      <c r="I441" s="175" t="str">
        <f>VLOOKUP($H441,Mapping!$A:$A,1,0)</f>
        <v>NO BROKER SEND</v>
      </c>
      <c r="J441" s="177" t="s">
        <v>466</v>
      </c>
      <c r="K441" s="174" t="s">
        <v>1657</v>
      </c>
      <c r="L441" s="178">
        <v>2290000</v>
      </c>
      <c r="M441" s="178">
        <v>100.875</v>
      </c>
      <c r="N441" s="178">
        <v>5.5791729333999998</v>
      </c>
      <c r="O441" s="178">
        <v>2350271.5277777803</v>
      </c>
      <c r="P441" s="174" t="s">
        <v>337</v>
      </c>
      <c r="Q441" s="174" t="s">
        <v>1658</v>
      </c>
      <c r="R441" s="174" t="s">
        <v>22</v>
      </c>
      <c r="S441" s="174" t="s">
        <v>130</v>
      </c>
      <c r="T441" s="175" t="str">
        <f>VLOOKUP($S441,Mapping!$C:$C,1,0)</f>
        <v>Manual</v>
      </c>
      <c r="U441" s="175"/>
      <c r="V441" s="175"/>
      <c r="W441" s="175"/>
      <c r="X441" s="175"/>
      <c r="Y441" s="174" t="s">
        <v>489</v>
      </c>
      <c r="Z441" s="174" t="s">
        <v>906</v>
      </c>
      <c r="AA441" s="174" t="s">
        <v>22</v>
      </c>
      <c r="AB441" s="174"/>
      <c r="AC441" s="175"/>
      <c r="AD441" s="174" t="s">
        <v>1578</v>
      </c>
      <c r="AE441" s="175"/>
      <c r="AF441" s="175"/>
      <c r="AG441" s="176">
        <v>43164.448391203703</v>
      </c>
      <c r="AH441" s="176">
        <v>43164.448564814818</v>
      </c>
      <c r="AI441" s="175"/>
      <c r="AJ441" s="175"/>
      <c r="AK441" s="178">
        <v>1</v>
      </c>
    </row>
    <row r="442" spans="1:37" x14ac:dyDescent="0.25">
      <c r="A442" s="174" t="s">
        <v>484</v>
      </c>
      <c r="B442" s="174" t="s">
        <v>1667</v>
      </c>
      <c r="C442" s="175"/>
      <c r="D442" s="174" t="s">
        <v>478</v>
      </c>
      <c r="E442" s="174" t="s">
        <v>903</v>
      </c>
      <c r="F442" s="176">
        <v>43164</v>
      </c>
      <c r="G442" s="176">
        <v>43164</v>
      </c>
      <c r="H442" s="174" t="s">
        <v>29</v>
      </c>
      <c r="I442" s="175" t="str">
        <f>VLOOKUP($H442,Mapping!$A:$A,1,0)</f>
        <v>NO BROKER SEND</v>
      </c>
      <c r="J442" s="177" t="s">
        <v>466</v>
      </c>
      <c r="K442" s="174" t="s">
        <v>1657</v>
      </c>
      <c r="L442" s="178">
        <v>125000</v>
      </c>
      <c r="M442" s="178">
        <v>100.875</v>
      </c>
      <c r="N442" s="178">
        <v>5.5791729333999998</v>
      </c>
      <c r="O442" s="178">
        <v>128289.93055556</v>
      </c>
      <c r="P442" s="174" t="s">
        <v>337</v>
      </c>
      <c r="Q442" s="174" t="s">
        <v>1658</v>
      </c>
      <c r="R442" s="174" t="s">
        <v>22</v>
      </c>
      <c r="S442" s="174" t="s">
        <v>130</v>
      </c>
      <c r="T442" s="175" t="str">
        <f>VLOOKUP($S442,Mapping!$C:$C,1,0)</f>
        <v>Manual</v>
      </c>
      <c r="U442" s="175"/>
      <c r="V442" s="175"/>
      <c r="W442" s="175"/>
      <c r="X442" s="175"/>
      <c r="Y442" s="174" t="s">
        <v>489</v>
      </c>
      <c r="Z442" s="174" t="s">
        <v>906</v>
      </c>
      <c r="AA442" s="174" t="s">
        <v>22</v>
      </c>
      <c r="AB442" s="174"/>
      <c r="AC442" s="175"/>
      <c r="AD442" s="174" t="s">
        <v>1578</v>
      </c>
      <c r="AE442" s="175"/>
      <c r="AF442" s="175"/>
      <c r="AG442" s="176">
        <v>43164.448379629626</v>
      </c>
      <c r="AH442" s="176">
        <v>43164.448576388888</v>
      </c>
      <c r="AI442" s="175"/>
      <c r="AJ442" s="175"/>
      <c r="AK442" s="178">
        <v>1</v>
      </c>
    </row>
    <row r="443" spans="1:37" x14ac:dyDescent="0.25">
      <c r="A443" s="174" t="s">
        <v>484</v>
      </c>
      <c r="B443" s="174" t="s">
        <v>1668</v>
      </c>
      <c r="C443" s="175"/>
      <c r="D443" s="174" t="s">
        <v>478</v>
      </c>
      <c r="E443" s="174" t="s">
        <v>903</v>
      </c>
      <c r="F443" s="176">
        <v>43164</v>
      </c>
      <c r="G443" s="176">
        <v>43164</v>
      </c>
      <c r="H443" s="174" t="s">
        <v>29</v>
      </c>
      <c r="I443" s="175" t="str">
        <f>VLOOKUP($H443,Mapping!$A:$A,1,0)</f>
        <v>NO BROKER SEND</v>
      </c>
      <c r="J443" s="177" t="s">
        <v>466</v>
      </c>
      <c r="K443" s="174" t="s">
        <v>1669</v>
      </c>
      <c r="L443" s="178">
        <v>2000000</v>
      </c>
      <c r="M443" s="178">
        <v>89.5</v>
      </c>
      <c r="N443" s="178">
        <v>8.8582168280999998</v>
      </c>
      <c r="O443" s="178">
        <v>1843819.4444444401</v>
      </c>
      <c r="P443" s="174" t="s">
        <v>337</v>
      </c>
      <c r="Q443" s="174" t="s">
        <v>1670</v>
      </c>
      <c r="R443" s="174" t="s">
        <v>22</v>
      </c>
      <c r="S443" s="174" t="s">
        <v>130</v>
      </c>
      <c r="T443" s="175" t="str">
        <f>VLOOKUP($S443,Mapping!$C:$C,1,0)</f>
        <v>Manual</v>
      </c>
      <c r="U443" s="175"/>
      <c r="V443" s="175"/>
      <c r="W443" s="175"/>
      <c r="X443" s="175"/>
      <c r="Y443" s="174" t="s">
        <v>489</v>
      </c>
      <c r="Z443" s="174" t="s">
        <v>906</v>
      </c>
      <c r="AA443" s="174" t="s">
        <v>22</v>
      </c>
      <c r="AB443" s="174"/>
      <c r="AC443" s="175"/>
      <c r="AD443" s="174" t="s">
        <v>1578</v>
      </c>
      <c r="AE443" s="175"/>
      <c r="AF443" s="175"/>
      <c r="AG443" s="176">
        <v>43164.44908564815</v>
      </c>
      <c r="AH443" s="176">
        <v>43164.449363425927</v>
      </c>
      <c r="AI443" s="175"/>
      <c r="AJ443" s="175"/>
      <c r="AK443" s="178">
        <v>1</v>
      </c>
    </row>
    <row r="444" spans="1:37" x14ac:dyDescent="0.25">
      <c r="A444" s="174" t="s">
        <v>484</v>
      </c>
      <c r="B444" s="174" t="s">
        <v>1671</v>
      </c>
      <c r="C444" s="175"/>
      <c r="D444" s="174" t="s">
        <v>478</v>
      </c>
      <c r="E444" s="174" t="s">
        <v>903</v>
      </c>
      <c r="F444" s="176">
        <v>43164</v>
      </c>
      <c r="G444" s="176">
        <v>43164</v>
      </c>
      <c r="H444" s="174" t="s">
        <v>29</v>
      </c>
      <c r="I444" s="175" t="str">
        <f>VLOOKUP($H444,Mapping!$A:$A,1,0)</f>
        <v>NO BROKER SEND</v>
      </c>
      <c r="J444" s="177" t="s">
        <v>466</v>
      </c>
      <c r="K444" s="174" t="s">
        <v>1669</v>
      </c>
      <c r="L444" s="178">
        <v>1000000</v>
      </c>
      <c r="M444" s="178">
        <v>89.5</v>
      </c>
      <c r="N444" s="178">
        <v>8.8582168280999998</v>
      </c>
      <c r="O444" s="178">
        <v>921909.72222222004</v>
      </c>
      <c r="P444" s="174" t="s">
        <v>337</v>
      </c>
      <c r="Q444" s="174" t="s">
        <v>1670</v>
      </c>
      <c r="R444" s="174" t="s">
        <v>22</v>
      </c>
      <c r="S444" s="174" t="s">
        <v>130</v>
      </c>
      <c r="T444" s="175" t="str">
        <f>VLOOKUP($S444,Mapping!$C:$C,1,0)</f>
        <v>Manual</v>
      </c>
      <c r="U444" s="175"/>
      <c r="V444" s="175"/>
      <c r="W444" s="175"/>
      <c r="X444" s="175"/>
      <c r="Y444" s="174" t="s">
        <v>489</v>
      </c>
      <c r="Z444" s="174" t="s">
        <v>906</v>
      </c>
      <c r="AA444" s="174" t="s">
        <v>22</v>
      </c>
      <c r="AB444" s="174"/>
      <c r="AC444" s="175"/>
      <c r="AD444" s="174" t="s">
        <v>1578</v>
      </c>
      <c r="AE444" s="175"/>
      <c r="AF444" s="175"/>
      <c r="AG444" s="176">
        <v>43164.449108796296</v>
      </c>
      <c r="AH444" s="176">
        <v>43164.449525462966</v>
      </c>
      <c r="AI444" s="175"/>
      <c r="AJ444" s="175"/>
      <c r="AK444" s="178">
        <v>1</v>
      </c>
    </row>
    <row r="445" spans="1:37" x14ac:dyDescent="0.25">
      <c r="A445" s="174" t="s">
        <v>484</v>
      </c>
      <c r="B445" s="174" t="s">
        <v>1672</v>
      </c>
      <c r="C445" s="175"/>
      <c r="D445" s="174" t="s">
        <v>478</v>
      </c>
      <c r="E445" s="174" t="s">
        <v>903</v>
      </c>
      <c r="F445" s="176">
        <v>43164</v>
      </c>
      <c r="G445" s="176">
        <v>43164</v>
      </c>
      <c r="H445" s="174" t="s">
        <v>29</v>
      </c>
      <c r="I445" s="175" t="str">
        <f>VLOOKUP($H445,Mapping!$A:$A,1,0)</f>
        <v>NO BROKER SEND</v>
      </c>
      <c r="J445" s="179" t="s">
        <v>486</v>
      </c>
      <c r="K445" s="174" t="s">
        <v>1669</v>
      </c>
      <c r="L445" s="178">
        <v>1000000</v>
      </c>
      <c r="M445" s="178">
        <v>89.5</v>
      </c>
      <c r="N445" s="178">
        <v>8.8582168280999998</v>
      </c>
      <c r="O445" s="178">
        <v>-921909.72222222004</v>
      </c>
      <c r="P445" s="174" t="s">
        <v>337</v>
      </c>
      <c r="Q445" s="174" t="s">
        <v>1670</v>
      </c>
      <c r="R445" s="174" t="s">
        <v>22</v>
      </c>
      <c r="S445" s="174" t="s">
        <v>130</v>
      </c>
      <c r="T445" s="175" t="str">
        <f>VLOOKUP($S445,Mapping!$C:$C,1,0)</f>
        <v>Manual</v>
      </c>
      <c r="U445" s="175"/>
      <c r="V445" s="175"/>
      <c r="W445" s="175"/>
      <c r="X445" s="175"/>
      <c r="Y445" s="174" t="s">
        <v>489</v>
      </c>
      <c r="Z445" s="174" t="s">
        <v>906</v>
      </c>
      <c r="AA445" s="174" t="s">
        <v>22</v>
      </c>
      <c r="AB445" s="174"/>
      <c r="AC445" s="175"/>
      <c r="AD445" s="174" t="s">
        <v>1578</v>
      </c>
      <c r="AE445" s="175"/>
      <c r="AF445" s="175"/>
      <c r="AG445" s="176">
        <v>43164.449120370373</v>
      </c>
      <c r="AH445" s="176">
        <v>43164.449537037035</v>
      </c>
      <c r="AI445" s="175"/>
      <c r="AJ445" s="175"/>
      <c r="AK445" s="178">
        <v>1</v>
      </c>
    </row>
    <row r="446" spans="1:37" x14ac:dyDescent="0.25">
      <c r="A446" s="174" t="s">
        <v>484</v>
      </c>
      <c r="B446" s="174" t="s">
        <v>1673</v>
      </c>
      <c r="C446" s="175"/>
      <c r="D446" s="174" t="s">
        <v>478</v>
      </c>
      <c r="E446" s="174" t="s">
        <v>903</v>
      </c>
      <c r="F446" s="176">
        <v>43164</v>
      </c>
      <c r="G446" s="176">
        <v>43164</v>
      </c>
      <c r="H446" s="174" t="s">
        <v>29</v>
      </c>
      <c r="I446" s="175" t="str">
        <f>VLOOKUP($H446,Mapping!$A:$A,1,0)</f>
        <v>NO BROKER SEND</v>
      </c>
      <c r="J446" s="179" t="s">
        <v>486</v>
      </c>
      <c r="K446" s="174" t="s">
        <v>1669</v>
      </c>
      <c r="L446" s="178">
        <v>2000000</v>
      </c>
      <c r="M446" s="178">
        <v>89.5</v>
      </c>
      <c r="N446" s="178">
        <v>8.8582168280999998</v>
      </c>
      <c r="O446" s="178">
        <v>-1843819.4444444401</v>
      </c>
      <c r="P446" s="174" t="s">
        <v>337</v>
      </c>
      <c r="Q446" s="174" t="s">
        <v>1670</v>
      </c>
      <c r="R446" s="174" t="s">
        <v>22</v>
      </c>
      <c r="S446" s="174" t="s">
        <v>130</v>
      </c>
      <c r="T446" s="175" t="str">
        <f>VLOOKUP($S446,Mapping!$C:$C,1,0)</f>
        <v>Manual</v>
      </c>
      <c r="U446" s="175"/>
      <c r="V446" s="175"/>
      <c r="W446" s="175"/>
      <c r="X446" s="175"/>
      <c r="Y446" s="174" t="s">
        <v>489</v>
      </c>
      <c r="Z446" s="174" t="s">
        <v>906</v>
      </c>
      <c r="AA446" s="174" t="s">
        <v>22</v>
      </c>
      <c r="AB446" s="174"/>
      <c r="AC446" s="175"/>
      <c r="AD446" s="174" t="s">
        <v>1578</v>
      </c>
      <c r="AE446" s="175"/>
      <c r="AF446" s="175"/>
      <c r="AG446" s="176">
        <v>43164.449143518519</v>
      </c>
      <c r="AH446" s="176">
        <v>43164.449560185189</v>
      </c>
      <c r="AI446" s="175"/>
      <c r="AJ446" s="175"/>
      <c r="AK446" s="178">
        <v>1</v>
      </c>
    </row>
    <row r="447" spans="1:37" x14ac:dyDescent="0.25">
      <c r="A447" s="174" t="s">
        <v>484</v>
      </c>
      <c r="B447" s="174" t="s">
        <v>1674</v>
      </c>
      <c r="C447" s="175"/>
      <c r="D447" s="174" t="s">
        <v>478</v>
      </c>
      <c r="E447" s="174" t="s">
        <v>903</v>
      </c>
      <c r="F447" s="176">
        <v>43164</v>
      </c>
      <c r="G447" s="176">
        <v>43164</v>
      </c>
      <c r="H447" s="174" t="s">
        <v>29</v>
      </c>
      <c r="I447" s="175" t="str">
        <f>VLOOKUP($H447,Mapping!$A:$A,1,0)</f>
        <v>NO BROKER SEND</v>
      </c>
      <c r="J447" s="177" t="s">
        <v>466</v>
      </c>
      <c r="K447" s="174" t="s">
        <v>1669</v>
      </c>
      <c r="L447" s="178">
        <v>1000000</v>
      </c>
      <c r="M447" s="178">
        <v>89.5</v>
      </c>
      <c r="N447" s="178">
        <v>8.8582168280999998</v>
      </c>
      <c r="O447" s="178">
        <v>921909.72222222004</v>
      </c>
      <c r="P447" s="174" t="s">
        <v>337</v>
      </c>
      <c r="Q447" s="174" t="s">
        <v>1670</v>
      </c>
      <c r="R447" s="174" t="s">
        <v>22</v>
      </c>
      <c r="S447" s="174" t="s">
        <v>130</v>
      </c>
      <c r="T447" s="175" t="str">
        <f>VLOOKUP($S447,Mapping!$C:$C,1,0)</f>
        <v>Manual</v>
      </c>
      <c r="U447" s="175"/>
      <c r="V447" s="175"/>
      <c r="W447" s="175"/>
      <c r="X447" s="175"/>
      <c r="Y447" s="174" t="s">
        <v>489</v>
      </c>
      <c r="Z447" s="174" t="s">
        <v>906</v>
      </c>
      <c r="AA447" s="174" t="s">
        <v>22</v>
      </c>
      <c r="AB447" s="174"/>
      <c r="AC447" s="175"/>
      <c r="AD447" s="174" t="s">
        <v>1578</v>
      </c>
      <c r="AE447" s="175"/>
      <c r="AF447" s="175"/>
      <c r="AG447" s="176">
        <v>43164.449178240742</v>
      </c>
      <c r="AH447" s="176">
        <v>43164.449571759258</v>
      </c>
      <c r="AI447" s="175"/>
      <c r="AJ447" s="175"/>
      <c r="AK447" s="178">
        <v>1</v>
      </c>
    </row>
    <row r="448" spans="1:37" x14ac:dyDescent="0.25">
      <c r="A448" s="174" t="s">
        <v>484</v>
      </c>
      <c r="B448" s="174" t="s">
        <v>1675</v>
      </c>
      <c r="C448" s="175"/>
      <c r="D448" s="174" t="s">
        <v>478</v>
      </c>
      <c r="E448" s="174" t="s">
        <v>903</v>
      </c>
      <c r="F448" s="176">
        <v>43164</v>
      </c>
      <c r="G448" s="176">
        <v>43164</v>
      </c>
      <c r="H448" s="174" t="s">
        <v>29</v>
      </c>
      <c r="I448" s="175" t="str">
        <f>VLOOKUP($H448,Mapping!$A:$A,1,0)</f>
        <v>NO BROKER SEND</v>
      </c>
      <c r="J448" s="179" t="s">
        <v>486</v>
      </c>
      <c r="K448" s="174" t="s">
        <v>1669</v>
      </c>
      <c r="L448" s="178">
        <v>1000000</v>
      </c>
      <c r="M448" s="178">
        <v>89.5</v>
      </c>
      <c r="N448" s="178">
        <v>8.8582168280999998</v>
      </c>
      <c r="O448" s="178">
        <v>-921909.72222222004</v>
      </c>
      <c r="P448" s="174" t="s">
        <v>337</v>
      </c>
      <c r="Q448" s="174" t="s">
        <v>1670</v>
      </c>
      <c r="R448" s="174" t="s">
        <v>22</v>
      </c>
      <c r="S448" s="174" t="s">
        <v>130</v>
      </c>
      <c r="T448" s="175" t="str">
        <f>VLOOKUP($S448,Mapping!$C:$C,1,0)</f>
        <v>Manual</v>
      </c>
      <c r="U448" s="175"/>
      <c r="V448" s="175"/>
      <c r="W448" s="175"/>
      <c r="X448" s="175"/>
      <c r="Y448" s="174" t="s">
        <v>489</v>
      </c>
      <c r="Z448" s="174" t="s">
        <v>906</v>
      </c>
      <c r="AA448" s="174" t="s">
        <v>22</v>
      </c>
      <c r="AB448" s="174"/>
      <c r="AC448" s="175"/>
      <c r="AD448" s="174" t="s">
        <v>1578</v>
      </c>
      <c r="AE448" s="175"/>
      <c r="AF448" s="175"/>
      <c r="AG448" s="176">
        <v>43164.449189814812</v>
      </c>
      <c r="AH448" s="176">
        <v>43164.449583333335</v>
      </c>
      <c r="AI448" s="175"/>
      <c r="AJ448" s="175"/>
      <c r="AK448" s="178">
        <v>1</v>
      </c>
    </row>
    <row r="449" spans="1:37" x14ac:dyDescent="0.25">
      <c r="A449" s="174" t="s">
        <v>484</v>
      </c>
      <c r="B449" s="174" t="s">
        <v>1676</v>
      </c>
      <c r="C449" s="175"/>
      <c r="D449" s="174" t="s">
        <v>478</v>
      </c>
      <c r="E449" s="174" t="s">
        <v>903</v>
      </c>
      <c r="F449" s="176">
        <v>43164</v>
      </c>
      <c r="G449" s="176">
        <v>43164</v>
      </c>
      <c r="H449" s="174" t="s">
        <v>29</v>
      </c>
      <c r="I449" s="175" t="str">
        <f>VLOOKUP($H449,Mapping!$A:$A,1,0)</f>
        <v>NO BROKER SEND</v>
      </c>
      <c r="J449" s="177" t="s">
        <v>466</v>
      </c>
      <c r="K449" s="174" t="s">
        <v>1669</v>
      </c>
      <c r="L449" s="178">
        <v>340000</v>
      </c>
      <c r="M449" s="178">
        <v>89.5</v>
      </c>
      <c r="N449" s="178">
        <v>8.8582168280999998</v>
      </c>
      <c r="O449" s="178">
        <v>313449.30555555999</v>
      </c>
      <c r="P449" s="174" t="s">
        <v>337</v>
      </c>
      <c r="Q449" s="174" t="s">
        <v>1670</v>
      </c>
      <c r="R449" s="174" t="s">
        <v>22</v>
      </c>
      <c r="S449" s="174" t="s">
        <v>130</v>
      </c>
      <c r="T449" s="175" t="str">
        <f>VLOOKUP($S449,Mapping!$C:$C,1,0)</f>
        <v>Manual</v>
      </c>
      <c r="U449" s="175"/>
      <c r="V449" s="175"/>
      <c r="W449" s="175"/>
      <c r="X449" s="175"/>
      <c r="Y449" s="174" t="s">
        <v>489</v>
      </c>
      <c r="Z449" s="174" t="s">
        <v>906</v>
      </c>
      <c r="AA449" s="174" t="s">
        <v>22</v>
      </c>
      <c r="AB449" s="174"/>
      <c r="AC449" s="175"/>
      <c r="AD449" s="174" t="s">
        <v>1578</v>
      </c>
      <c r="AE449" s="175"/>
      <c r="AF449" s="175"/>
      <c r="AG449" s="176">
        <v>43164.449212962965</v>
      </c>
      <c r="AH449" s="176">
        <v>43164.449594907404</v>
      </c>
      <c r="AI449" s="175"/>
      <c r="AJ449" s="175"/>
      <c r="AK449" s="178">
        <v>1</v>
      </c>
    </row>
    <row r="450" spans="1:37" x14ac:dyDescent="0.25">
      <c r="A450" s="174" t="s">
        <v>484</v>
      </c>
      <c r="B450" s="174" t="s">
        <v>1677</v>
      </c>
      <c r="C450" s="175"/>
      <c r="D450" s="174" t="s">
        <v>478</v>
      </c>
      <c r="E450" s="174" t="s">
        <v>903</v>
      </c>
      <c r="F450" s="176">
        <v>43164</v>
      </c>
      <c r="G450" s="176">
        <v>43164</v>
      </c>
      <c r="H450" s="174" t="s">
        <v>29</v>
      </c>
      <c r="I450" s="175" t="str">
        <f>VLOOKUP($H450,Mapping!$A:$A,1,0)</f>
        <v>NO BROKER SEND</v>
      </c>
      <c r="J450" s="179" t="s">
        <v>486</v>
      </c>
      <c r="K450" s="174" t="s">
        <v>1669</v>
      </c>
      <c r="L450" s="178">
        <v>340000</v>
      </c>
      <c r="M450" s="178">
        <v>89.5</v>
      </c>
      <c r="N450" s="178">
        <v>8.8582168280999998</v>
      </c>
      <c r="O450" s="178">
        <v>-313449.30555555999</v>
      </c>
      <c r="P450" s="174" t="s">
        <v>337</v>
      </c>
      <c r="Q450" s="174" t="s">
        <v>1670</v>
      </c>
      <c r="R450" s="174" t="s">
        <v>22</v>
      </c>
      <c r="S450" s="174" t="s">
        <v>130</v>
      </c>
      <c r="T450" s="175" t="str">
        <f>VLOOKUP($S450,Mapping!$C:$C,1,0)</f>
        <v>Manual</v>
      </c>
      <c r="U450" s="175"/>
      <c r="V450" s="175"/>
      <c r="W450" s="175"/>
      <c r="X450" s="175"/>
      <c r="Y450" s="174" t="s">
        <v>489</v>
      </c>
      <c r="Z450" s="174" t="s">
        <v>906</v>
      </c>
      <c r="AA450" s="174" t="s">
        <v>22</v>
      </c>
      <c r="AB450" s="174"/>
      <c r="AC450" s="175"/>
      <c r="AD450" s="174" t="s">
        <v>1578</v>
      </c>
      <c r="AE450" s="175"/>
      <c r="AF450" s="175"/>
      <c r="AG450" s="176">
        <v>43164.449224537035</v>
      </c>
      <c r="AH450" s="176">
        <v>43164.449606481481</v>
      </c>
      <c r="AI450" s="175"/>
      <c r="AJ450" s="175"/>
      <c r="AK450" s="178">
        <v>1</v>
      </c>
    </row>
    <row r="451" spans="1:37" x14ac:dyDescent="0.25">
      <c r="A451" s="174" t="s">
        <v>484</v>
      </c>
      <c r="B451" s="174" t="s">
        <v>1678</v>
      </c>
      <c r="C451" s="175"/>
      <c r="D451" s="174" t="s">
        <v>478</v>
      </c>
      <c r="E451" s="174" t="s">
        <v>903</v>
      </c>
      <c r="F451" s="176">
        <v>43164</v>
      </c>
      <c r="G451" s="176">
        <v>43164</v>
      </c>
      <c r="H451" s="174" t="s">
        <v>29</v>
      </c>
      <c r="I451" s="175" t="str">
        <f>VLOOKUP($H451,Mapping!$A:$A,1,0)</f>
        <v>NO BROKER SEND</v>
      </c>
      <c r="J451" s="177" t="s">
        <v>466</v>
      </c>
      <c r="K451" s="174" t="s">
        <v>1669</v>
      </c>
      <c r="L451" s="178">
        <v>2160000</v>
      </c>
      <c r="M451" s="178">
        <v>89.5</v>
      </c>
      <c r="N451" s="178">
        <v>8.8582168280999998</v>
      </c>
      <c r="O451" s="178">
        <v>1991325</v>
      </c>
      <c r="P451" s="174" t="s">
        <v>337</v>
      </c>
      <c r="Q451" s="174" t="s">
        <v>1670</v>
      </c>
      <c r="R451" s="174" t="s">
        <v>22</v>
      </c>
      <c r="S451" s="174" t="s">
        <v>130</v>
      </c>
      <c r="T451" s="175" t="str">
        <f>VLOOKUP($S451,Mapping!$C:$C,1,0)</f>
        <v>Manual</v>
      </c>
      <c r="U451" s="175"/>
      <c r="V451" s="175"/>
      <c r="W451" s="175"/>
      <c r="X451" s="175"/>
      <c r="Y451" s="174" t="s">
        <v>489</v>
      </c>
      <c r="Z451" s="174" t="s">
        <v>906</v>
      </c>
      <c r="AA451" s="174" t="s">
        <v>22</v>
      </c>
      <c r="AB451" s="174"/>
      <c r="AC451" s="175"/>
      <c r="AD451" s="174" t="s">
        <v>1578</v>
      </c>
      <c r="AE451" s="175"/>
      <c r="AF451" s="175"/>
      <c r="AG451" s="176">
        <v>43164.449282407404</v>
      </c>
      <c r="AH451" s="176">
        <v>43164.449699074074</v>
      </c>
      <c r="AI451" s="175"/>
      <c r="AJ451" s="175"/>
      <c r="AK451" s="178">
        <v>1</v>
      </c>
    </row>
    <row r="452" spans="1:37" x14ac:dyDescent="0.25">
      <c r="A452" s="174" t="s">
        <v>484</v>
      </c>
      <c r="B452" s="174" t="s">
        <v>1679</v>
      </c>
      <c r="C452" s="175"/>
      <c r="D452" s="174" t="s">
        <v>478</v>
      </c>
      <c r="E452" s="174" t="s">
        <v>903</v>
      </c>
      <c r="F452" s="176">
        <v>43164</v>
      </c>
      <c r="G452" s="176">
        <v>43164</v>
      </c>
      <c r="H452" s="174" t="s">
        <v>29</v>
      </c>
      <c r="I452" s="175" t="str">
        <f>VLOOKUP($H452,Mapping!$A:$A,1,0)</f>
        <v>NO BROKER SEND</v>
      </c>
      <c r="J452" s="177" t="s">
        <v>466</v>
      </c>
      <c r="K452" s="174" t="s">
        <v>1669</v>
      </c>
      <c r="L452" s="178">
        <v>500000</v>
      </c>
      <c r="M452" s="178">
        <v>89.5</v>
      </c>
      <c r="N452" s="178">
        <v>8.8582168280999998</v>
      </c>
      <c r="O452" s="178">
        <v>460954.86111111002</v>
      </c>
      <c r="P452" s="174" t="s">
        <v>337</v>
      </c>
      <c r="Q452" s="174" t="s">
        <v>1670</v>
      </c>
      <c r="R452" s="174" t="s">
        <v>22</v>
      </c>
      <c r="S452" s="174" t="s">
        <v>130</v>
      </c>
      <c r="T452" s="175" t="str">
        <f>VLOOKUP($S452,Mapping!$C:$C,1,0)</f>
        <v>Manual</v>
      </c>
      <c r="U452" s="175"/>
      <c r="V452" s="175"/>
      <c r="W452" s="175"/>
      <c r="X452" s="175"/>
      <c r="Y452" s="174" t="s">
        <v>489</v>
      </c>
      <c r="Z452" s="174" t="s">
        <v>906</v>
      </c>
      <c r="AA452" s="174" t="s">
        <v>22</v>
      </c>
      <c r="AB452" s="174"/>
      <c r="AC452" s="175"/>
      <c r="AD452" s="174" t="s">
        <v>1578</v>
      </c>
      <c r="AE452" s="175"/>
      <c r="AF452" s="175"/>
      <c r="AG452" s="176">
        <v>43164.449293981481</v>
      </c>
      <c r="AH452" s="176">
        <v>43164.44971064815</v>
      </c>
      <c r="AI452" s="175"/>
      <c r="AJ452" s="175"/>
      <c r="AK452" s="178">
        <v>1</v>
      </c>
    </row>
    <row r="453" spans="1:37" x14ac:dyDescent="0.25">
      <c r="A453" s="174" t="s">
        <v>484</v>
      </c>
      <c r="B453" s="174" t="s">
        <v>1680</v>
      </c>
      <c r="C453" s="175"/>
      <c r="D453" s="174" t="s">
        <v>478</v>
      </c>
      <c r="E453" s="174" t="s">
        <v>903</v>
      </c>
      <c r="F453" s="176">
        <v>43164</v>
      </c>
      <c r="G453" s="176">
        <v>43164</v>
      </c>
      <c r="H453" s="174" t="s">
        <v>29</v>
      </c>
      <c r="I453" s="175" t="str">
        <f>VLOOKUP($H453,Mapping!$A:$A,1,0)</f>
        <v>NO BROKER SEND</v>
      </c>
      <c r="J453" s="179" t="s">
        <v>486</v>
      </c>
      <c r="K453" s="174" t="s">
        <v>1669</v>
      </c>
      <c r="L453" s="178">
        <v>3000000</v>
      </c>
      <c r="M453" s="178">
        <v>89.5</v>
      </c>
      <c r="N453" s="178">
        <v>8.8582168280999998</v>
      </c>
      <c r="O453" s="178">
        <v>-2765729.1666666702</v>
      </c>
      <c r="P453" s="174" t="s">
        <v>337</v>
      </c>
      <c r="Q453" s="174" t="s">
        <v>1670</v>
      </c>
      <c r="R453" s="174" t="s">
        <v>22</v>
      </c>
      <c r="S453" s="174" t="s">
        <v>130</v>
      </c>
      <c r="T453" s="175" t="str">
        <f>VLOOKUP($S453,Mapping!$C:$C,1,0)</f>
        <v>Manual</v>
      </c>
      <c r="U453" s="175"/>
      <c r="V453" s="175"/>
      <c r="W453" s="175"/>
      <c r="X453" s="175"/>
      <c r="Y453" s="174" t="s">
        <v>489</v>
      </c>
      <c r="Z453" s="174" t="s">
        <v>906</v>
      </c>
      <c r="AA453" s="174" t="s">
        <v>22</v>
      </c>
      <c r="AB453" s="174"/>
      <c r="AC453" s="175"/>
      <c r="AD453" s="174" t="s">
        <v>1578</v>
      </c>
      <c r="AE453" s="175"/>
      <c r="AF453" s="175"/>
      <c r="AG453" s="176">
        <v>43164.449317129627</v>
      </c>
      <c r="AH453" s="176">
        <v>43164.44972222222</v>
      </c>
      <c r="AI453" s="175"/>
      <c r="AJ453" s="175"/>
      <c r="AK453" s="178">
        <v>1</v>
      </c>
    </row>
    <row r="454" spans="1:37" x14ac:dyDescent="0.25">
      <c r="A454" s="174" t="s">
        <v>484</v>
      </c>
      <c r="B454" s="174" t="s">
        <v>1681</v>
      </c>
      <c r="C454" s="175"/>
      <c r="D454" s="174" t="s">
        <v>478</v>
      </c>
      <c r="E454" s="174" t="s">
        <v>903</v>
      </c>
      <c r="F454" s="176">
        <v>43164</v>
      </c>
      <c r="G454" s="176">
        <v>43164</v>
      </c>
      <c r="H454" s="174" t="s">
        <v>29</v>
      </c>
      <c r="I454" s="175" t="str">
        <f>VLOOKUP($H454,Mapping!$A:$A,1,0)</f>
        <v>NO BROKER SEND</v>
      </c>
      <c r="J454" s="179" t="s">
        <v>486</v>
      </c>
      <c r="K454" s="174" t="s">
        <v>1669</v>
      </c>
      <c r="L454" s="178">
        <v>500000</v>
      </c>
      <c r="M454" s="178">
        <v>89.5</v>
      </c>
      <c r="N454" s="178">
        <v>8.8582168280999998</v>
      </c>
      <c r="O454" s="178">
        <v>-460954.86111111002</v>
      </c>
      <c r="P454" s="174" t="s">
        <v>337</v>
      </c>
      <c r="Q454" s="174" t="s">
        <v>1670</v>
      </c>
      <c r="R454" s="174" t="s">
        <v>22</v>
      </c>
      <c r="S454" s="174" t="s">
        <v>130</v>
      </c>
      <c r="T454" s="175" t="str">
        <f>VLOOKUP($S454,Mapping!$C:$C,1,0)</f>
        <v>Manual</v>
      </c>
      <c r="U454" s="175"/>
      <c r="V454" s="175"/>
      <c r="W454" s="175"/>
      <c r="X454" s="175"/>
      <c r="Y454" s="174" t="s">
        <v>489</v>
      </c>
      <c r="Z454" s="174" t="s">
        <v>906</v>
      </c>
      <c r="AA454" s="174" t="s">
        <v>22</v>
      </c>
      <c r="AB454" s="174"/>
      <c r="AC454" s="175"/>
      <c r="AD454" s="174" t="s">
        <v>1578</v>
      </c>
      <c r="AE454" s="175"/>
      <c r="AF454" s="175"/>
      <c r="AG454" s="176">
        <v>43164.449328703704</v>
      </c>
      <c r="AH454" s="176">
        <v>43164.449733796297</v>
      </c>
      <c r="AI454" s="175"/>
      <c r="AJ454" s="175"/>
      <c r="AK454" s="178">
        <v>1</v>
      </c>
    </row>
    <row r="455" spans="1:37" x14ac:dyDescent="0.25">
      <c r="A455" s="174" t="s">
        <v>484</v>
      </c>
      <c r="B455" s="174" t="s">
        <v>1682</v>
      </c>
      <c r="C455" s="175"/>
      <c r="D455" s="174" t="s">
        <v>478</v>
      </c>
      <c r="E455" s="174" t="s">
        <v>903</v>
      </c>
      <c r="F455" s="176">
        <v>43164</v>
      </c>
      <c r="G455" s="176">
        <v>43164</v>
      </c>
      <c r="H455" s="174" t="s">
        <v>29</v>
      </c>
      <c r="I455" s="175" t="str">
        <f>VLOOKUP($H455,Mapping!$A:$A,1,0)</f>
        <v>NO BROKER SEND</v>
      </c>
      <c r="J455" s="177" t="s">
        <v>466</v>
      </c>
      <c r="K455" s="174" t="s">
        <v>1669</v>
      </c>
      <c r="L455" s="178">
        <v>1000000</v>
      </c>
      <c r="M455" s="178">
        <v>89.5</v>
      </c>
      <c r="N455" s="178">
        <v>8.8582168280999998</v>
      </c>
      <c r="O455" s="178">
        <v>921909.72222222004</v>
      </c>
      <c r="P455" s="174" t="s">
        <v>337</v>
      </c>
      <c r="Q455" s="174" t="s">
        <v>1670</v>
      </c>
      <c r="R455" s="174" t="s">
        <v>22</v>
      </c>
      <c r="S455" s="174" t="s">
        <v>130</v>
      </c>
      <c r="T455" s="175" t="str">
        <f>VLOOKUP($S455,Mapping!$C:$C,1,0)</f>
        <v>Manual</v>
      </c>
      <c r="U455" s="175"/>
      <c r="V455" s="175"/>
      <c r="W455" s="175"/>
      <c r="X455" s="175"/>
      <c r="Y455" s="174" t="s">
        <v>489</v>
      </c>
      <c r="Z455" s="174" t="s">
        <v>906</v>
      </c>
      <c r="AA455" s="174" t="s">
        <v>22</v>
      </c>
      <c r="AB455" s="174"/>
      <c r="AC455" s="175"/>
      <c r="AD455" s="174" t="s">
        <v>1578</v>
      </c>
      <c r="AE455" s="175"/>
      <c r="AF455" s="175"/>
      <c r="AG455" s="176">
        <v>43164.44935185185</v>
      </c>
      <c r="AH455" s="176">
        <v>43164.449745370373</v>
      </c>
      <c r="AI455" s="175"/>
      <c r="AJ455" s="175"/>
      <c r="AK455" s="178">
        <v>1</v>
      </c>
    </row>
    <row r="456" spans="1:37" x14ac:dyDescent="0.25">
      <c r="A456" s="174" t="s">
        <v>484</v>
      </c>
      <c r="B456" s="174" t="s">
        <v>1683</v>
      </c>
      <c r="C456" s="175"/>
      <c r="D456" s="174" t="s">
        <v>478</v>
      </c>
      <c r="E456" s="174" t="s">
        <v>903</v>
      </c>
      <c r="F456" s="176">
        <v>43164</v>
      </c>
      <c r="G456" s="176">
        <v>43164</v>
      </c>
      <c r="H456" s="174" t="s">
        <v>29</v>
      </c>
      <c r="I456" s="175" t="str">
        <f>VLOOKUP($H456,Mapping!$A:$A,1,0)</f>
        <v>NO BROKER SEND</v>
      </c>
      <c r="J456" s="179" t="s">
        <v>486</v>
      </c>
      <c r="K456" s="174" t="s">
        <v>1669</v>
      </c>
      <c r="L456" s="178">
        <v>1000000</v>
      </c>
      <c r="M456" s="178">
        <v>89.5</v>
      </c>
      <c r="N456" s="178">
        <v>8.8582168280999998</v>
      </c>
      <c r="O456" s="178">
        <v>-921909.72222222004</v>
      </c>
      <c r="P456" s="174" t="s">
        <v>337</v>
      </c>
      <c r="Q456" s="174" t="s">
        <v>1670</v>
      </c>
      <c r="R456" s="174" t="s">
        <v>22</v>
      </c>
      <c r="S456" s="174" t="s">
        <v>130</v>
      </c>
      <c r="T456" s="175" t="str">
        <f>VLOOKUP($S456,Mapping!$C:$C,1,0)</f>
        <v>Manual</v>
      </c>
      <c r="U456" s="175"/>
      <c r="V456" s="175"/>
      <c r="W456" s="175"/>
      <c r="X456" s="175"/>
      <c r="Y456" s="174" t="s">
        <v>489</v>
      </c>
      <c r="Z456" s="174" t="s">
        <v>906</v>
      </c>
      <c r="AA456" s="174" t="s">
        <v>22</v>
      </c>
      <c r="AB456" s="174"/>
      <c r="AC456" s="175"/>
      <c r="AD456" s="174" t="s">
        <v>1578</v>
      </c>
      <c r="AE456" s="175"/>
      <c r="AF456" s="175"/>
      <c r="AG456" s="176">
        <v>43164.449374999997</v>
      </c>
      <c r="AH456" s="176">
        <v>43164.449756944443</v>
      </c>
      <c r="AI456" s="175"/>
      <c r="AJ456" s="175"/>
      <c r="AK456" s="178">
        <v>1</v>
      </c>
    </row>
    <row r="457" spans="1:37" x14ac:dyDescent="0.25">
      <c r="A457" s="174" t="s">
        <v>484</v>
      </c>
      <c r="B457" s="174" t="s">
        <v>1684</v>
      </c>
      <c r="C457" s="175"/>
      <c r="D457" s="174" t="s">
        <v>478</v>
      </c>
      <c r="E457" s="174" t="s">
        <v>903</v>
      </c>
      <c r="F457" s="176">
        <v>43164</v>
      </c>
      <c r="G457" s="176">
        <v>43164</v>
      </c>
      <c r="H457" s="174" t="s">
        <v>29</v>
      </c>
      <c r="I457" s="175" t="str">
        <f>VLOOKUP($H457,Mapping!$A:$A,1,0)</f>
        <v>NO BROKER SEND</v>
      </c>
      <c r="J457" s="177" t="s">
        <v>466</v>
      </c>
      <c r="K457" s="174" t="s">
        <v>1669</v>
      </c>
      <c r="L457" s="178">
        <v>3000000</v>
      </c>
      <c r="M457" s="178">
        <v>89.5</v>
      </c>
      <c r="N457" s="178">
        <v>8.8582168280999998</v>
      </c>
      <c r="O457" s="178">
        <v>2765729.1666666702</v>
      </c>
      <c r="P457" s="174" t="s">
        <v>337</v>
      </c>
      <c r="Q457" s="174" t="s">
        <v>1670</v>
      </c>
      <c r="R457" s="174" t="s">
        <v>22</v>
      </c>
      <c r="S457" s="174" t="s">
        <v>130</v>
      </c>
      <c r="T457" s="175" t="str">
        <f>VLOOKUP($S457,Mapping!$C:$C,1,0)</f>
        <v>Manual</v>
      </c>
      <c r="U457" s="175"/>
      <c r="V457" s="175"/>
      <c r="W457" s="175"/>
      <c r="X457" s="175"/>
      <c r="Y457" s="174" t="s">
        <v>489</v>
      </c>
      <c r="Z457" s="174" t="s">
        <v>906</v>
      </c>
      <c r="AA457" s="174" t="s">
        <v>22</v>
      </c>
      <c r="AB457" s="174"/>
      <c r="AC457" s="175"/>
      <c r="AD457" s="174" t="s">
        <v>1578</v>
      </c>
      <c r="AE457" s="175"/>
      <c r="AF457" s="175"/>
      <c r="AG457" s="176">
        <v>43164.449467592596</v>
      </c>
      <c r="AH457" s="176">
        <v>43164.44976851852</v>
      </c>
      <c r="AI457" s="175"/>
      <c r="AJ457" s="175"/>
      <c r="AK457" s="178">
        <v>1</v>
      </c>
    </row>
    <row r="458" spans="1:37" x14ac:dyDescent="0.25">
      <c r="A458" s="174" t="s">
        <v>484</v>
      </c>
      <c r="B458" s="174" t="s">
        <v>1685</v>
      </c>
      <c r="C458" s="175"/>
      <c r="D458" s="174" t="s">
        <v>478</v>
      </c>
      <c r="E458" s="174" t="s">
        <v>903</v>
      </c>
      <c r="F458" s="176">
        <v>43164</v>
      </c>
      <c r="G458" s="176">
        <v>43164</v>
      </c>
      <c r="H458" s="174" t="s">
        <v>29</v>
      </c>
      <c r="I458" s="175" t="str">
        <f>VLOOKUP($H458,Mapping!$A:$A,1,0)</f>
        <v>NO BROKER SEND</v>
      </c>
      <c r="J458" s="179" t="s">
        <v>486</v>
      </c>
      <c r="K458" s="174" t="s">
        <v>1669</v>
      </c>
      <c r="L458" s="178">
        <v>2160000</v>
      </c>
      <c r="M458" s="178">
        <v>89.5</v>
      </c>
      <c r="N458" s="178">
        <v>8.8582168280999998</v>
      </c>
      <c r="O458" s="178">
        <v>-1991325</v>
      </c>
      <c r="P458" s="174" t="s">
        <v>337</v>
      </c>
      <c r="Q458" s="174" t="s">
        <v>1670</v>
      </c>
      <c r="R458" s="174" t="s">
        <v>22</v>
      </c>
      <c r="S458" s="174" t="s">
        <v>130</v>
      </c>
      <c r="T458" s="175" t="str">
        <f>VLOOKUP($S458,Mapping!$C:$C,1,0)</f>
        <v>Manual</v>
      </c>
      <c r="U458" s="175"/>
      <c r="V458" s="175"/>
      <c r="W458" s="175"/>
      <c r="X458" s="175"/>
      <c r="Y458" s="174" t="s">
        <v>489</v>
      </c>
      <c r="Z458" s="174" t="s">
        <v>906</v>
      </c>
      <c r="AA458" s="174" t="s">
        <v>22</v>
      </c>
      <c r="AB458" s="174"/>
      <c r="AC458" s="175"/>
      <c r="AD458" s="174" t="s">
        <v>1578</v>
      </c>
      <c r="AE458" s="175"/>
      <c r="AF458" s="175"/>
      <c r="AG458" s="176">
        <v>43164.449479166666</v>
      </c>
      <c r="AH458" s="176">
        <v>43164.449791666666</v>
      </c>
      <c r="AI458" s="175"/>
      <c r="AJ458" s="175"/>
      <c r="AK458" s="178">
        <v>1</v>
      </c>
    </row>
    <row r="459" spans="1:37" x14ac:dyDescent="0.25">
      <c r="A459" s="174" t="s">
        <v>484</v>
      </c>
      <c r="B459" s="174" t="s">
        <v>1686</v>
      </c>
      <c r="C459" s="175"/>
      <c r="D459" s="174" t="s">
        <v>478</v>
      </c>
      <c r="E459" s="174" t="s">
        <v>903</v>
      </c>
      <c r="F459" s="176">
        <v>43164</v>
      </c>
      <c r="G459" s="176">
        <v>43164</v>
      </c>
      <c r="H459" s="174" t="s">
        <v>29</v>
      </c>
      <c r="I459" s="175" t="str">
        <f>VLOOKUP($H459,Mapping!$A:$A,1,0)</f>
        <v>NO BROKER SEND</v>
      </c>
      <c r="J459" s="179" t="s">
        <v>486</v>
      </c>
      <c r="K459" s="174" t="s">
        <v>1669</v>
      </c>
      <c r="L459" s="178">
        <v>2000000</v>
      </c>
      <c r="M459" s="178">
        <v>89.5</v>
      </c>
      <c r="N459" s="178">
        <v>8.8582168280999998</v>
      </c>
      <c r="O459" s="178">
        <v>-1843819.4444444401</v>
      </c>
      <c r="P459" s="174" t="s">
        <v>337</v>
      </c>
      <c r="Q459" s="174" t="s">
        <v>1670</v>
      </c>
      <c r="R459" s="174" t="s">
        <v>22</v>
      </c>
      <c r="S459" s="174" t="s">
        <v>130</v>
      </c>
      <c r="T459" s="175" t="str">
        <f>VLOOKUP($S459,Mapping!$C:$C,1,0)</f>
        <v>Manual</v>
      </c>
      <c r="U459" s="175"/>
      <c r="V459" s="175"/>
      <c r="W459" s="175"/>
      <c r="X459" s="175"/>
      <c r="Y459" s="174" t="s">
        <v>489</v>
      </c>
      <c r="Z459" s="174" t="s">
        <v>906</v>
      </c>
      <c r="AA459" s="174" t="s">
        <v>22</v>
      </c>
      <c r="AB459" s="174"/>
      <c r="AC459" s="175"/>
      <c r="AD459" s="174" t="s">
        <v>1578</v>
      </c>
      <c r="AE459" s="175"/>
      <c r="AF459" s="175"/>
      <c r="AG459" s="176">
        <v>43164.449502314812</v>
      </c>
      <c r="AH459" s="176">
        <v>43164.449803240743</v>
      </c>
      <c r="AI459" s="175"/>
      <c r="AJ459" s="175"/>
      <c r="AK459" s="178">
        <v>1</v>
      </c>
    </row>
    <row r="460" spans="1:37" x14ac:dyDescent="0.25">
      <c r="A460" s="174" t="s">
        <v>484</v>
      </c>
      <c r="B460" s="174" t="s">
        <v>1687</v>
      </c>
      <c r="C460" s="175"/>
      <c r="D460" s="174" t="s">
        <v>478</v>
      </c>
      <c r="E460" s="174" t="s">
        <v>903</v>
      </c>
      <c r="F460" s="176">
        <v>43164</v>
      </c>
      <c r="G460" s="176">
        <v>43164</v>
      </c>
      <c r="H460" s="174" t="s">
        <v>29</v>
      </c>
      <c r="I460" s="175" t="str">
        <f>VLOOKUP($H460,Mapping!$A:$A,1,0)</f>
        <v>NO BROKER SEND</v>
      </c>
      <c r="J460" s="177" t="s">
        <v>466</v>
      </c>
      <c r="K460" s="174" t="s">
        <v>1669</v>
      </c>
      <c r="L460" s="178">
        <v>2000000</v>
      </c>
      <c r="M460" s="178">
        <v>89.5</v>
      </c>
      <c r="N460" s="178">
        <v>8.8582168280999998</v>
      </c>
      <c r="O460" s="178">
        <v>1843819.4444444401</v>
      </c>
      <c r="P460" s="174" t="s">
        <v>337</v>
      </c>
      <c r="Q460" s="174" t="s">
        <v>1670</v>
      </c>
      <c r="R460" s="174" t="s">
        <v>22</v>
      </c>
      <c r="S460" s="174" t="s">
        <v>130</v>
      </c>
      <c r="T460" s="175" t="str">
        <f>VLOOKUP($S460,Mapping!$C:$C,1,0)</f>
        <v>Manual</v>
      </c>
      <c r="U460" s="175"/>
      <c r="V460" s="175"/>
      <c r="W460" s="175"/>
      <c r="X460" s="175"/>
      <c r="Y460" s="174" t="s">
        <v>489</v>
      </c>
      <c r="Z460" s="174" t="s">
        <v>906</v>
      </c>
      <c r="AA460" s="174" t="s">
        <v>22</v>
      </c>
      <c r="AB460" s="174"/>
      <c r="AC460" s="175"/>
      <c r="AD460" s="174" t="s">
        <v>1578</v>
      </c>
      <c r="AE460" s="175"/>
      <c r="AF460" s="175"/>
      <c r="AG460" s="176">
        <v>43164.449513888889</v>
      </c>
      <c r="AH460" s="176">
        <v>43164.449814814812</v>
      </c>
      <c r="AI460" s="175"/>
      <c r="AJ460" s="175"/>
      <c r="AK460" s="178">
        <v>1</v>
      </c>
    </row>
    <row r="461" spans="1:37" x14ac:dyDescent="0.25">
      <c r="A461" s="174" t="s">
        <v>484</v>
      </c>
      <c r="B461" s="174" t="s">
        <v>1688</v>
      </c>
      <c r="C461" s="175"/>
      <c r="D461" s="174" t="s">
        <v>478</v>
      </c>
      <c r="E461" s="174" t="s">
        <v>903</v>
      </c>
      <c r="F461" s="176">
        <v>43164</v>
      </c>
      <c r="G461" s="176">
        <v>43164</v>
      </c>
      <c r="H461" s="174" t="s">
        <v>29</v>
      </c>
      <c r="I461" s="175" t="str">
        <f>VLOOKUP($H461,Mapping!$A:$A,1,0)</f>
        <v>NO BROKER SEND</v>
      </c>
      <c r="J461" s="179" t="s">
        <v>486</v>
      </c>
      <c r="K461" s="174" t="s">
        <v>1689</v>
      </c>
      <c r="L461" s="178">
        <v>2000000</v>
      </c>
      <c r="M461" s="178">
        <v>94.75</v>
      </c>
      <c r="N461" s="178">
        <v>7.2963373343000004</v>
      </c>
      <c r="O461" s="178">
        <v>-1921666.66666667</v>
      </c>
      <c r="P461" s="174" t="s">
        <v>337</v>
      </c>
      <c r="Q461" s="174" t="s">
        <v>1690</v>
      </c>
      <c r="R461" s="174" t="s">
        <v>22</v>
      </c>
      <c r="S461" s="174" t="s">
        <v>130</v>
      </c>
      <c r="T461" s="175" t="str">
        <f>VLOOKUP($S461,Mapping!$C:$C,1,0)</f>
        <v>Manual</v>
      </c>
      <c r="U461" s="175"/>
      <c r="V461" s="175"/>
      <c r="W461" s="175"/>
      <c r="X461" s="175"/>
      <c r="Y461" s="174" t="s">
        <v>489</v>
      </c>
      <c r="Z461" s="174" t="s">
        <v>906</v>
      </c>
      <c r="AA461" s="174" t="s">
        <v>22</v>
      </c>
      <c r="AB461" s="174"/>
      <c r="AC461" s="175"/>
      <c r="AD461" s="174" t="s">
        <v>1578</v>
      </c>
      <c r="AE461" s="175"/>
      <c r="AF461" s="175"/>
      <c r="AG461" s="176">
        <v>43164.449826388889</v>
      </c>
      <c r="AH461" s="176">
        <v>43164.450185185182</v>
      </c>
      <c r="AI461" s="175"/>
      <c r="AJ461" s="175"/>
      <c r="AK461" s="178">
        <v>1</v>
      </c>
    </row>
    <row r="462" spans="1:37" x14ac:dyDescent="0.25">
      <c r="A462" s="174" t="s">
        <v>484</v>
      </c>
      <c r="B462" s="174" t="s">
        <v>1691</v>
      </c>
      <c r="C462" s="175"/>
      <c r="D462" s="174" t="s">
        <v>478</v>
      </c>
      <c r="E462" s="174" t="s">
        <v>903</v>
      </c>
      <c r="F462" s="176">
        <v>43164</v>
      </c>
      <c r="G462" s="176">
        <v>43164</v>
      </c>
      <c r="H462" s="174" t="s">
        <v>29</v>
      </c>
      <c r="I462" s="175" t="str">
        <f>VLOOKUP($H462,Mapping!$A:$A,1,0)</f>
        <v>NO BROKER SEND</v>
      </c>
      <c r="J462" s="177" t="s">
        <v>466</v>
      </c>
      <c r="K462" s="174" t="s">
        <v>1689</v>
      </c>
      <c r="L462" s="178">
        <v>2000000</v>
      </c>
      <c r="M462" s="178">
        <v>94.75</v>
      </c>
      <c r="N462" s="178">
        <v>7.2963373343000004</v>
      </c>
      <c r="O462" s="178">
        <v>1921666.66666667</v>
      </c>
      <c r="P462" s="174" t="s">
        <v>337</v>
      </c>
      <c r="Q462" s="174" t="s">
        <v>1690</v>
      </c>
      <c r="R462" s="174" t="s">
        <v>22</v>
      </c>
      <c r="S462" s="174" t="s">
        <v>130</v>
      </c>
      <c r="T462" s="175" t="str">
        <f>VLOOKUP($S462,Mapping!$C:$C,1,0)</f>
        <v>Manual</v>
      </c>
      <c r="U462" s="175"/>
      <c r="V462" s="175"/>
      <c r="W462" s="175"/>
      <c r="X462" s="175"/>
      <c r="Y462" s="174" t="s">
        <v>489</v>
      </c>
      <c r="Z462" s="174" t="s">
        <v>906</v>
      </c>
      <c r="AA462" s="174" t="s">
        <v>22</v>
      </c>
      <c r="AB462" s="174"/>
      <c r="AC462" s="175"/>
      <c r="AD462" s="174" t="s">
        <v>1578</v>
      </c>
      <c r="AE462" s="175"/>
      <c r="AF462" s="175"/>
      <c r="AG462" s="176">
        <v>43164.449849537035</v>
      </c>
      <c r="AH462" s="176">
        <v>43164.450196759259</v>
      </c>
      <c r="AI462" s="175"/>
      <c r="AJ462" s="175"/>
      <c r="AK462" s="178">
        <v>1</v>
      </c>
    </row>
    <row r="463" spans="1:37" x14ac:dyDescent="0.25">
      <c r="A463" s="174" t="s">
        <v>484</v>
      </c>
      <c r="B463" s="174" t="s">
        <v>1692</v>
      </c>
      <c r="C463" s="175"/>
      <c r="D463" s="174" t="s">
        <v>478</v>
      </c>
      <c r="E463" s="174" t="s">
        <v>903</v>
      </c>
      <c r="F463" s="176">
        <v>43164</v>
      </c>
      <c r="G463" s="176">
        <v>43164</v>
      </c>
      <c r="H463" s="174" t="s">
        <v>29</v>
      </c>
      <c r="I463" s="175" t="str">
        <f>VLOOKUP($H463,Mapping!$A:$A,1,0)</f>
        <v>NO BROKER SEND</v>
      </c>
      <c r="J463" s="179" t="s">
        <v>486</v>
      </c>
      <c r="K463" s="174" t="s">
        <v>1689</v>
      </c>
      <c r="L463" s="178">
        <v>1000000</v>
      </c>
      <c r="M463" s="178">
        <v>94.75</v>
      </c>
      <c r="N463" s="178">
        <v>7.2963373343000004</v>
      </c>
      <c r="O463" s="178">
        <v>-960833.33333333</v>
      </c>
      <c r="P463" s="174" t="s">
        <v>337</v>
      </c>
      <c r="Q463" s="174" t="s">
        <v>1690</v>
      </c>
      <c r="R463" s="174" t="s">
        <v>22</v>
      </c>
      <c r="S463" s="174" t="s">
        <v>130</v>
      </c>
      <c r="T463" s="175" t="str">
        <f>VLOOKUP($S463,Mapping!$C:$C,1,0)</f>
        <v>Manual</v>
      </c>
      <c r="U463" s="175"/>
      <c r="V463" s="175"/>
      <c r="W463" s="175"/>
      <c r="X463" s="175"/>
      <c r="Y463" s="174" t="s">
        <v>489</v>
      </c>
      <c r="Z463" s="174" t="s">
        <v>906</v>
      </c>
      <c r="AA463" s="174" t="s">
        <v>22</v>
      </c>
      <c r="AB463" s="174"/>
      <c r="AC463" s="175"/>
      <c r="AD463" s="174" t="s">
        <v>1578</v>
      </c>
      <c r="AE463" s="175"/>
      <c r="AF463" s="175"/>
      <c r="AG463" s="176">
        <v>43164.449861111112</v>
      </c>
      <c r="AH463" s="176">
        <v>43164.450208333335</v>
      </c>
      <c r="AI463" s="175"/>
      <c r="AJ463" s="175"/>
      <c r="AK463" s="178">
        <v>1</v>
      </c>
    </row>
    <row r="464" spans="1:37" x14ac:dyDescent="0.25">
      <c r="A464" s="174" t="s">
        <v>484</v>
      </c>
      <c r="B464" s="174" t="s">
        <v>1693</v>
      </c>
      <c r="C464" s="175"/>
      <c r="D464" s="174" t="s">
        <v>478</v>
      </c>
      <c r="E464" s="174" t="s">
        <v>903</v>
      </c>
      <c r="F464" s="176">
        <v>43164</v>
      </c>
      <c r="G464" s="176">
        <v>43164</v>
      </c>
      <c r="H464" s="174" t="s">
        <v>29</v>
      </c>
      <c r="I464" s="175" t="str">
        <f>VLOOKUP($H464,Mapping!$A:$A,1,0)</f>
        <v>NO BROKER SEND</v>
      </c>
      <c r="J464" s="177" t="s">
        <v>466</v>
      </c>
      <c r="K464" s="174" t="s">
        <v>1689</v>
      </c>
      <c r="L464" s="178">
        <v>1000000</v>
      </c>
      <c r="M464" s="178">
        <v>94.75</v>
      </c>
      <c r="N464" s="178">
        <v>7.2963373343000004</v>
      </c>
      <c r="O464" s="178">
        <v>960833.33333333</v>
      </c>
      <c r="P464" s="174" t="s">
        <v>337</v>
      </c>
      <c r="Q464" s="174" t="s">
        <v>1690</v>
      </c>
      <c r="R464" s="174" t="s">
        <v>22</v>
      </c>
      <c r="S464" s="174" t="s">
        <v>130</v>
      </c>
      <c r="T464" s="175" t="str">
        <f>VLOOKUP($S464,Mapping!$C:$C,1,0)</f>
        <v>Manual</v>
      </c>
      <c r="U464" s="175"/>
      <c r="V464" s="175"/>
      <c r="W464" s="175"/>
      <c r="X464" s="175"/>
      <c r="Y464" s="174" t="s">
        <v>489</v>
      </c>
      <c r="Z464" s="174" t="s">
        <v>906</v>
      </c>
      <c r="AA464" s="174" t="s">
        <v>22</v>
      </c>
      <c r="AB464" s="174"/>
      <c r="AC464" s="175"/>
      <c r="AD464" s="174" t="s">
        <v>1578</v>
      </c>
      <c r="AE464" s="175"/>
      <c r="AF464" s="175"/>
      <c r="AG464" s="176">
        <v>43164.449884259258</v>
      </c>
      <c r="AH464" s="176">
        <v>43164.450219907405</v>
      </c>
      <c r="AI464" s="175"/>
      <c r="AJ464" s="175"/>
      <c r="AK464" s="178">
        <v>1</v>
      </c>
    </row>
    <row r="465" spans="1:37" x14ac:dyDescent="0.25">
      <c r="A465" s="174" t="s">
        <v>484</v>
      </c>
      <c r="B465" s="174" t="s">
        <v>1694</v>
      </c>
      <c r="C465" s="175"/>
      <c r="D465" s="174" t="s">
        <v>478</v>
      </c>
      <c r="E465" s="174" t="s">
        <v>903</v>
      </c>
      <c r="F465" s="176">
        <v>43164</v>
      </c>
      <c r="G465" s="176">
        <v>43164</v>
      </c>
      <c r="H465" s="174" t="s">
        <v>29</v>
      </c>
      <c r="I465" s="175" t="str">
        <f>VLOOKUP($H465,Mapping!$A:$A,1,0)</f>
        <v>NO BROKER SEND</v>
      </c>
      <c r="J465" s="177" t="s">
        <v>466</v>
      </c>
      <c r="K465" s="174" t="s">
        <v>1689</v>
      </c>
      <c r="L465" s="178">
        <v>2000000</v>
      </c>
      <c r="M465" s="178">
        <v>94.75</v>
      </c>
      <c r="N465" s="178">
        <v>7.2963373343000004</v>
      </c>
      <c r="O465" s="178">
        <v>1921666.66666667</v>
      </c>
      <c r="P465" s="174" t="s">
        <v>337</v>
      </c>
      <c r="Q465" s="174" t="s">
        <v>1690</v>
      </c>
      <c r="R465" s="174" t="s">
        <v>22</v>
      </c>
      <c r="S465" s="174" t="s">
        <v>130</v>
      </c>
      <c r="T465" s="175" t="str">
        <f>VLOOKUP($S465,Mapping!$C:$C,1,0)</f>
        <v>Manual</v>
      </c>
      <c r="U465" s="175"/>
      <c r="V465" s="175"/>
      <c r="W465" s="175"/>
      <c r="X465" s="175"/>
      <c r="Y465" s="174" t="s">
        <v>489</v>
      </c>
      <c r="Z465" s="174" t="s">
        <v>906</v>
      </c>
      <c r="AA465" s="174" t="s">
        <v>22</v>
      </c>
      <c r="AB465" s="174"/>
      <c r="AC465" s="175"/>
      <c r="AD465" s="174" t="s">
        <v>1578</v>
      </c>
      <c r="AE465" s="175"/>
      <c r="AF465" s="175"/>
      <c r="AG465" s="176">
        <v>43164.449895833335</v>
      </c>
      <c r="AH465" s="176">
        <v>43164.450231481482</v>
      </c>
      <c r="AI465" s="175"/>
      <c r="AJ465" s="175"/>
      <c r="AK465" s="178">
        <v>1</v>
      </c>
    </row>
    <row r="466" spans="1:37" x14ac:dyDescent="0.25">
      <c r="A466" s="174" t="s">
        <v>484</v>
      </c>
      <c r="B466" s="174" t="s">
        <v>1695</v>
      </c>
      <c r="C466" s="175"/>
      <c r="D466" s="174" t="s">
        <v>478</v>
      </c>
      <c r="E466" s="174" t="s">
        <v>903</v>
      </c>
      <c r="F466" s="176">
        <v>43164</v>
      </c>
      <c r="G466" s="176">
        <v>43164</v>
      </c>
      <c r="H466" s="174" t="s">
        <v>29</v>
      </c>
      <c r="I466" s="175" t="str">
        <f>VLOOKUP($H466,Mapping!$A:$A,1,0)</f>
        <v>NO BROKER SEND</v>
      </c>
      <c r="J466" s="179" t="s">
        <v>486</v>
      </c>
      <c r="K466" s="174" t="s">
        <v>1689</v>
      </c>
      <c r="L466" s="178">
        <v>2000000</v>
      </c>
      <c r="M466" s="178">
        <v>94.75</v>
      </c>
      <c r="N466" s="178">
        <v>7.2963373343000004</v>
      </c>
      <c r="O466" s="178">
        <v>-1921666.66666667</v>
      </c>
      <c r="P466" s="174" t="s">
        <v>337</v>
      </c>
      <c r="Q466" s="174" t="s">
        <v>1690</v>
      </c>
      <c r="R466" s="174" t="s">
        <v>22</v>
      </c>
      <c r="S466" s="174" t="s">
        <v>130</v>
      </c>
      <c r="T466" s="175" t="str">
        <f>VLOOKUP($S466,Mapping!$C:$C,1,0)</f>
        <v>Manual</v>
      </c>
      <c r="U466" s="175"/>
      <c r="V466" s="175"/>
      <c r="W466" s="175"/>
      <c r="X466" s="175"/>
      <c r="Y466" s="174" t="s">
        <v>489</v>
      </c>
      <c r="Z466" s="174" t="s">
        <v>906</v>
      </c>
      <c r="AA466" s="174" t="s">
        <v>22</v>
      </c>
      <c r="AB466" s="174"/>
      <c r="AC466" s="175"/>
      <c r="AD466" s="174" t="s">
        <v>1578</v>
      </c>
      <c r="AE466" s="175"/>
      <c r="AF466" s="175"/>
      <c r="AG466" s="176">
        <v>43164.449907407405</v>
      </c>
      <c r="AH466" s="176">
        <v>43164.450243055559</v>
      </c>
      <c r="AI466" s="175"/>
      <c r="AJ466" s="175"/>
      <c r="AK466" s="178">
        <v>1</v>
      </c>
    </row>
    <row r="467" spans="1:37" x14ac:dyDescent="0.25">
      <c r="A467" s="174" t="s">
        <v>484</v>
      </c>
      <c r="B467" s="174" t="s">
        <v>1696</v>
      </c>
      <c r="C467" s="175"/>
      <c r="D467" s="174" t="s">
        <v>478</v>
      </c>
      <c r="E467" s="174" t="s">
        <v>903</v>
      </c>
      <c r="F467" s="176">
        <v>43164</v>
      </c>
      <c r="G467" s="176">
        <v>43164</v>
      </c>
      <c r="H467" s="174" t="s">
        <v>29</v>
      </c>
      <c r="I467" s="175" t="str">
        <f>VLOOKUP($H467,Mapping!$A:$A,1,0)</f>
        <v>NO BROKER SEND</v>
      </c>
      <c r="J467" s="177" t="s">
        <v>466</v>
      </c>
      <c r="K467" s="174" t="s">
        <v>1689</v>
      </c>
      <c r="L467" s="178">
        <v>2000000</v>
      </c>
      <c r="M467" s="178">
        <v>94.75</v>
      </c>
      <c r="N467" s="178">
        <v>7.2963373343000004</v>
      </c>
      <c r="O467" s="178">
        <v>1921666.66666667</v>
      </c>
      <c r="P467" s="174" t="s">
        <v>337</v>
      </c>
      <c r="Q467" s="174" t="s">
        <v>1690</v>
      </c>
      <c r="R467" s="174" t="s">
        <v>22</v>
      </c>
      <c r="S467" s="174" t="s">
        <v>130</v>
      </c>
      <c r="T467" s="175" t="str">
        <f>VLOOKUP($S467,Mapping!$C:$C,1,0)</f>
        <v>Manual</v>
      </c>
      <c r="U467" s="175"/>
      <c r="V467" s="175"/>
      <c r="W467" s="175"/>
      <c r="X467" s="175"/>
      <c r="Y467" s="174" t="s">
        <v>489</v>
      </c>
      <c r="Z467" s="174" t="s">
        <v>906</v>
      </c>
      <c r="AA467" s="174" t="s">
        <v>22</v>
      </c>
      <c r="AB467" s="174"/>
      <c r="AC467" s="175"/>
      <c r="AD467" s="174" t="s">
        <v>1578</v>
      </c>
      <c r="AE467" s="175"/>
      <c r="AF467" s="175"/>
      <c r="AG467" s="176">
        <v>43164.449930555558</v>
      </c>
      <c r="AH467" s="176">
        <v>43164.450254629628</v>
      </c>
      <c r="AI467" s="175"/>
      <c r="AJ467" s="175"/>
      <c r="AK467" s="178">
        <v>1</v>
      </c>
    </row>
    <row r="468" spans="1:37" x14ac:dyDescent="0.25">
      <c r="A468" s="174" t="s">
        <v>484</v>
      </c>
      <c r="B468" s="174" t="s">
        <v>1697</v>
      </c>
      <c r="C468" s="175"/>
      <c r="D468" s="174" t="s">
        <v>478</v>
      </c>
      <c r="E468" s="174" t="s">
        <v>903</v>
      </c>
      <c r="F468" s="176">
        <v>43164</v>
      </c>
      <c r="G468" s="176">
        <v>43164</v>
      </c>
      <c r="H468" s="174" t="s">
        <v>29</v>
      </c>
      <c r="I468" s="175" t="str">
        <f>VLOOKUP($H468,Mapping!$A:$A,1,0)</f>
        <v>NO BROKER SEND</v>
      </c>
      <c r="J468" s="179" t="s">
        <v>486</v>
      </c>
      <c r="K468" s="174" t="s">
        <v>1689</v>
      </c>
      <c r="L468" s="178">
        <v>2000000</v>
      </c>
      <c r="M468" s="178">
        <v>94.75</v>
      </c>
      <c r="N468" s="178">
        <v>7.2963373343000004</v>
      </c>
      <c r="O468" s="178">
        <v>-1921666.66666667</v>
      </c>
      <c r="P468" s="174" t="s">
        <v>337</v>
      </c>
      <c r="Q468" s="174" t="s">
        <v>1690</v>
      </c>
      <c r="R468" s="174" t="s">
        <v>22</v>
      </c>
      <c r="S468" s="174" t="s">
        <v>130</v>
      </c>
      <c r="T468" s="175" t="str">
        <f>VLOOKUP($S468,Mapping!$C:$C,1,0)</f>
        <v>Manual</v>
      </c>
      <c r="U468" s="175"/>
      <c r="V468" s="175"/>
      <c r="W468" s="175"/>
      <c r="X468" s="175"/>
      <c r="Y468" s="174" t="s">
        <v>489</v>
      </c>
      <c r="Z468" s="174" t="s">
        <v>906</v>
      </c>
      <c r="AA468" s="174" t="s">
        <v>22</v>
      </c>
      <c r="AB468" s="174"/>
      <c r="AC468" s="175"/>
      <c r="AD468" s="174" t="s">
        <v>1578</v>
      </c>
      <c r="AE468" s="175"/>
      <c r="AF468" s="175"/>
      <c r="AG468" s="176">
        <v>43164.449942129628</v>
      </c>
      <c r="AH468" s="176">
        <v>43164.450277777774</v>
      </c>
      <c r="AI468" s="175"/>
      <c r="AJ468" s="175"/>
      <c r="AK468" s="178">
        <v>1</v>
      </c>
    </row>
    <row r="469" spans="1:37" x14ac:dyDescent="0.25">
      <c r="A469" s="174" t="s">
        <v>484</v>
      </c>
      <c r="B469" s="174" t="s">
        <v>1698</v>
      </c>
      <c r="C469" s="175"/>
      <c r="D469" s="174" t="s">
        <v>478</v>
      </c>
      <c r="E469" s="174" t="s">
        <v>903</v>
      </c>
      <c r="F469" s="176">
        <v>43164</v>
      </c>
      <c r="G469" s="176">
        <v>43164</v>
      </c>
      <c r="H469" s="174" t="s">
        <v>29</v>
      </c>
      <c r="I469" s="175" t="str">
        <f>VLOOKUP($H469,Mapping!$A:$A,1,0)</f>
        <v>NO BROKER SEND</v>
      </c>
      <c r="J469" s="177" t="s">
        <v>466</v>
      </c>
      <c r="K469" s="174" t="s">
        <v>1689</v>
      </c>
      <c r="L469" s="178">
        <v>2000000</v>
      </c>
      <c r="M469" s="178">
        <v>94.75</v>
      </c>
      <c r="N469" s="178">
        <v>7.2963373343000004</v>
      </c>
      <c r="O469" s="178">
        <v>1921666.66666667</v>
      </c>
      <c r="P469" s="174" t="s">
        <v>337</v>
      </c>
      <c r="Q469" s="174" t="s">
        <v>1690</v>
      </c>
      <c r="R469" s="174" t="s">
        <v>22</v>
      </c>
      <c r="S469" s="174" t="s">
        <v>130</v>
      </c>
      <c r="T469" s="175" t="str">
        <f>VLOOKUP($S469,Mapping!$C:$C,1,0)</f>
        <v>Manual</v>
      </c>
      <c r="U469" s="175"/>
      <c r="V469" s="175"/>
      <c r="W469" s="175"/>
      <c r="X469" s="175"/>
      <c r="Y469" s="174" t="s">
        <v>489</v>
      </c>
      <c r="Z469" s="174" t="s">
        <v>906</v>
      </c>
      <c r="AA469" s="174" t="s">
        <v>22</v>
      </c>
      <c r="AB469" s="174"/>
      <c r="AC469" s="175"/>
      <c r="AD469" s="174" t="s">
        <v>1578</v>
      </c>
      <c r="AE469" s="175"/>
      <c r="AF469" s="175"/>
      <c r="AG469" s="176">
        <v>43164.449953703705</v>
      </c>
      <c r="AH469" s="176">
        <v>43164.450289351851</v>
      </c>
      <c r="AI469" s="175"/>
      <c r="AJ469" s="175"/>
      <c r="AK469" s="178">
        <v>1</v>
      </c>
    </row>
    <row r="470" spans="1:37" x14ac:dyDescent="0.25">
      <c r="A470" s="174" t="s">
        <v>484</v>
      </c>
      <c r="B470" s="174" t="s">
        <v>1699</v>
      </c>
      <c r="C470" s="175"/>
      <c r="D470" s="174" t="s">
        <v>478</v>
      </c>
      <c r="E470" s="174" t="s">
        <v>903</v>
      </c>
      <c r="F470" s="176">
        <v>43164</v>
      </c>
      <c r="G470" s="176">
        <v>43164</v>
      </c>
      <c r="H470" s="174" t="s">
        <v>29</v>
      </c>
      <c r="I470" s="175" t="str">
        <f>VLOOKUP($H470,Mapping!$A:$A,1,0)</f>
        <v>NO BROKER SEND</v>
      </c>
      <c r="J470" s="179" t="s">
        <v>486</v>
      </c>
      <c r="K470" s="174" t="s">
        <v>1689</v>
      </c>
      <c r="L470" s="178">
        <v>2000000</v>
      </c>
      <c r="M470" s="178">
        <v>94.75</v>
      </c>
      <c r="N470" s="178">
        <v>7.2963373343000004</v>
      </c>
      <c r="O470" s="178">
        <v>-1921666.66666667</v>
      </c>
      <c r="P470" s="174" t="s">
        <v>337</v>
      </c>
      <c r="Q470" s="174" t="s">
        <v>1690</v>
      </c>
      <c r="R470" s="174" t="s">
        <v>22</v>
      </c>
      <c r="S470" s="174" t="s">
        <v>130</v>
      </c>
      <c r="T470" s="175" t="str">
        <f>VLOOKUP($S470,Mapping!$C:$C,1,0)</f>
        <v>Manual</v>
      </c>
      <c r="U470" s="175"/>
      <c r="V470" s="175"/>
      <c r="W470" s="175"/>
      <c r="X470" s="175"/>
      <c r="Y470" s="174" t="s">
        <v>489</v>
      </c>
      <c r="Z470" s="174" t="s">
        <v>906</v>
      </c>
      <c r="AA470" s="174" t="s">
        <v>22</v>
      </c>
      <c r="AB470" s="174"/>
      <c r="AC470" s="175"/>
      <c r="AD470" s="174" t="s">
        <v>1578</v>
      </c>
      <c r="AE470" s="175"/>
      <c r="AF470" s="175"/>
      <c r="AG470" s="176">
        <v>43164.449976851851</v>
      </c>
      <c r="AH470" s="176">
        <v>43164.450312499997</v>
      </c>
      <c r="AI470" s="175"/>
      <c r="AJ470" s="175"/>
      <c r="AK470" s="178">
        <v>1</v>
      </c>
    </row>
    <row r="471" spans="1:37" x14ac:dyDescent="0.25">
      <c r="A471" s="174" t="s">
        <v>484</v>
      </c>
      <c r="B471" s="174" t="s">
        <v>1700</v>
      </c>
      <c r="C471" s="175"/>
      <c r="D471" s="174" t="s">
        <v>478</v>
      </c>
      <c r="E471" s="174" t="s">
        <v>903</v>
      </c>
      <c r="F471" s="176">
        <v>43164</v>
      </c>
      <c r="G471" s="176">
        <v>43164</v>
      </c>
      <c r="H471" s="174" t="s">
        <v>29</v>
      </c>
      <c r="I471" s="175" t="str">
        <f>VLOOKUP($H471,Mapping!$A:$A,1,0)</f>
        <v>NO BROKER SEND</v>
      </c>
      <c r="J471" s="177" t="s">
        <v>466</v>
      </c>
      <c r="K471" s="174" t="s">
        <v>1689</v>
      </c>
      <c r="L471" s="178">
        <v>2000000</v>
      </c>
      <c r="M471" s="178">
        <v>94.75</v>
      </c>
      <c r="N471" s="178">
        <v>7.2963373343000004</v>
      </c>
      <c r="O471" s="178">
        <v>1921666.66666667</v>
      </c>
      <c r="P471" s="174" t="s">
        <v>337</v>
      </c>
      <c r="Q471" s="174" t="s">
        <v>1690</v>
      </c>
      <c r="R471" s="174" t="s">
        <v>22</v>
      </c>
      <c r="S471" s="174" t="s">
        <v>130</v>
      </c>
      <c r="T471" s="175" t="str">
        <f>VLOOKUP($S471,Mapping!$C:$C,1,0)</f>
        <v>Manual</v>
      </c>
      <c r="U471" s="175"/>
      <c r="V471" s="175"/>
      <c r="W471" s="175"/>
      <c r="X471" s="175"/>
      <c r="Y471" s="174" t="s">
        <v>489</v>
      </c>
      <c r="Z471" s="174" t="s">
        <v>906</v>
      </c>
      <c r="AA471" s="174" t="s">
        <v>22</v>
      </c>
      <c r="AB471" s="174"/>
      <c r="AC471" s="175"/>
      <c r="AD471" s="174" t="s">
        <v>1578</v>
      </c>
      <c r="AE471" s="175"/>
      <c r="AF471" s="175"/>
      <c r="AG471" s="176">
        <v>43164.449988425928</v>
      </c>
      <c r="AH471" s="176">
        <v>43164.450324074074</v>
      </c>
      <c r="AI471" s="175"/>
      <c r="AJ471" s="175"/>
      <c r="AK471" s="178">
        <v>1</v>
      </c>
    </row>
    <row r="472" spans="1:37" x14ac:dyDescent="0.25">
      <c r="A472" s="174" t="s">
        <v>484</v>
      </c>
      <c r="B472" s="174" t="s">
        <v>1701</v>
      </c>
      <c r="C472" s="175"/>
      <c r="D472" s="174" t="s">
        <v>478</v>
      </c>
      <c r="E472" s="174" t="s">
        <v>903</v>
      </c>
      <c r="F472" s="176">
        <v>43164</v>
      </c>
      <c r="G472" s="176">
        <v>43164</v>
      </c>
      <c r="H472" s="174" t="s">
        <v>29</v>
      </c>
      <c r="I472" s="175" t="str">
        <f>VLOOKUP($H472,Mapping!$A:$A,1,0)</f>
        <v>NO BROKER SEND</v>
      </c>
      <c r="J472" s="179" t="s">
        <v>486</v>
      </c>
      <c r="K472" s="174" t="s">
        <v>1689</v>
      </c>
      <c r="L472" s="178">
        <v>2000000</v>
      </c>
      <c r="M472" s="178">
        <v>94.75</v>
      </c>
      <c r="N472" s="178">
        <v>7.2963373343000004</v>
      </c>
      <c r="O472" s="178">
        <v>-1921666.66666667</v>
      </c>
      <c r="P472" s="174" t="s">
        <v>337</v>
      </c>
      <c r="Q472" s="174" t="s">
        <v>1690</v>
      </c>
      <c r="R472" s="174" t="s">
        <v>22</v>
      </c>
      <c r="S472" s="174" t="s">
        <v>130</v>
      </c>
      <c r="T472" s="175" t="str">
        <f>VLOOKUP($S472,Mapping!$C:$C,1,0)</f>
        <v>Manual</v>
      </c>
      <c r="U472" s="175"/>
      <c r="V472" s="175"/>
      <c r="W472" s="175"/>
      <c r="X472" s="175"/>
      <c r="Y472" s="174" t="s">
        <v>489</v>
      </c>
      <c r="Z472" s="174" t="s">
        <v>906</v>
      </c>
      <c r="AA472" s="174" t="s">
        <v>22</v>
      </c>
      <c r="AB472" s="174"/>
      <c r="AC472" s="175"/>
      <c r="AD472" s="174" t="s">
        <v>1578</v>
      </c>
      <c r="AE472" s="175"/>
      <c r="AF472" s="175"/>
      <c r="AG472" s="176">
        <v>43164.45</v>
      </c>
      <c r="AH472" s="176">
        <v>43164.45034722222</v>
      </c>
      <c r="AI472" s="175"/>
      <c r="AJ472" s="175"/>
      <c r="AK472" s="178">
        <v>1</v>
      </c>
    </row>
    <row r="473" spans="1:37" x14ac:dyDescent="0.25">
      <c r="A473" s="174" t="s">
        <v>484</v>
      </c>
      <c r="B473" s="174" t="s">
        <v>1702</v>
      </c>
      <c r="C473" s="175"/>
      <c r="D473" s="174" t="s">
        <v>478</v>
      </c>
      <c r="E473" s="174" t="s">
        <v>903</v>
      </c>
      <c r="F473" s="176">
        <v>43164</v>
      </c>
      <c r="G473" s="176">
        <v>43164</v>
      </c>
      <c r="H473" s="174" t="s">
        <v>29</v>
      </c>
      <c r="I473" s="175" t="str">
        <f>VLOOKUP($H473,Mapping!$A:$A,1,0)</f>
        <v>NO BROKER SEND</v>
      </c>
      <c r="J473" s="177" t="s">
        <v>466</v>
      </c>
      <c r="K473" s="174" t="s">
        <v>1689</v>
      </c>
      <c r="L473" s="178">
        <v>2000000</v>
      </c>
      <c r="M473" s="178">
        <v>94.75</v>
      </c>
      <c r="N473" s="178">
        <v>7.2963373343000004</v>
      </c>
      <c r="O473" s="178">
        <v>1921666.66666667</v>
      </c>
      <c r="P473" s="174" t="s">
        <v>337</v>
      </c>
      <c r="Q473" s="174" t="s">
        <v>1690</v>
      </c>
      <c r="R473" s="174" t="s">
        <v>22</v>
      </c>
      <c r="S473" s="174" t="s">
        <v>130</v>
      </c>
      <c r="T473" s="175" t="str">
        <f>VLOOKUP($S473,Mapping!$C:$C,1,0)</f>
        <v>Manual</v>
      </c>
      <c r="U473" s="175"/>
      <c r="V473" s="175"/>
      <c r="W473" s="175"/>
      <c r="X473" s="175"/>
      <c r="Y473" s="174" t="s">
        <v>489</v>
      </c>
      <c r="Z473" s="174" t="s">
        <v>906</v>
      </c>
      <c r="AA473" s="174" t="s">
        <v>22</v>
      </c>
      <c r="AB473" s="174"/>
      <c r="AC473" s="175"/>
      <c r="AD473" s="174" t="s">
        <v>1578</v>
      </c>
      <c r="AE473" s="175"/>
      <c r="AF473" s="175"/>
      <c r="AG473" s="176">
        <v>43164.450023148151</v>
      </c>
      <c r="AH473" s="176">
        <v>43164.450358796297</v>
      </c>
      <c r="AI473" s="175"/>
      <c r="AJ473" s="175"/>
      <c r="AK473" s="178">
        <v>1</v>
      </c>
    </row>
    <row r="474" spans="1:37" x14ac:dyDescent="0.25">
      <c r="A474" s="174" t="s">
        <v>484</v>
      </c>
      <c r="B474" s="174" t="s">
        <v>1703</v>
      </c>
      <c r="C474" s="175"/>
      <c r="D474" s="174" t="s">
        <v>478</v>
      </c>
      <c r="E474" s="174" t="s">
        <v>903</v>
      </c>
      <c r="F474" s="176">
        <v>43164</v>
      </c>
      <c r="G474" s="176">
        <v>43164</v>
      </c>
      <c r="H474" s="174" t="s">
        <v>29</v>
      </c>
      <c r="I474" s="175" t="str">
        <f>VLOOKUP($H474,Mapping!$A:$A,1,0)</f>
        <v>NO BROKER SEND</v>
      </c>
      <c r="J474" s="177" t="s">
        <v>466</v>
      </c>
      <c r="K474" s="174" t="s">
        <v>1704</v>
      </c>
      <c r="L474" s="178">
        <v>2950000</v>
      </c>
      <c r="M474" s="178">
        <v>96.75</v>
      </c>
      <c r="N474" s="178">
        <v>6.0128279218999996</v>
      </c>
      <c r="O474" s="178">
        <v>2908740.9722222197</v>
      </c>
      <c r="P474" s="174" t="s">
        <v>337</v>
      </c>
      <c r="Q474" s="174" t="s">
        <v>1705</v>
      </c>
      <c r="R474" s="174" t="s">
        <v>22</v>
      </c>
      <c r="S474" s="174" t="s">
        <v>130</v>
      </c>
      <c r="T474" s="175" t="str">
        <f>VLOOKUP($S474,Mapping!$C:$C,1,0)</f>
        <v>Manual</v>
      </c>
      <c r="U474" s="175"/>
      <c r="V474" s="175"/>
      <c r="W474" s="175"/>
      <c r="X474" s="175"/>
      <c r="Y474" s="174" t="s">
        <v>489</v>
      </c>
      <c r="Z474" s="174" t="s">
        <v>906</v>
      </c>
      <c r="AA474" s="174" t="s">
        <v>22</v>
      </c>
      <c r="AB474" s="174"/>
      <c r="AC474" s="175"/>
      <c r="AD474" s="174" t="s">
        <v>1578</v>
      </c>
      <c r="AE474" s="175"/>
      <c r="AF474" s="175"/>
      <c r="AG474" s="176">
        <v>43164.45</v>
      </c>
      <c r="AH474" s="176">
        <v>43164.450370370374</v>
      </c>
      <c r="AI474" s="175"/>
      <c r="AJ474" s="175"/>
      <c r="AK474" s="178">
        <v>1</v>
      </c>
    </row>
    <row r="475" spans="1:37" x14ac:dyDescent="0.25">
      <c r="A475" s="174" t="s">
        <v>484</v>
      </c>
      <c r="B475" s="174" t="s">
        <v>1706</v>
      </c>
      <c r="C475" s="175"/>
      <c r="D475" s="174" t="s">
        <v>478</v>
      </c>
      <c r="E475" s="174" t="s">
        <v>903</v>
      </c>
      <c r="F475" s="176">
        <v>43164</v>
      </c>
      <c r="G475" s="176">
        <v>43164</v>
      </c>
      <c r="H475" s="174" t="s">
        <v>29</v>
      </c>
      <c r="I475" s="175" t="str">
        <f>VLOOKUP($H475,Mapping!$A:$A,1,0)</f>
        <v>NO BROKER SEND</v>
      </c>
      <c r="J475" s="179" t="s">
        <v>486</v>
      </c>
      <c r="K475" s="174" t="s">
        <v>1704</v>
      </c>
      <c r="L475" s="178">
        <v>2950000</v>
      </c>
      <c r="M475" s="178">
        <v>96.75</v>
      </c>
      <c r="N475" s="178">
        <v>6.0128279218999996</v>
      </c>
      <c r="O475" s="178">
        <v>-2908740.9722222197</v>
      </c>
      <c r="P475" s="174" t="s">
        <v>337</v>
      </c>
      <c r="Q475" s="174" t="s">
        <v>1705</v>
      </c>
      <c r="R475" s="174" t="s">
        <v>22</v>
      </c>
      <c r="S475" s="174" t="s">
        <v>130</v>
      </c>
      <c r="T475" s="175" t="str">
        <f>VLOOKUP($S475,Mapping!$C:$C,1,0)</f>
        <v>Manual</v>
      </c>
      <c r="U475" s="175"/>
      <c r="V475" s="175"/>
      <c r="W475" s="175"/>
      <c r="X475" s="175"/>
      <c r="Y475" s="174" t="s">
        <v>489</v>
      </c>
      <c r="Z475" s="174" t="s">
        <v>906</v>
      </c>
      <c r="AA475" s="174" t="s">
        <v>22</v>
      </c>
      <c r="AB475" s="174"/>
      <c r="AC475" s="175"/>
      <c r="AD475" s="174" t="s">
        <v>1578</v>
      </c>
      <c r="AE475" s="175"/>
      <c r="AF475" s="175"/>
      <c r="AG475" s="176">
        <v>43164.45</v>
      </c>
      <c r="AH475" s="176">
        <v>43164.450381944444</v>
      </c>
      <c r="AI475" s="175"/>
      <c r="AJ475" s="175"/>
      <c r="AK475" s="178">
        <v>1</v>
      </c>
    </row>
    <row r="476" spans="1:37" x14ac:dyDescent="0.25">
      <c r="A476" s="174" t="s">
        <v>484</v>
      </c>
      <c r="B476" s="174" t="s">
        <v>1707</v>
      </c>
      <c r="C476" s="175"/>
      <c r="D476" s="174" t="s">
        <v>478</v>
      </c>
      <c r="E476" s="174" t="s">
        <v>903</v>
      </c>
      <c r="F476" s="176">
        <v>43164</v>
      </c>
      <c r="G476" s="176">
        <v>43164</v>
      </c>
      <c r="H476" s="174" t="s">
        <v>29</v>
      </c>
      <c r="I476" s="175" t="str">
        <f>VLOOKUP($H476,Mapping!$A:$A,1,0)</f>
        <v>NO BROKER SEND</v>
      </c>
      <c r="J476" s="177" t="s">
        <v>466</v>
      </c>
      <c r="K476" s="174" t="s">
        <v>1704</v>
      </c>
      <c r="L476" s="178">
        <v>500000</v>
      </c>
      <c r="M476" s="178">
        <v>96.75</v>
      </c>
      <c r="N476" s="178">
        <v>6.0128279218999996</v>
      </c>
      <c r="O476" s="178">
        <v>493006.94444444001</v>
      </c>
      <c r="P476" s="174" t="s">
        <v>337</v>
      </c>
      <c r="Q476" s="174" t="s">
        <v>1705</v>
      </c>
      <c r="R476" s="174" t="s">
        <v>22</v>
      </c>
      <c r="S476" s="174" t="s">
        <v>130</v>
      </c>
      <c r="T476" s="175" t="str">
        <f>VLOOKUP($S476,Mapping!$C:$C,1,0)</f>
        <v>Manual</v>
      </c>
      <c r="U476" s="175"/>
      <c r="V476" s="175"/>
      <c r="W476" s="175"/>
      <c r="X476" s="175"/>
      <c r="Y476" s="174" t="s">
        <v>489</v>
      </c>
      <c r="Z476" s="174" t="s">
        <v>906</v>
      </c>
      <c r="AA476" s="174" t="s">
        <v>22</v>
      </c>
      <c r="AB476" s="174"/>
      <c r="AC476" s="175"/>
      <c r="AD476" s="174" t="s">
        <v>1578</v>
      </c>
      <c r="AE476" s="175"/>
      <c r="AF476" s="175"/>
      <c r="AG476" s="176">
        <v>43164.450011574074</v>
      </c>
      <c r="AH476" s="176">
        <v>43164.45039351852</v>
      </c>
      <c r="AI476" s="175"/>
      <c r="AJ476" s="175"/>
      <c r="AK476" s="178">
        <v>1</v>
      </c>
    </row>
    <row r="477" spans="1:37" x14ac:dyDescent="0.25">
      <c r="A477" s="174" t="s">
        <v>484</v>
      </c>
      <c r="B477" s="174" t="s">
        <v>1708</v>
      </c>
      <c r="C477" s="175"/>
      <c r="D477" s="174" t="s">
        <v>478</v>
      </c>
      <c r="E477" s="174" t="s">
        <v>903</v>
      </c>
      <c r="F477" s="176">
        <v>43164</v>
      </c>
      <c r="G477" s="176">
        <v>43164</v>
      </c>
      <c r="H477" s="174" t="s">
        <v>29</v>
      </c>
      <c r="I477" s="175" t="str">
        <f>VLOOKUP($H477,Mapping!$A:$A,1,0)</f>
        <v>NO BROKER SEND</v>
      </c>
      <c r="J477" s="179" t="s">
        <v>486</v>
      </c>
      <c r="K477" s="174" t="s">
        <v>1704</v>
      </c>
      <c r="L477" s="178">
        <v>500000</v>
      </c>
      <c r="M477" s="178">
        <v>96.75</v>
      </c>
      <c r="N477" s="178">
        <v>6.0128279218999996</v>
      </c>
      <c r="O477" s="178">
        <v>-493006.94444444001</v>
      </c>
      <c r="P477" s="174" t="s">
        <v>337</v>
      </c>
      <c r="Q477" s="174" t="s">
        <v>1705</v>
      </c>
      <c r="R477" s="174" t="s">
        <v>22</v>
      </c>
      <c r="S477" s="174" t="s">
        <v>130</v>
      </c>
      <c r="T477" s="175" t="str">
        <f>VLOOKUP($S477,Mapping!$C:$C,1,0)</f>
        <v>Manual</v>
      </c>
      <c r="U477" s="175"/>
      <c r="V477" s="175"/>
      <c r="W477" s="175"/>
      <c r="X477" s="175"/>
      <c r="Y477" s="174" t="s">
        <v>489</v>
      </c>
      <c r="Z477" s="174" t="s">
        <v>906</v>
      </c>
      <c r="AA477" s="174" t="s">
        <v>22</v>
      </c>
      <c r="AB477" s="174"/>
      <c r="AC477" s="175"/>
      <c r="AD477" s="174" t="s">
        <v>1578</v>
      </c>
      <c r="AE477" s="175"/>
      <c r="AF477" s="175"/>
      <c r="AG477" s="176">
        <v>43164.45</v>
      </c>
      <c r="AH477" s="176">
        <v>43164.45040509259</v>
      </c>
      <c r="AI477" s="175"/>
      <c r="AJ477" s="175"/>
      <c r="AK477" s="178">
        <v>1</v>
      </c>
    </row>
    <row r="478" spans="1:37" x14ac:dyDescent="0.25">
      <c r="A478" s="174" t="s">
        <v>484</v>
      </c>
      <c r="B478" s="174" t="s">
        <v>1709</v>
      </c>
      <c r="C478" s="175"/>
      <c r="D478" s="174" t="s">
        <v>478</v>
      </c>
      <c r="E478" s="174" t="s">
        <v>903</v>
      </c>
      <c r="F478" s="176">
        <v>43164</v>
      </c>
      <c r="G478" s="176">
        <v>43164</v>
      </c>
      <c r="H478" s="174" t="s">
        <v>29</v>
      </c>
      <c r="I478" s="175" t="str">
        <f>VLOOKUP($H478,Mapping!$A:$A,1,0)</f>
        <v>NO BROKER SEND</v>
      </c>
      <c r="J478" s="179" t="s">
        <v>486</v>
      </c>
      <c r="K478" s="174" t="s">
        <v>1704</v>
      </c>
      <c r="L478" s="178">
        <v>2000000</v>
      </c>
      <c r="M478" s="178">
        <v>96.75</v>
      </c>
      <c r="N478" s="178">
        <v>6.0128279218999996</v>
      </c>
      <c r="O478" s="178">
        <v>-1972027.7777777801</v>
      </c>
      <c r="P478" s="174" t="s">
        <v>337</v>
      </c>
      <c r="Q478" s="174" t="s">
        <v>1705</v>
      </c>
      <c r="R478" s="174" t="s">
        <v>22</v>
      </c>
      <c r="S478" s="174" t="s">
        <v>130</v>
      </c>
      <c r="T478" s="175" t="str">
        <f>VLOOKUP($S478,Mapping!$C:$C,1,0)</f>
        <v>Manual</v>
      </c>
      <c r="U478" s="175"/>
      <c r="V478" s="175"/>
      <c r="W478" s="175"/>
      <c r="X478" s="175"/>
      <c r="Y478" s="174" t="s">
        <v>489</v>
      </c>
      <c r="Z478" s="174" t="s">
        <v>906</v>
      </c>
      <c r="AA478" s="174" t="s">
        <v>22</v>
      </c>
      <c r="AB478" s="174"/>
      <c r="AC478" s="175"/>
      <c r="AD478" s="174" t="s">
        <v>1578</v>
      </c>
      <c r="AE478" s="175"/>
      <c r="AF478" s="175"/>
      <c r="AG478" s="176">
        <v>43164.450011574074</v>
      </c>
      <c r="AH478" s="176">
        <v>43164.450428240743</v>
      </c>
      <c r="AI478" s="175"/>
      <c r="AJ478" s="175"/>
      <c r="AK478" s="178">
        <v>1</v>
      </c>
    </row>
    <row r="479" spans="1:37" x14ac:dyDescent="0.25">
      <c r="A479" s="174" t="s">
        <v>484</v>
      </c>
      <c r="B479" s="174" t="s">
        <v>1710</v>
      </c>
      <c r="C479" s="175"/>
      <c r="D479" s="174" t="s">
        <v>478</v>
      </c>
      <c r="E479" s="174" t="s">
        <v>903</v>
      </c>
      <c r="F479" s="176">
        <v>43164</v>
      </c>
      <c r="G479" s="176">
        <v>43164</v>
      </c>
      <c r="H479" s="174" t="s">
        <v>29</v>
      </c>
      <c r="I479" s="175" t="str">
        <f>VLOOKUP($H479,Mapping!$A:$A,1,0)</f>
        <v>NO BROKER SEND</v>
      </c>
      <c r="J479" s="177" t="s">
        <v>466</v>
      </c>
      <c r="K479" s="174" t="s">
        <v>1704</v>
      </c>
      <c r="L479" s="178">
        <v>2000000</v>
      </c>
      <c r="M479" s="178">
        <v>96.75</v>
      </c>
      <c r="N479" s="178">
        <v>6.0128279218999996</v>
      </c>
      <c r="O479" s="178">
        <v>1972027.7777777801</v>
      </c>
      <c r="P479" s="174" t="s">
        <v>337</v>
      </c>
      <c r="Q479" s="174" t="s">
        <v>1705</v>
      </c>
      <c r="R479" s="174" t="s">
        <v>22</v>
      </c>
      <c r="S479" s="174" t="s">
        <v>130</v>
      </c>
      <c r="T479" s="175" t="str">
        <f>VLOOKUP($S479,Mapping!$C:$C,1,0)</f>
        <v>Manual</v>
      </c>
      <c r="U479" s="175"/>
      <c r="V479" s="175"/>
      <c r="W479" s="175"/>
      <c r="X479" s="175"/>
      <c r="Y479" s="174" t="s">
        <v>489</v>
      </c>
      <c r="Z479" s="174" t="s">
        <v>906</v>
      </c>
      <c r="AA479" s="174" t="s">
        <v>22</v>
      </c>
      <c r="AB479" s="174"/>
      <c r="AC479" s="175"/>
      <c r="AD479" s="174" t="s">
        <v>1578</v>
      </c>
      <c r="AE479" s="175"/>
      <c r="AF479" s="175"/>
      <c r="AG479" s="176">
        <v>43164.450011574074</v>
      </c>
      <c r="AH479" s="176">
        <v>43164.450439814813</v>
      </c>
      <c r="AI479" s="175"/>
      <c r="AJ479" s="175"/>
      <c r="AK479" s="178">
        <v>1</v>
      </c>
    </row>
    <row r="480" spans="1:37" x14ac:dyDescent="0.25">
      <c r="A480" s="174" t="s">
        <v>484</v>
      </c>
      <c r="B480" s="174" t="s">
        <v>1711</v>
      </c>
      <c r="C480" s="175"/>
      <c r="D480" s="174" t="s">
        <v>478</v>
      </c>
      <c r="E480" s="174" t="s">
        <v>903</v>
      </c>
      <c r="F480" s="176">
        <v>43164</v>
      </c>
      <c r="G480" s="176">
        <v>43164</v>
      </c>
      <c r="H480" s="174" t="s">
        <v>29</v>
      </c>
      <c r="I480" s="175" t="str">
        <f>VLOOKUP($H480,Mapping!$A:$A,1,0)</f>
        <v>NO BROKER SEND</v>
      </c>
      <c r="J480" s="177" t="s">
        <v>466</v>
      </c>
      <c r="K480" s="174" t="s">
        <v>1704</v>
      </c>
      <c r="L480" s="178">
        <v>550000</v>
      </c>
      <c r="M480" s="178">
        <v>96.75</v>
      </c>
      <c r="N480" s="178">
        <v>6.0128279218999996</v>
      </c>
      <c r="O480" s="178">
        <v>542307.63888889004</v>
      </c>
      <c r="P480" s="174" t="s">
        <v>337</v>
      </c>
      <c r="Q480" s="174" t="s">
        <v>1705</v>
      </c>
      <c r="R480" s="174" t="s">
        <v>22</v>
      </c>
      <c r="S480" s="174" t="s">
        <v>130</v>
      </c>
      <c r="T480" s="175" t="str">
        <f>VLOOKUP($S480,Mapping!$C:$C,1,0)</f>
        <v>Manual</v>
      </c>
      <c r="U480" s="175"/>
      <c r="V480" s="175"/>
      <c r="W480" s="175"/>
      <c r="X480" s="175"/>
      <c r="Y480" s="174" t="s">
        <v>489</v>
      </c>
      <c r="Z480" s="174" t="s">
        <v>906</v>
      </c>
      <c r="AA480" s="174" t="s">
        <v>22</v>
      </c>
      <c r="AB480" s="174"/>
      <c r="AC480" s="175"/>
      <c r="AD480" s="174" t="s">
        <v>1578</v>
      </c>
      <c r="AE480" s="175"/>
      <c r="AF480" s="175"/>
      <c r="AG480" s="176">
        <v>43164.450023148151</v>
      </c>
      <c r="AH480" s="176">
        <v>43164.45045138889</v>
      </c>
      <c r="AI480" s="175"/>
      <c r="AJ480" s="175"/>
      <c r="AK480" s="178">
        <v>1</v>
      </c>
    </row>
    <row r="481" spans="1:37" x14ac:dyDescent="0.25">
      <c r="A481" s="174" t="s">
        <v>484</v>
      </c>
      <c r="B481" s="174" t="s">
        <v>1712</v>
      </c>
      <c r="C481" s="175"/>
      <c r="D481" s="174" t="s">
        <v>478</v>
      </c>
      <c r="E481" s="174" t="s">
        <v>903</v>
      </c>
      <c r="F481" s="176">
        <v>43164</v>
      </c>
      <c r="G481" s="176">
        <v>43164</v>
      </c>
      <c r="H481" s="174" t="s">
        <v>29</v>
      </c>
      <c r="I481" s="175" t="str">
        <f>VLOOKUP($H481,Mapping!$A:$A,1,0)</f>
        <v>NO BROKER SEND</v>
      </c>
      <c r="J481" s="179" t="s">
        <v>486</v>
      </c>
      <c r="K481" s="174" t="s">
        <v>1704</v>
      </c>
      <c r="L481" s="178">
        <v>550000</v>
      </c>
      <c r="M481" s="178">
        <v>96.75</v>
      </c>
      <c r="N481" s="178">
        <v>6.0128279218999996</v>
      </c>
      <c r="O481" s="178">
        <v>-542307.63888889004</v>
      </c>
      <c r="P481" s="174" t="s">
        <v>337</v>
      </c>
      <c r="Q481" s="174" t="s">
        <v>1705</v>
      </c>
      <c r="R481" s="174" t="s">
        <v>22</v>
      </c>
      <c r="S481" s="174" t="s">
        <v>130</v>
      </c>
      <c r="T481" s="175" t="str">
        <f>VLOOKUP($S481,Mapping!$C:$C,1,0)</f>
        <v>Manual</v>
      </c>
      <c r="U481" s="175"/>
      <c r="V481" s="175"/>
      <c r="W481" s="175"/>
      <c r="X481" s="175"/>
      <c r="Y481" s="174" t="s">
        <v>489</v>
      </c>
      <c r="Z481" s="174" t="s">
        <v>906</v>
      </c>
      <c r="AA481" s="174" t="s">
        <v>22</v>
      </c>
      <c r="AB481" s="174"/>
      <c r="AC481" s="175"/>
      <c r="AD481" s="174" t="s">
        <v>1578</v>
      </c>
      <c r="AE481" s="175"/>
      <c r="AF481" s="175"/>
      <c r="AG481" s="176">
        <v>43164.450011574074</v>
      </c>
      <c r="AH481" s="176">
        <v>43164.450462962966</v>
      </c>
      <c r="AI481" s="175"/>
      <c r="AJ481" s="175"/>
      <c r="AK481" s="178">
        <v>1</v>
      </c>
    </row>
    <row r="482" spans="1:37" x14ac:dyDescent="0.25">
      <c r="A482" s="174" t="s">
        <v>484</v>
      </c>
      <c r="B482" s="174" t="s">
        <v>1713</v>
      </c>
      <c r="C482" s="175"/>
      <c r="D482" s="174" t="s">
        <v>478</v>
      </c>
      <c r="E482" s="174" t="s">
        <v>903</v>
      </c>
      <c r="F482" s="176">
        <v>43164</v>
      </c>
      <c r="G482" s="176">
        <v>43164</v>
      </c>
      <c r="H482" s="174" t="s">
        <v>29</v>
      </c>
      <c r="I482" s="175" t="str">
        <f>VLOOKUP($H482,Mapping!$A:$A,1,0)</f>
        <v>NO BROKER SEND</v>
      </c>
      <c r="J482" s="179" t="s">
        <v>486</v>
      </c>
      <c r="K482" s="174" t="s">
        <v>1704</v>
      </c>
      <c r="L482" s="178">
        <v>3954000</v>
      </c>
      <c r="M482" s="178">
        <v>96.75</v>
      </c>
      <c r="N482" s="178">
        <v>6.0128279218999996</v>
      </c>
      <c r="O482" s="178">
        <v>-3898698.9166666702</v>
      </c>
      <c r="P482" s="174" t="s">
        <v>337</v>
      </c>
      <c r="Q482" s="174" t="s">
        <v>1705</v>
      </c>
      <c r="R482" s="174" t="s">
        <v>22</v>
      </c>
      <c r="S482" s="174" t="s">
        <v>130</v>
      </c>
      <c r="T482" s="175" t="str">
        <f>VLOOKUP($S482,Mapping!$C:$C,1,0)</f>
        <v>Manual</v>
      </c>
      <c r="U482" s="175"/>
      <c r="V482" s="175"/>
      <c r="W482" s="175"/>
      <c r="X482" s="175"/>
      <c r="Y482" s="174" t="s">
        <v>489</v>
      </c>
      <c r="Z482" s="174" t="s">
        <v>906</v>
      </c>
      <c r="AA482" s="174" t="s">
        <v>22</v>
      </c>
      <c r="AB482" s="174"/>
      <c r="AC482" s="175"/>
      <c r="AD482" s="174" t="s">
        <v>1578</v>
      </c>
      <c r="AE482" s="175"/>
      <c r="AF482" s="175"/>
      <c r="AG482" s="176">
        <v>43164.450011574074</v>
      </c>
      <c r="AH482" s="176">
        <v>43164.450474537036</v>
      </c>
      <c r="AI482" s="175"/>
      <c r="AJ482" s="175"/>
      <c r="AK482" s="178">
        <v>1</v>
      </c>
    </row>
    <row r="483" spans="1:37" x14ac:dyDescent="0.25">
      <c r="A483" s="174" t="s">
        <v>484</v>
      </c>
      <c r="B483" s="174" t="s">
        <v>1714</v>
      </c>
      <c r="C483" s="175"/>
      <c r="D483" s="174" t="s">
        <v>478</v>
      </c>
      <c r="E483" s="174" t="s">
        <v>903</v>
      </c>
      <c r="F483" s="176">
        <v>43164</v>
      </c>
      <c r="G483" s="176">
        <v>43164</v>
      </c>
      <c r="H483" s="174" t="s">
        <v>29</v>
      </c>
      <c r="I483" s="175" t="str">
        <f>VLOOKUP($H483,Mapping!$A:$A,1,0)</f>
        <v>NO BROKER SEND</v>
      </c>
      <c r="J483" s="177" t="s">
        <v>466</v>
      </c>
      <c r="K483" s="174" t="s">
        <v>1704</v>
      </c>
      <c r="L483" s="178">
        <v>3954000</v>
      </c>
      <c r="M483" s="178">
        <v>96.75</v>
      </c>
      <c r="N483" s="178">
        <v>6.0128279218999996</v>
      </c>
      <c r="O483" s="178">
        <v>3898698.9166666702</v>
      </c>
      <c r="P483" s="174" t="s">
        <v>337</v>
      </c>
      <c r="Q483" s="174" t="s">
        <v>1705</v>
      </c>
      <c r="R483" s="174" t="s">
        <v>22</v>
      </c>
      <c r="S483" s="174" t="s">
        <v>130</v>
      </c>
      <c r="T483" s="175" t="str">
        <f>VLOOKUP($S483,Mapping!$C:$C,1,0)</f>
        <v>Manual</v>
      </c>
      <c r="U483" s="175"/>
      <c r="V483" s="175"/>
      <c r="W483" s="175"/>
      <c r="X483" s="175"/>
      <c r="Y483" s="174" t="s">
        <v>489</v>
      </c>
      <c r="Z483" s="174" t="s">
        <v>906</v>
      </c>
      <c r="AA483" s="174" t="s">
        <v>22</v>
      </c>
      <c r="AB483" s="174"/>
      <c r="AC483" s="175"/>
      <c r="AD483" s="174" t="s">
        <v>1578</v>
      </c>
      <c r="AE483" s="175"/>
      <c r="AF483" s="175"/>
      <c r="AG483" s="176">
        <v>43164.450023148151</v>
      </c>
      <c r="AH483" s="176">
        <v>43164.450486111113</v>
      </c>
      <c r="AI483" s="175"/>
      <c r="AJ483" s="175"/>
      <c r="AK483" s="178">
        <v>1</v>
      </c>
    </row>
    <row r="484" spans="1:37" x14ac:dyDescent="0.25">
      <c r="A484" s="174" t="s">
        <v>484</v>
      </c>
      <c r="B484" s="174" t="s">
        <v>1715</v>
      </c>
      <c r="C484" s="175"/>
      <c r="D484" s="174" t="s">
        <v>478</v>
      </c>
      <c r="E484" s="174" t="s">
        <v>903</v>
      </c>
      <c r="F484" s="176">
        <v>43164</v>
      </c>
      <c r="G484" s="176">
        <v>43164</v>
      </c>
      <c r="H484" s="174" t="s">
        <v>29</v>
      </c>
      <c r="I484" s="175" t="str">
        <f>VLOOKUP($H484,Mapping!$A:$A,1,0)</f>
        <v>NO BROKER SEND</v>
      </c>
      <c r="J484" s="179" t="s">
        <v>486</v>
      </c>
      <c r="K484" s="174" t="s">
        <v>1704</v>
      </c>
      <c r="L484" s="178">
        <v>4400000</v>
      </c>
      <c r="M484" s="178">
        <v>96.75</v>
      </c>
      <c r="N484" s="178">
        <v>6.0128279218999996</v>
      </c>
      <c r="O484" s="178">
        <v>-4338461.1111111101</v>
      </c>
      <c r="P484" s="174" t="s">
        <v>337</v>
      </c>
      <c r="Q484" s="174" t="s">
        <v>1705</v>
      </c>
      <c r="R484" s="174" t="s">
        <v>22</v>
      </c>
      <c r="S484" s="174" t="s">
        <v>130</v>
      </c>
      <c r="T484" s="175" t="str">
        <f>VLOOKUP($S484,Mapping!$C:$C,1,0)</f>
        <v>Manual</v>
      </c>
      <c r="U484" s="175"/>
      <c r="V484" s="175"/>
      <c r="W484" s="175"/>
      <c r="X484" s="175"/>
      <c r="Y484" s="174" t="s">
        <v>489</v>
      </c>
      <c r="Z484" s="174" t="s">
        <v>906</v>
      </c>
      <c r="AA484" s="174" t="s">
        <v>22</v>
      </c>
      <c r="AB484" s="174"/>
      <c r="AC484" s="175"/>
      <c r="AD484" s="174" t="s">
        <v>1578</v>
      </c>
      <c r="AE484" s="175"/>
      <c r="AF484" s="175"/>
      <c r="AG484" s="176">
        <v>43164.450023148151</v>
      </c>
      <c r="AH484" s="176">
        <v>43164.450497685182</v>
      </c>
      <c r="AI484" s="175"/>
      <c r="AJ484" s="175"/>
      <c r="AK484" s="178">
        <v>1</v>
      </c>
    </row>
    <row r="485" spans="1:37" x14ac:dyDescent="0.25">
      <c r="A485" s="174" t="s">
        <v>484</v>
      </c>
      <c r="B485" s="174" t="s">
        <v>1716</v>
      </c>
      <c r="C485" s="175"/>
      <c r="D485" s="174" t="s">
        <v>478</v>
      </c>
      <c r="E485" s="174" t="s">
        <v>903</v>
      </c>
      <c r="F485" s="176">
        <v>43164</v>
      </c>
      <c r="G485" s="176">
        <v>43164</v>
      </c>
      <c r="H485" s="174" t="s">
        <v>29</v>
      </c>
      <c r="I485" s="175" t="str">
        <f>VLOOKUP($H485,Mapping!$A:$A,1,0)</f>
        <v>NO BROKER SEND</v>
      </c>
      <c r="J485" s="179" t="s">
        <v>486</v>
      </c>
      <c r="K485" s="174" t="s">
        <v>1704</v>
      </c>
      <c r="L485" s="178">
        <v>4000000</v>
      </c>
      <c r="M485" s="178">
        <v>96.75</v>
      </c>
      <c r="N485" s="178">
        <v>6.0128279218999996</v>
      </c>
      <c r="O485" s="178">
        <v>-3944055.5555555602</v>
      </c>
      <c r="P485" s="174" t="s">
        <v>337</v>
      </c>
      <c r="Q485" s="174" t="s">
        <v>1705</v>
      </c>
      <c r="R485" s="174" t="s">
        <v>22</v>
      </c>
      <c r="S485" s="174" t="s">
        <v>130</v>
      </c>
      <c r="T485" s="175" t="str">
        <f>VLOOKUP($S485,Mapping!$C:$C,1,0)</f>
        <v>Manual</v>
      </c>
      <c r="U485" s="175"/>
      <c r="V485" s="175"/>
      <c r="W485" s="175"/>
      <c r="X485" s="175"/>
      <c r="Y485" s="174" t="s">
        <v>489</v>
      </c>
      <c r="Z485" s="174" t="s">
        <v>906</v>
      </c>
      <c r="AA485" s="174" t="s">
        <v>22</v>
      </c>
      <c r="AB485" s="174"/>
      <c r="AC485" s="175"/>
      <c r="AD485" s="174" t="s">
        <v>1578</v>
      </c>
      <c r="AE485" s="175"/>
      <c r="AF485" s="175"/>
      <c r="AG485" s="176">
        <v>43164.450023148151</v>
      </c>
      <c r="AH485" s="176">
        <v>43164.450520833336</v>
      </c>
      <c r="AI485" s="175"/>
      <c r="AJ485" s="175"/>
      <c r="AK485" s="178">
        <v>1</v>
      </c>
    </row>
    <row r="486" spans="1:37" x14ac:dyDescent="0.25">
      <c r="A486" s="174" t="s">
        <v>484</v>
      </c>
      <c r="B486" s="174" t="s">
        <v>1717</v>
      </c>
      <c r="C486" s="175"/>
      <c r="D486" s="174" t="s">
        <v>478</v>
      </c>
      <c r="E486" s="174" t="s">
        <v>903</v>
      </c>
      <c r="F486" s="176">
        <v>43164</v>
      </c>
      <c r="G486" s="176">
        <v>43164</v>
      </c>
      <c r="H486" s="174" t="s">
        <v>29</v>
      </c>
      <c r="I486" s="175" t="str">
        <f>VLOOKUP($H486,Mapping!$A:$A,1,0)</f>
        <v>NO BROKER SEND</v>
      </c>
      <c r="J486" s="177" t="s">
        <v>466</v>
      </c>
      <c r="K486" s="174" t="s">
        <v>1704</v>
      </c>
      <c r="L486" s="178">
        <v>4400000</v>
      </c>
      <c r="M486" s="178">
        <v>96.75</v>
      </c>
      <c r="N486" s="178">
        <v>6.0128279218999996</v>
      </c>
      <c r="O486" s="178">
        <v>4338461.1111111101</v>
      </c>
      <c r="P486" s="174" t="s">
        <v>337</v>
      </c>
      <c r="Q486" s="174" t="s">
        <v>1705</v>
      </c>
      <c r="R486" s="174" t="s">
        <v>22</v>
      </c>
      <c r="S486" s="174" t="s">
        <v>130</v>
      </c>
      <c r="T486" s="175" t="str">
        <f>VLOOKUP($S486,Mapping!$C:$C,1,0)</f>
        <v>Manual</v>
      </c>
      <c r="U486" s="175"/>
      <c r="V486" s="175"/>
      <c r="W486" s="175"/>
      <c r="X486" s="175"/>
      <c r="Y486" s="174" t="s">
        <v>489</v>
      </c>
      <c r="Z486" s="174" t="s">
        <v>906</v>
      </c>
      <c r="AA486" s="174" t="s">
        <v>22</v>
      </c>
      <c r="AB486" s="174"/>
      <c r="AC486" s="175"/>
      <c r="AD486" s="174" t="s">
        <v>1578</v>
      </c>
      <c r="AE486" s="175"/>
      <c r="AF486" s="175"/>
      <c r="AG486" s="176">
        <v>43164.450023148151</v>
      </c>
      <c r="AH486" s="176">
        <v>43164.450532407405</v>
      </c>
      <c r="AI486" s="175"/>
      <c r="AJ486" s="175"/>
      <c r="AK486" s="178">
        <v>1</v>
      </c>
    </row>
    <row r="487" spans="1:37" x14ac:dyDescent="0.25">
      <c r="A487" s="174" t="s">
        <v>484</v>
      </c>
      <c r="B487" s="174" t="s">
        <v>1718</v>
      </c>
      <c r="C487" s="175"/>
      <c r="D487" s="174" t="s">
        <v>478</v>
      </c>
      <c r="E487" s="174" t="s">
        <v>903</v>
      </c>
      <c r="F487" s="176">
        <v>43164</v>
      </c>
      <c r="G487" s="176">
        <v>43164</v>
      </c>
      <c r="H487" s="174" t="s">
        <v>29</v>
      </c>
      <c r="I487" s="175" t="str">
        <f>VLOOKUP($H487,Mapping!$A:$A,1,0)</f>
        <v>NO BROKER SEND</v>
      </c>
      <c r="J487" s="177" t="s">
        <v>466</v>
      </c>
      <c r="K487" s="174" t="s">
        <v>1704</v>
      </c>
      <c r="L487" s="178">
        <v>4000000</v>
      </c>
      <c r="M487" s="178">
        <v>96.75</v>
      </c>
      <c r="N487" s="178">
        <v>6.0128279218999996</v>
      </c>
      <c r="O487" s="178">
        <v>3944055.5555555602</v>
      </c>
      <c r="P487" s="174" t="s">
        <v>337</v>
      </c>
      <c r="Q487" s="174" t="s">
        <v>1705</v>
      </c>
      <c r="R487" s="174" t="s">
        <v>22</v>
      </c>
      <c r="S487" s="174" t="s">
        <v>130</v>
      </c>
      <c r="T487" s="175" t="str">
        <f>VLOOKUP($S487,Mapping!$C:$C,1,0)</f>
        <v>Manual</v>
      </c>
      <c r="U487" s="175"/>
      <c r="V487" s="175"/>
      <c r="W487" s="175"/>
      <c r="X487" s="175"/>
      <c r="Y487" s="174" t="s">
        <v>489</v>
      </c>
      <c r="Z487" s="174" t="s">
        <v>906</v>
      </c>
      <c r="AA487" s="174" t="s">
        <v>22</v>
      </c>
      <c r="AB487" s="174"/>
      <c r="AC487" s="175"/>
      <c r="AD487" s="174" t="s">
        <v>1578</v>
      </c>
      <c r="AE487" s="175"/>
      <c r="AF487" s="175"/>
      <c r="AG487" s="176">
        <v>43164.45003472222</v>
      </c>
      <c r="AH487" s="176">
        <v>43164.450578703705</v>
      </c>
      <c r="AI487" s="175"/>
      <c r="AJ487" s="175"/>
      <c r="AK487" s="178">
        <v>1</v>
      </c>
    </row>
    <row r="488" spans="1:37" x14ac:dyDescent="0.25">
      <c r="A488" s="174" t="s">
        <v>484</v>
      </c>
      <c r="B488" s="174" t="s">
        <v>1719</v>
      </c>
      <c r="C488" s="175"/>
      <c r="D488" s="174" t="s">
        <v>478</v>
      </c>
      <c r="E488" s="174" t="s">
        <v>903</v>
      </c>
      <c r="F488" s="176">
        <v>43164</v>
      </c>
      <c r="G488" s="176">
        <v>43164</v>
      </c>
      <c r="H488" s="174" t="s">
        <v>29</v>
      </c>
      <c r="I488" s="175" t="str">
        <f>VLOOKUP($H488,Mapping!$A:$A,1,0)</f>
        <v>NO BROKER SEND</v>
      </c>
      <c r="J488" s="179" t="s">
        <v>486</v>
      </c>
      <c r="K488" s="174" t="s">
        <v>1689</v>
      </c>
      <c r="L488" s="178">
        <v>2000000</v>
      </c>
      <c r="M488" s="178">
        <v>94.75</v>
      </c>
      <c r="N488" s="178">
        <v>7.2963373343000004</v>
      </c>
      <c r="O488" s="178">
        <v>-1921666.66666667</v>
      </c>
      <c r="P488" s="174" t="s">
        <v>337</v>
      </c>
      <c r="Q488" s="174" t="s">
        <v>1690</v>
      </c>
      <c r="R488" s="174" t="s">
        <v>22</v>
      </c>
      <c r="S488" s="174" t="s">
        <v>130</v>
      </c>
      <c r="T488" s="175" t="str">
        <f>VLOOKUP($S488,Mapping!$C:$C,1,0)</f>
        <v>Manual</v>
      </c>
      <c r="U488" s="175"/>
      <c r="V488" s="175"/>
      <c r="W488" s="175"/>
      <c r="X488" s="175"/>
      <c r="Y488" s="174" t="s">
        <v>489</v>
      </c>
      <c r="Z488" s="174" t="s">
        <v>906</v>
      </c>
      <c r="AA488" s="174" t="s">
        <v>22</v>
      </c>
      <c r="AB488" s="174"/>
      <c r="AC488" s="175"/>
      <c r="AD488" s="174" t="s">
        <v>1578</v>
      </c>
      <c r="AE488" s="175"/>
      <c r="AF488" s="175"/>
      <c r="AG488" s="176">
        <v>43164.450115740743</v>
      </c>
      <c r="AH488" s="176">
        <v>43164.450682870367</v>
      </c>
      <c r="AI488" s="175"/>
      <c r="AJ488" s="175"/>
      <c r="AK488" s="178">
        <v>1</v>
      </c>
    </row>
    <row r="489" spans="1:37" x14ac:dyDescent="0.25">
      <c r="A489" s="174" t="s">
        <v>484</v>
      </c>
      <c r="B489" s="174" t="s">
        <v>1720</v>
      </c>
      <c r="C489" s="175"/>
      <c r="D489" s="174" t="s">
        <v>478</v>
      </c>
      <c r="E489" s="174" t="s">
        <v>903</v>
      </c>
      <c r="F489" s="176">
        <v>43164</v>
      </c>
      <c r="G489" s="176">
        <v>43164</v>
      </c>
      <c r="H489" s="174" t="s">
        <v>29</v>
      </c>
      <c r="I489" s="175" t="str">
        <f>VLOOKUP($H489,Mapping!$A:$A,1,0)</f>
        <v>NO BROKER SEND</v>
      </c>
      <c r="J489" s="179" t="s">
        <v>486</v>
      </c>
      <c r="K489" s="174" t="s">
        <v>1721</v>
      </c>
      <c r="L489" s="178">
        <v>1000000</v>
      </c>
      <c r="M489" s="178">
        <v>108.375</v>
      </c>
      <c r="N489" s="178">
        <v>7.1916211284999996</v>
      </c>
      <c r="O489" s="178">
        <v>-1106750</v>
      </c>
      <c r="P489" s="174" t="s">
        <v>337</v>
      </c>
      <c r="Q489" s="174" t="s">
        <v>1722</v>
      </c>
      <c r="R489" s="174" t="s">
        <v>22</v>
      </c>
      <c r="S489" s="174" t="s">
        <v>130</v>
      </c>
      <c r="T489" s="175" t="str">
        <f>VLOOKUP($S489,Mapping!$C:$C,1,0)</f>
        <v>Manual</v>
      </c>
      <c r="U489" s="175"/>
      <c r="V489" s="175"/>
      <c r="W489" s="175"/>
      <c r="X489" s="175"/>
      <c r="Y489" s="174" t="s">
        <v>489</v>
      </c>
      <c r="Z489" s="174" t="s">
        <v>906</v>
      </c>
      <c r="AA489" s="174" t="s">
        <v>22</v>
      </c>
      <c r="AB489" s="174"/>
      <c r="AC489" s="175"/>
      <c r="AD489" s="174" t="s">
        <v>1578</v>
      </c>
      <c r="AE489" s="175"/>
      <c r="AF489" s="175"/>
      <c r="AG489" s="176">
        <v>43164.450902777775</v>
      </c>
      <c r="AH489" s="176">
        <v>43164.450960648152</v>
      </c>
      <c r="AI489" s="175"/>
      <c r="AJ489" s="175"/>
      <c r="AK489" s="178">
        <v>1</v>
      </c>
    </row>
    <row r="490" spans="1:37" x14ac:dyDescent="0.25">
      <c r="A490" s="174" t="s">
        <v>484</v>
      </c>
      <c r="B490" s="174" t="s">
        <v>1723</v>
      </c>
      <c r="C490" s="175"/>
      <c r="D490" s="174" t="s">
        <v>478</v>
      </c>
      <c r="E490" s="174" t="s">
        <v>903</v>
      </c>
      <c r="F490" s="176">
        <v>43164</v>
      </c>
      <c r="G490" s="176">
        <v>43164</v>
      </c>
      <c r="H490" s="174" t="s">
        <v>29</v>
      </c>
      <c r="I490" s="175" t="str">
        <f>VLOOKUP($H490,Mapping!$A:$A,1,0)</f>
        <v>NO BROKER SEND</v>
      </c>
      <c r="J490" s="177" t="s">
        <v>466</v>
      </c>
      <c r="K490" s="174" t="s">
        <v>1721</v>
      </c>
      <c r="L490" s="178">
        <v>2000000</v>
      </c>
      <c r="M490" s="178">
        <v>108.375</v>
      </c>
      <c r="N490" s="178">
        <v>7.1916211284999996</v>
      </c>
      <c r="O490" s="178">
        <v>2213500</v>
      </c>
      <c r="P490" s="174" t="s">
        <v>337</v>
      </c>
      <c r="Q490" s="174" t="s">
        <v>1722</v>
      </c>
      <c r="R490" s="174" t="s">
        <v>22</v>
      </c>
      <c r="S490" s="174" t="s">
        <v>130</v>
      </c>
      <c r="T490" s="175" t="str">
        <f>VLOOKUP($S490,Mapping!$C:$C,1,0)</f>
        <v>Manual</v>
      </c>
      <c r="U490" s="175"/>
      <c r="V490" s="175"/>
      <c r="W490" s="175"/>
      <c r="X490" s="175"/>
      <c r="Y490" s="174" t="s">
        <v>489</v>
      </c>
      <c r="Z490" s="174" t="s">
        <v>906</v>
      </c>
      <c r="AA490" s="174" t="s">
        <v>22</v>
      </c>
      <c r="AB490" s="174"/>
      <c r="AC490" s="175"/>
      <c r="AD490" s="174" t="s">
        <v>1578</v>
      </c>
      <c r="AE490" s="175"/>
      <c r="AF490" s="175"/>
      <c r="AG490" s="176">
        <v>43164.450902777775</v>
      </c>
      <c r="AH490" s="176">
        <v>43164.450972222221</v>
      </c>
      <c r="AI490" s="175"/>
      <c r="AJ490" s="175"/>
      <c r="AK490" s="178">
        <v>1</v>
      </c>
    </row>
    <row r="491" spans="1:37" x14ac:dyDescent="0.25">
      <c r="A491" s="174" t="s">
        <v>484</v>
      </c>
      <c r="B491" s="174" t="s">
        <v>1724</v>
      </c>
      <c r="C491" s="175"/>
      <c r="D491" s="174" t="s">
        <v>478</v>
      </c>
      <c r="E491" s="174" t="s">
        <v>903</v>
      </c>
      <c r="F491" s="176">
        <v>43164</v>
      </c>
      <c r="G491" s="176">
        <v>43164</v>
      </c>
      <c r="H491" s="174" t="s">
        <v>29</v>
      </c>
      <c r="I491" s="175" t="str">
        <f>VLOOKUP($H491,Mapping!$A:$A,1,0)</f>
        <v>NO BROKER SEND</v>
      </c>
      <c r="J491" s="179" t="s">
        <v>486</v>
      </c>
      <c r="K491" s="174" t="s">
        <v>1721</v>
      </c>
      <c r="L491" s="178">
        <v>2000000</v>
      </c>
      <c r="M491" s="178">
        <v>108.375</v>
      </c>
      <c r="N491" s="178">
        <v>7.1916211284999996</v>
      </c>
      <c r="O491" s="178">
        <v>-2213500</v>
      </c>
      <c r="P491" s="174" t="s">
        <v>337</v>
      </c>
      <c r="Q491" s="174" t="s">
        <v>1722</v>
      </c>
      <c r="R491" s="174" t="s">
        <v>22</v>
      </c>
      <c r="S491" s="174" t="s">
        <v>130</v>
      </c>
      <c r="T491" s="175" t="str">
        <f>VLOOKUP($S491,Mapping!$C:$C,1,0)</f>
        <v>Manual</v>
      </c>
      <c r="U491" s="175"/>
      <c r="V491" s="175"/>
      <c r="W491" s="175"/>
      <c r="X491" s="175"/>
      <c r="Y491" s="174" t="s">
        <v>489</v>
      </c>
      <c r="Z491" s="174" t="s">
        <v>906</v>
      </c>
      <c r="AA491" s="174" t="s">
        <v>22</v>
      </c>
      <c r="AB491" s="174"/>
      <c r="AC491" s="175"/>
      <c r="AD491" s="174" t="s">
        <v>1578</v>
      </c>
      <c r="AE491" s="175"/>
      <c r="AF491" s="175"/>
      <c r="AG491" s="176">
        <v>43164.450902777775</v>
      </c>
      <c r="AH491" s="176">
        <v>43164.450983796298</v>
      </c>
      <c r="AI491" s="175"/>
      <c r="AJ491" s="175"/>
      <c r="AK491" s="178">
        <v>1</v>
      </c>
    </row>
    <row r="492" spans="1:37" x14ac:dyDescent="0.25">
      <c r="A492" s="174" t="s">
        <v>484</v>
      </c>
      <c r="B492" s="174" t="s">
        <v>1725</v>
      </c>
      <c r="C492" s="175"/>
      <c r="D492" s="174" t="s">
        <v>478</v>
      </c>
      <c r="E492" s="174" t="s">
        <v>903</v>
      </c>
      <c r="F492" s="176">
        <v>43164</v>
      </c>
      <c r="G492" s="176">
        <v>43164</v>
      </c>
      <c r="H492" s="174" t="s">
        <v>29</v>
      </c>
      <c r="I492" s="175" t="str">
        <f>VLOOKUP($H492,Mapping!$A:$A,1,0)</f>
        <v>NO BROKER SEND</v>
      </c>
      <c r="J492" s="177" t="s">
        <v>466</v>
      </c>
      <c r="K492" s="174" t="s">
        <v>1721</v>
      </c>
      <c r="L492" s="178">
        <v>1000000</v>
      </c>
      <c r="M492" s="178">
        <v>108.375</v>
      </c>
      <c r="N492" s="178">
        <v>7.1916211284999996</v>
      </c>
      <c r="O492" s="178">
        <v>1106750</v>
      </c>
      <c r="P492" s="174" t="s">
        <v>337</v>
      </c>
      <c r="Q492" s="174" t="s">
        <v>1722</v>
      </c>
      <c r="R492" s="174" t="s">
        <v>22</v>
      </c>
      <c r="S492" s="174" t="s">
        <v>130</v>
      </c>
      <c r="T492" s="175" t="str">
        <f>VLOOKUP($S492,Mapping!$C:$C,1,0)</f>
        <v>Manual</v>
      </c>
      <c r="U492" s="175"/>
      <c r="V492" s="175"/>
      <c r="W492" s="175"/>
      <c r="X492" s="175"/>
      <c r="Y492" s="174" t="s">
        <v>489</v>
      </c>
      <c r="Z492" s="174" t="s">
        <v>906</v>
      </c>
      <c r="AA492" s="174" t="s">
        <v>22</v>
      </c>
      <c r="AB492" s="174"/>
      <c r="AC492" s="175"/>
      <c r="AD492" s="174" t="s">
        <v>1578</v>
      </c>
      <c r="AE492" s="175"/>
      <c r="AF492" s="175"/>
      <c r="AG492" s="176">
        <v>43164.450902777775</v>
      </c>
      <c r="AH492" s="176">
        <v>43164.450995370367</v>
      </c>
      <c r="AI492" s="175"/>
      <c r="AJ492" s="175"/>
      <c r="AK492" s="178">
        <v>1</v>
      </c>
    </row>
    <row r="493" spans="1:37" x14ac:dyDescent="0.25">
      <c r="A493" s="174" t="s">
        <v>484</v>
      </c>
      <c r="B493" s="174" t="s">
        <v>1726</v>
      </c>
      <c r="C493" s="175"/>
      <c r="D493" s="174" t="s">
        <v>478</v>
      </c>
      <c r="E493" s="174" t="s">
        <v>903</v>
      </c>
      <c r="F493" s="176">
        <v>43164</v>
      </c>
      <c r="G493" s="176">
        <v>43164</v>
      </c>
      <c r="H493" s="174" t="s">
        <v>29</v>
      </c>
      <c r="I493" s="175" t="str">
        <f>VLOOKUP($H493,Mapping!$A:$A,1,0)</f>
        <v>NO BROKER SEND</v>
      </c>
      <c r="J493" s="177" t="s">
        <v>466</v>
      </c>
      <c r="K493" s="174" t="s">
        <v>1721</v>
      </c>
      <c r="L493" s="178">
        <v>2000000</v>
      </c>
      <c r="M493" s="178">
        <v>108.375</v>
      </c>
      <c r="N493" s="178">
        <v>7.1916211284999996</v>
      </c>
      <c r="O493" s="178">
        <v>2213500</v>
      </c>
      <c r="P493" s="174" t="s">
        <v>337</v>
      </c>
      <c r="Q493" s="174" t="s">
        <v>1722</v>
      </c>
      <c r="R493" s="174" t="s">
        <v>22</v>
      </c>
      <c r="S493" s="174" t="s">
        <v>130</v>
      </c>
      <c r="T493" s="175" t="str">
        <f>VLOOKUP($S493,Mapping!$C:$C,1,0)</f>
        <v>Manual</v>
      </c>
      <c r="U493" s="175"/>
      <c r="V493" s="175"/>
      <c r="W493" s="175"/>
      <c r="X493" s="175"/>
      <c r="Y493" s="174" t="s">
        <v>489</v>
      </c>
      <c r="Z493" s="174" t="s">
        <v>906</v>
      </c>
      <c r="AA493" s="174" t="s">
        <v>22</v>
      </c>
      <c r="AB493" s="174"/>
      <c r="AC493" s="175"/>
      <c r="AD493" s="174" t="s">
        <v>1578</v>
      </c>
      <c r="AE493" s="175"/>
      <c r="AF493" s="175"/>
      <c r="AG493" s="176">
        <v>43164.450902777775</v>
      </c>
      <c r="AH493" s="176">
        <v>43164.451018518521</v>
      </c>
      <c r="AI493" s="175"/>
      <c r="AJ493" s="175"/>
      <c r="AK493" s="178">
        <v>1</v>
      </c>
    </row>
    <row r="494" spans="1:37" x14ac:dyDescent="0.25">
      <c r="A494" s="174" t="s">
        <v>484</v>
      </c>
      <c r="B494" s="174" t="s">
        <v>1727</v>
      </c>
      <c r="C494" s="175"/>
      <c r="D494" s="174" t="s">
        <v>478</v>
      </c>
      <c r="E494" s="174" t="s">
        <v>903</v>
      </c>
      <c r="F494" s="176">
        <v>43164</v>
      </c>
      <c r="G494" s="176">
        <v>43164</v>
      </c>
      <c r="H494" s="174" t="s">
        <v>29</v>
      </c>
      <c r="I494" s="175" t="str">
        <f>VLOOKUP($H494,Mapping!$A:$A,1,0)</f>
        <v>NO BROKER SEND</v>
      </c>
      <c r="J494" s="179" t="s">
        <v>486</v>
      </c>
      <c r="K494" s="174" t="s">
        <v>1721</v>
      </c>
      <c r="L494" s="178">
        <v>2000000</v>
      </c>
      <c r="M494" s="178">
        <v>108.375</v>
      </c>
      <c r="N494" s="178">
        <v>7.1916211284999996</v>
      </c>
      <c r="O494" s="178">
        <v>-2213500</v>
      </c>
      <c r="P494" s="174" t="s">
        <v>337</v>
      </c>
      <c r="Q494" s="174" t="s">
        <v>1722</v>
      </c>
      <c r="R494" s="174" t="s">
        <v>22</v>
      </c>
      <c r="S494" s="174" t="s">
        <v>130</v>
      </c>
      <c r="T494" s="175" t="str">
        <f>VLOOKUP($S494,Mapping!$C:$C,1,0)</f>
        <v>Manual</v>
      </c>
      <c r="U494" s="175"/>
      <c r="V494" s="175"/>
      <c r="W494" s="175"/>
      <c r="X494" s="175"/>
      <c r="Y494" s="174" t="s">
        <v>489</v>
      </c>
      <c r="Z494" s="174" t="s">
        <v>906</v>
      </c>
      <c r="AA494" s="174" t="s">
        <v>22</v>
      </c>
      <c r="AB494" s="174"/>
      <c r="AC494" s="175"/>
      <c r="AD494" s="174" t="s">
        <v>1578</v>
      </c>
      <c r="AE494" s="175"/>
      <c r="AF494" s="175"/>
      <c r="AG494" s="176">
        <v>43164.450914351852</v>
      </c>
      <c r="AH494" s="176">
        <v>43164.45103009259</v>
      </c>
      <c r="AI494" s="175"/>
      <c r="AJ494" s="175"/>
      <c r="AK494" s="178">
        <v>1</v>
      </c>
    </row>
    <row r="495" spans="1:37" x14ac:dyDescent="0.25">
      <c r="A495" s="174" t="s">
        <v>484</v>
      </c>
      <c r="B495" s="174" t="s">
        <v>1728</v>
      </c>
      <c r="C495" s="175"/>
      <c r="D495" s="174" t="s">
        <v>478</v>
      </c>
      <c r="E495" s="174" t="s">
        <v>903</v>
      </c>
      <c r="F495" s="176">
        <v>43164</v>
      </c>
      <c r="G495" s="176">
        <v>43164</v>
      </c>
      <c r="H495" s="174" t="s">
        <v>29</v>
      </c>
      <c r="I495" s="175" t="str">
        <f>VLOOKUP($H495,Mapping!$A:$A,1,0)</f>
        <v>NO BROKER SEND</v>
      </c>
      <c r="J495" s="177" t="s">
        <v>466</v>
      </c>
      <c r="K495" s="174" t="s">
        <v>1721</v>
      </c>
      <c r="L495" s="178">
        <v>1500000</v>
      </c>
      <c r="M495" s="178">
        <v>108.375</v>
      </c>
      <c r="N495" s="178">
        <v>7.1916211284999996</v>
      </c>
      <c r="O495" s="178">
        <v>1660125</v>
      </c>
      <c r="P495" s="174" t="s">
        <v>337</v>
      </c>
      <c r="Q495" s="174" t="s">
        <v>1722</v>
      </c>
      <c r="R495" s="174" t="s">
        <v>22</v>
      </c>
      <c r="S495" s="174" t="s">
        <v>130</v>
      </c>
      <c r="T495" s="175" t="str">
        <f>VLOOKUP($S495,Mapping!$C:$C,1,0)</f>
        <v>Manual</v>
      </c>
      <c r="U495" s="175"/>
      <c r="V495" s="175"/>
      <c r="W495" s="175"/>
      <c r="X495" s="175"/>
      <c r="Y495" s="174" t="s">
        <v>489</v>
      </c>
      <c r="Z495" s="174" t="s">
        <v>906</v>
      </c>
      <c r="AA495" s="174" t="s">
        <v>22</v>
      </c>
      <c r="AB495" s="174"/>
      <c r="AC495" s="175"/>
      <c r="AD495" s="174" t="s">
        <v>1578</v>
      </c>
      <c r="AE495" s="175"/>
      <c r="AF495" s="175"/>
      <c r="AG495" s="176">
        <v>43164.450902777775</v>
      </c>
      <c r="AH495" s="176">
        <v>43164.451041666667</v>
      </c>
      <c r="AI495" s="175"/>
      <c r="AJ495" s="175"/>
      <c r="AK495" s="178">
        <v>1</v>
      </c>
    </row>
    <row r="496" spans="1:37" x14ac:dyDescent="0.25">
      <c r="A496" s="174" t="s">
        <v>484</v>
      </c>
      <c r="B496" s="174" t="s">
        <v>1729</v>
      </c>
      <c r="C496" s="175"/>
      <c r="D496" s="174" t="s">
        <v>478</v>
      </c>
      <c r="E496" s="174" t="s">
        <v>903</v>
      </c>
      <c r="F496" s="176">
        <v>43164</v>
      </c>
      <c r="G496" s="176">
        <v>43164</v>
      </c>
      <c r="H496" s="174" t="s">
        <v>29</v>
      </c>
      <c r="I496" s="175" t="str">
        <f>VLOOKUP($H496,Mapping!$A:$A,1,0)</f>
        <v>NO BROKER SEND</v>
      </c>
      <c r="J496" s="177" t="s">
        <v>466</v>
      </c>
      <c r="K496" s="174" t="s">
        <v>1721</v>
      </c>
      <c r="L496" s="178">
        <v>1500000</v>
      </c>
      <c r="M496" s="178">
        <v>108.375</v>
      </c>
      <c r="N496" s="178">
        <v>7.1916211284999996</v>
      </c>
      <c r="O496" s="178">
        <v>1660125</v>
      </c>
      <c r="P496" s="174" t="s">
        <v>337</v>
      </c>
      <c r="Q496" s="174" t="s">
        <v>1722</v>
      </c>
      <c r="R496" s="174" t="s">
        <v>22</v>
      </c>
      <c r="S496" s="174" t="s">
        <v>130</v>
      </c>
      <c r="T496" s="175" t="str">
        <f>VLOOKUP($S496,Mapping!$C:$C,1,0)</f>
        <v>Manual</v>
      </c>
      <c r="U496" s="175"/>
      <c r="V496" s="175"/>
      <c r="W496" s="175"/>
      <c r="X496" s="175"/>
      <c r="Y496" s="174" t="s">
        <v>489</v>
      </c>
      <c r="Z496" s="174" t="s">
        <v>906</v>
      </c>
      <c r="AA496" s="174" t="s">
        <v>22</v>
      </c>
      <c r="AB496" s="174"/>
      <c r="AC496" s="175"/>
      <c r="AD496" s="174" t="s">
        <v>1578</v>
      </c>
      <c r="AE496" s="175"/>
      <c r="AF496" s="175"/>
      <c r="AG496" s="176">
        <v>43164.450914351852</v>
      </c>
      <c r="AH496" s="176">
        <v>43164.451053240744</v>
      </c>
      <c r="AI496" s="175"/>
      <c r="AJ496" s="175"/>
      <c r="AK496" s="178">
        <v>1</v>
      </c>
    </row>
    <row r="497" spans="1:37" x14ac:dyDescent="0.25">
      <c r="A497" s="174" t="s">
        <v>484</v>
      </c>
      <c r="B497" s="174" t="s">
        <v>1730</v>
      </c>
      <c r="C497" s="175"/>
      <c r="D497" s="174" t="s">
        <v>478</v>
      </c>
      <c r="E497" s="174" t="s">
        <v>903</v>
      </c>
      <c r="F497" s="176">
        <v>43164</v>
      </c>
      <c r="G497" s="176">
        <v>43164</v>
      </c>
      <c r="H497" s="174" t="s">
        <v>29</v>
      </c>
      <c r="I497" s="175" t="str">
        <f>VLOOKUP($H497,Mapping!$A:$A,1,0)</f>
        <v>NO BROKER SEND</v>
      </c>
      <c r="J497" s="179" t="s">
        <v>486</v>
      </c>
      <c r="K497" s="174" t="s">
        <v>1721</v>
      </c>
      <c r="L497" s="178">
        <v>1282000</v>
      </c>
      <c r="M497" s="178">
        <v>108.375</v>
      </c>
      <c r="N497" s="178">
        <v>7.1916211284999996</v>
      </c>
      <c r="O497" s="178">
        <v>-1418853.5</v>
      </c>
      <c r="P497" s="174" t="s">
        <v>337</v>
      </c>
      <c r="Q497" s="174" t="s">
        <v>1722</v>
      </c>
      <c r="R497" s="174" t="s">
        <v>22</v>
      </c>
      <c r="S497" s="174" t="s">
        <v>130</v>
      </c>
      <c r="T497" s="175" t="str">
        <f>VLOOKUP($S497,Mapping!$C:$C,1,0)</f>
        <v>Manual</v>
      </c>
      <c r="U497" s="175"/>
      <c r="V497" s="175"/>
      <c r="W497" s="175"/>
      <c r="X497" s="175"/>
      <c r="Y497" s="174" t="s">
        <v>489</v>
      </c>
      <c r="Z497" s="174" t="s">
        <v>906</v>
      </c>
      <c r="AA497" s="174" t="s">
        <v>22</v>
      </c>
      <c r="AB497" s="174"/>
      <c r="AC497" s="175"/>
      <c r="AD497" s="174" t="s">
        <v>1578</v>
      </c>
      <c r="AE497" s="175"/>
      <c r="AF497" s="175"/>
      <c r="AG497" s="176">
        <v>43164.450925925928</v>
      </c>
      <c r="AH497" s="176">
        <v>43164.451099537036</v>
      </c>
      <c r="AI497" s="175"/>
      <c r="AJ497" s="175"/>
      <c r="AK497" s="178">
        <v>1</v>
      </c>
    </row>
    <row r="498" spans="1:37" x14ac:dyDescent="0.25">
      <c r="A498" s="174" t="s">
        <v>484</v>
      </c>
      <c r="B498" s="174" t="s">
        <v>1731</v>
      </c>
      <c r="C498" s="175"/>
      <c r="D498" s="174" t="s">
        <v>478</v>
      </c>
      <c r="E498" s="174" t="s">
        <v>903</v>
      </c>
      <c r="F498" s="176">
        <v>43164</v>
      </c>
      <c r="G498" s="176">
        <v>43164</v>
      </c>
      <c r="H498" s="174" t="s">
        <v>29</v>
      </c>
      <c r="I498" s="175" t="str">
        <f>VLOOKUP($H498,Mapping!$A:$A,1,0)</f>
        <v>NO BROKER SEND</v>
      </c>
      <c r="J498" s="177" t="s">
        <v>466</v>
      </c>
      <c r="K498" s="174" t="s">
        <v>1721</v>
      </c>
      <c r="L498" s="178">
        <v>1282000</v>
      </c>
      <c r="M498" s="178">
        <v>108.375</v>
      </c>
      <c r="N498" s="178">
        <v>7.1916211284999996</v>
      </c>
      <c r="O498" s="178">
        <v>1418853.5</v>
      </c>
      <c r="P498" s="174" t="s">
        <v>337</v>
      </c>
      <c r="Q498" s="174" t="s">
        <v>1722</v>
      </c>
      <c r="R498" s="174" t="s">
        <v>22</v>
      </c>
      <c r="S498" s="174" t="s">
        <v>130</v>
      </c>
      <c r="T498" s="175" t="str">
        <f>VLOOKUP($S498,Mapping!$C:$C,1,0)</f>
        <v>Manual</v>
      </c>
      <c r="U498" s="175"/>
      <c r="V498" s="175"/>
      <c r="W498" s="175"/>
      <c r="X498" s="175"/>
      <c r="Y498" s="174" t="s">
        <v>489</v>
      </c>
      <c r="Z498" s="174" t="s">
        <v>906</v>
      </c>
      <c r="AA498" s="174" t="s">
        <v>22</v>
      </c>
      <c r="AB498" s="174"/>
      <c r="AC498" s="175"/>
      <c r="AD498" s="174" t="s">
        <v>1578</v>
      </c>
      <c r="AE498" s="175"/>
      <c r="AF498" s="175"/>
      <c r="AG498" s="176">
        <v>43164.450914351852</v>
      </c>
      <c r="AH498" s="176">
        <v>43164.451111111113</v>
      </c>
      <c r="AI498" s="175"/>
      <c r="AJ498" s="175"/>
      <c r="AK498" s="178">
        <v>1</v>
      </c>
    </row>
    <row r="499" spans="1:37" x14ac:dyDescent="0.25">
      <c r="A499" s="174" t="s">
        <v>484</v>
      </c>
      <c r="B499" s="174" t="s">
        <v>1732</v>
      </c>
      <c r="C499" s="175"/>
      <c r="D499" s="174" t="s">
        <v>478</v>
      </c>
      <c r="E499" s="174" t="s">
        <v>903</v>
      </c>
      <c r="F499" s="176">
        <v>43164</v>
      </c>
      <c r="G499" s="176">
        <v>43164</v>
      </c>
      <c r="H499" s="174" t="s">
        <v>29</v>
      </c>
      <c r="I499" s="175" t="str">
        <f>VLOOKUP($H499,Mapping!$A:$A,1,0)</f>
        <v>NO BROKER SEND</v>
      </c>
      <c r="J499" s="179" t="s">
        <v>486</v>
      </c>
      <c r="K499" s="174" t="s">
        <v>1721</v>
      </c>
      <c r="L499" s="178">
        <v>1500000</v>
      </c>
      <c r="M499" s="178">
        <v>108.375</v>
      </c>
      <c r="N499" s="178">
        <v>7.1916211284999996</v>
      </c>
      <c r="O499" s="178">
        <v>-1660125</v>
      </c>
      <c r="P499" s="174" t="s">
        <v>337</v>
      </c>
      <c r="Q499" s="174" t="s">
        <v>1722</v>
      </c>
      <c r="R499" s="174" t="s">
        <v>22</v>
      </c>
      <c r="S499" s="174" t="s">
        <v>130</v>
      </c>
      <c r="T499" s="175" t="str">
        <f>VLOOKUP($S499,Mapping!$C:$C,1,0)</f>
        <v>Manual</v>
      </c>
      <c r="U499" s="175"/>
      <c r="V499" s="175"/>
      <c r="W499" s="175"/>
      <c r="X499" s="175"/>
      <c r="Y499" s="174" t="s">
        <v>489</v>
      </c>
      <c r="Z499" s="174" t="s">
        <v>906</v>
      </c>
      <c r="AA499" s="174" t="s">
        <v>22</v>
      </c>
      <c r="AB499" s="174"/>
      <c r="AC499" s="175"/>
      <c r="AD499" s="174" t="s">
        <v>1578</v>
      </c>
      <c r="AE499" s="175"/>
      <c r="AF499" s="175"/>
      <c r="AG499" s="176">
        <v>43164.450914351852</v>
      </c>
      <c r="AH499" s="176">
        <v>43164.451122685183</v>
      </c>
      <c r="AI499" s="175"/>
      <c r="AJ499" s="175"/>
      <c r="AK499" s="178">
        <v>1</v>
      </c>
    </row>
    <row r="500" spans="1:37" x14ac:dyDescent="0.25">
      <c r="A500" s="174" t="s">
        <v>484</v>
      </c>
      <c r="B500" s="174" t="s">
        <v>1733</v>
      </c>
      <c r="C500" s="175"/>
      <c r="D500" s="174" t="s">
        <v>478</v>
      </c>
      <c r="E500" s="174" t="s">
        <v>903</v>
      </c>
      <c r="F500" s="176">
        <v>43164</v>
      </c>
      <c r="G500" s="176">
        <v>43164</v>
      </c>
      <c r="H500" s="174" t="s">
        <v>29</v>
      </c>
      <c r="I500" s="175" t="str">
        <f>VLOOKUP($H500,Mapping!$A:$A,1,0)</f>
        <v>NO BROKER SEND</v>
      </c>
      <c r="J500" s="179" t="s">
        <v>486</v>
      </c>
      <c r="K500" s="174" t="s">
        <v>1721</v>
      </c>
      <c r="L500" s="178">
        <v>2000000</v>
      </c>
      <c r="M500" s="178">
        <v>108.375</v>
      </c>
      <c r="N500" s="178">
        <v>7.1916211284999996</v>
      </c>
      <c r="O500" s="178">
        <v>-2213500</v>
      </c>
      <c r="P500" s="174" t="s">
        <v>337</v>
      </c>
      <c r="Q500" s="174" t="s">
        <v>1722</v>
      </c>
      <c r="R500" s="174" t="s">
        <v>22</v>
      </c>
      <c r="S500" s="174" t="s">
        <v>130</v>
      </c>
      <c r="T500" s="175" t="str">
        <f>VLOOKUP($S500,Mapping!$C:$C,1,0)</f>
        <v>Manual</v>
      </c>
      <c r="U500" s="175"/>
      <c r="V500" s="175"/>
      <c r="W500" s="175"/>
      <c r="X500" s="175"/>
      <c r="Y500" s="174" t="s">
        <v>489</v>
      </c>
      <c r="Z500" s="174" t="s">
        <v>906</v>
      </c>
      <c r="AA500" s="174" t="s">
        <v>22</v>
      </c>
      <c r="AB500" s="174"/>
      <c r="AC500" s="175"/>
      <c r="AD500" s="174" t="s">
        <v>1578</v>
      </c>
      <c r="AE500" s="175"/>
      <c r="AF500" s="175"/>
      <c r="AG500" s="176">
        <v>43164.450925925928</v>
      </c>
      <c r="AH500" s="176">
        <v>43164.451145833336</v>
      </c>
      <c r="AI500" s="175"/>
      <c r="AJ500" s="175"/>
      <c r="AK500" s="178">
        <v>1</v>
      </c>
    </row>
    <row r="501" spans="1:37" x14ac:dyDescent="0.25">
      <c r="A501" s="174" t="s">
        <v>484</v>
      </c>
      <c r="B501" s="174" t="s">
        <v>1734</v>
      </c>
      <c r="C501" s="175"/>
      <c r="D501" s="174" t="s">
        <v>478</v>
      </c>
      <c r="E501" s="174" t="s">
        <v>903</v>
      </c>
      <c r="F501" s="176">
        <v>43164</v>
      </c>
      <c r="G501" s="176">
        <v>43164</v>
      </c>
      <c r="H501" s="174" t="s">
        <v>29</v>
      </c>
      <c r="I501" s="175" t="str">
        <f>VLOOKUP($H501,Mapping!$A:$A,1,0)</f>
        <v>NO BROKER SEND</v>
      </c>
      <c r="J501" s="179" t="s">
        <v>486</v>
      </c>
      <c r="K501" s="174" t="s">
        <v>1721</v>
      </c>
      <c r="L501" s="178">
        <v>1500000</v>
      </c>
      <c r="M501" s="178">
        <v>108.375</v>
      </c>
      <c r="N501" s="178">
        <v>7.1916211284999996</v>
      </c>
      <c r="O501" s="178">
        <v>-1660125</v>
      </c>
      <c r="P501" s="174" t="s">
        <v>337</v>
      </c>
      <c r="Q501" s="174" t="s">
        <v>1722</v>
      </c>
      <c r="R501" s="174" t="s">
        <v>22</v>
      </c>
      <c r="S501" s="174" t="s">
        <v>130</v>
      </c>
      <c r="T501" s="175" t="str">
        <f>VLOOKUP($S501,Mapping!$C:$C,1,0)</f>
        <v>Manual</v>
      </c>
      <c r="U501" s="175"/>
      <c r="V501" s="175"/>
      <c r="W501" s="175"/>
      <c r="X501" s="175"/>
      <c r="Y501" s="174" t="s">
        <v>489</v>
      </c>
      <c r="Z501" s="174" t="s">
        <v>906</v>
      </c>
      <c r="AA501" s="174" t="s">
        <v>22</v>
      </c>
      <c r="AB501" s="174"/>
      <c r="AC501" s="175"/>
      <c r="AD501" s="174" t="s">
        <v>1578</v>
      </c>
      <c r="AE501" s="175"/>
      <c r="AF501" s="175"/>
      <c r="AG501" s="176">
        <v>43164.450914351852</v>
      </c>
      <c r="AH501" s="176">
        <v>43164.451157407406</v>
      </c>
      <c r="AI501" s="175"/>
      <c r="AJ501" s="175"/>
      <c r="AK501" s="178">
        <v>1</v>
      </c>
    </row>
    <row r="502" spans="1:37" x14ac:dyDescent="0.25">
      <c r="A502" s="174" t="s">
        <v>484</v>
      </c>
      <c r="B502" s="174" t="s">
        <v>1735</v>
      </c>
      <c r="C502" s="175"/>
      <c r="D502" s="174" t="s">
        <v>478</v>
      </c>
      <c r="E502" s="174" t="s">
        <v>903</v>
      </c>
      <c r="F502" s="176">
        <v>43164</v>
      </c>
      <c r="G502" s="176">
        <v>43164</v>
      </c>
      <c r="H502" s="174" t="s">
        <v>29</v>
      </c>
      <c r="I502" s="175" t="str">
        <f>VLOOKUP($H502,Mapping!$A:$A,1,0)</f>
        <v>NO BROKER SEND</v>
      </c>
      <c r="J502" s="177" t="s">
        <v>466</v>
      </c>
      <c r="K502" s="174" t="s">
        <v>1721</v>
      </c>
      <c r="L502" s="178">
        <v>2000000</v>
      </c>
      <c r="M502" s="178">
        <v>108.375</v>
      </c>
      <c r="N502" s="178">
        <v>7.1916211284999996</v>
      </c>
      <c r="O502" s="178">
        <v>2213500</v>
      </c>
      <c r="P502" s="174" t="s">
        <v>337</v>
      </c>
      <c r="Q502" s="174" t="s">
        <v>1722</v>
      </c>
      <c r="R502" s="174" t="s">
        <v>22</v>
      </c>
      <c r="S502" s="174" t="s">
        <v>130</v>
      </c>
      <c r="T502" s="175" t="str">
        <f>VLOOKUP($S502,Mapping!$C:$C,1,0)</f>
        <v>Manual</v>
      </c>
      <c r="U502" s="175"/>
      <c r="V502" s="175"/>
      <c r="W502" s="175"/>
      <c r="X502" s="175"/>
      <c r="Y502" s="174" t="s">
        <v>489</v>
      </c>
      <c r="Z502" s="174" t="s">
        <v>906</v>
      </c>
      <c r="AA502" s="174" t="s">
        <v>22</v>
      </c>
      <c r="AB502" s="174"/>
      <c r="AC502" s="175"/>
      <c r="AD502" s="174" t="s">
        <v>1578</v>
      </c>
      <c r="AE502" s="175"/>
      <c r="AF502" s="175"/>
      <c r="AG502" s="176">
        <v>43164.450914351852</v>
      </c>
      <c r="AH502" s="176">
        <v>43164.451168981483</v>
      </c>
      <c r="AI502" s="175"/>
      <c r="AJ502" s="175"/>
      <c r="AK502" s="178">
        <v>1</v>
      </c>
    </row>
    <row r="503" spans="1:37" x14ac:dyDescent="0.25">
      <c r="A503" s="174" t="s">
        <v>484</v>
      </c>
      <c r="B503" s="174" t="s">
        <v>1736</v>
      </c>
      <c r="C503" s="175"/>
      <c r="D503" s="174" t="s">
        <v>478</v>
      </c>
      <c r="E503" s="174" t="s">
        <v>903</v>
      </c>
      <c r="F503" s="176">
        <v>43164</v>
      </c>
      <c r="G503" s="176">
        <v>43164</v>
      </c>
      <c r="H503" s="174" t="s">
        <v>29</v>
      </c>
      <c r="I503" s="175" t="str">
        <f>VLOOKUP($H503,Mapping!$A:$A,1,0)</f>
        <v>NO BROKER SEND</v>
      </c>
      <c r="J503" s="179" t="s">
        <v>486</v>
      </c>
      <c r="K503" s="174" t="s">
        <v>1721</v>
      </c>
      <c r="L503" s="178">
        <v>2000000</v>
      </c>
      <c r="M503" s="178">
        <v>108.375</v>
      </c>
      <c r="N503" s="178">
        <v>7.1916211284999996</v>
      </c>
      <c r="O503" s="178">
        <v>-2213500</v>
      </c>
      <c r="P503" s="174" t="s">
        <v>337</v>
      </c>
      <c r="Q503" s="174" t="s">
        <v>1722</v>
      </c>
      <c r="R503" s="174" t="s">
        <v>22</v>
      </c>
      <c r="S503" s="174" t="s">
        <v>130</v>
      </c>
      <c r="T503" s="175" t="str">
        <f>VLOOKUP($S503,Mapping!$C:$C,1,0)</f>
        <v>Manual</v>
      </c>
      <c r="U503" s="175"/>
      <c r="V503" s="175"/>
      <c r="W503" s="175"/>
      <c r="X503" s="175"/>
      <c r="Y503" s="174" t="s">
        <v>489</v>
      </c>
      <c r="Z503" s="174" t="s">
        <v>906</v>
      </c>
      <c r="AA503" s="174" t="s">
        <v>22</v>
      </c>
      <c r="AB503" s="174"/>
      <c r="AC503" s="175"/>
      <c r="AD503" s="174" t="s">
        <v>1578</v>
      </c>
      <c r="AE503" s="175"/>
      <c r="AF503" s="175"/>
      <c r="AG503" s="176">
        <v>43164.450937499998</v>
      </c>
      <c r="AH503" s="176">
        <v>43164.451180555552</v>
      </c>
      <c r="AI503" s="175"/>
      <c r="AJ503" s="175"/>
      <c r="AK503" s="178">
        <v>1</v>
      </c>
    </row>
    <row r="504" spans="1:37" x14ac:dyDescent="0.25">
      <c r="A504" s="174" t="s">
        <v>484</v>
      </c>
      <c r="B504" s="174" t="s">
        <v>1737</v>
      </c>
      <c r="C504" s="175"/>
      <c r="D504" s="174" t="s">
        <v>478</v>
      </c>
      <c r="E504" s="174" t="s">
        <v>903</v>
      </c>
      <c r="F504" s="176">
        <v>43164</v>
      </c>
      <c r="G504" s="176">
        <v>43164</v>
      </c>
      <c r="H504" s="174" t="s">
        <v>29</v>
      </c>
      <c r="I504" s="175" t="str">
        <f>VLOOKUP($H504,Mapping!$A:$A,1,0)</f>
        <v>NO BROKER SEND</v>
      </c>
      <c r="J504" s="179" t="s">
        <v>486</v>
      </c>
      <c r="K504" s="174" t="s">
        <v>1721</v>
      </c>
      <c r="L504" s="178">
        <v>2000000</v>
      </c>
      <c r="M504" s="178">
        <v>108.375</v>
      </c>
      <c r="N504" s="178">
        <v>7.1916211284999996</v>
      </c>
      <c r="O504" s="178">
        <v>-2213500</v>
      </c>
      <c r="P504" s="174" t="s">
        <v>337</v>
      </c>
      <c r="Q504" s="174" t="s">
        <v>1722</v>
      </c>
      <c r="R504" s="174" t="s">
        <v>22</v>
      </c>
      <c r="S504" s="174" t="s">
        <v>130</v>
      </c>
      <c r="T504" s="175" t="str">
        <f>VLOOKUP($S504,Mapping!$C:$C,1,0)</f>
        <v>Manual</v>
      </c>
      <c r="U504" s="175"/>
      <c r="V504" s="175"/>
      <c r="W504" s="175"/>
      <c r="X504" s="175"/>
      <c r="Y504" s="174" t="s">
        <v>489</v>
      </c>
      <c r="Z504" s="174" t="s">
        <v>906</v>
      </c>
      <c r="AA504" s="174" t="s">
        <v>22</v>
      </c>
      <c r="AB504" s="174"/>
      <c r="AC504" s="175"/>
      <c r="AD504" s="174" t="s">
        <v>1578</v>
      </c>
      <c r="AE504" s="175"/>
      <c r="AF504" s="175"/>
      <c r="AG504" s="176">
        <v>43164.450937499998</v>
      </c>
      <c r="AH504" s="176">
        <v>43164.451203703706</v>
      </c>
      <c r="AI504" s="175"/>
      <c r="AJ504" s="175"/>
      <c r="AK504" s="178">
        <v>1</v>
      </c>
    </row>
    <row r="505" spans="1:37" x14ac:dyDescent="0.25">
      <c r="A505" s="174" t="s">
        <v>484</v>
      </c>
      <c r="B505" s="174" t="s">
        <v>1738</v>
      </c>
      <c r="C505" s="175"/>
      <c r="D505" s="174" t="s">
        <v>478</v>
      </c>
      <c r="E505" s="174" t="s">
        <v>903</v>
      </c>
      <c r="F505" s="176">
        <v>43164</v>
      </c>
      <c r="G505" s="176">
        <v>43164</v>
      </c>
      <c r="H505" s="174" t="s">
        <v>29</v>
      </c>
      <c r="I505" s="175" t="str">
        <f>VLOOKUP($H505,Mapping!$A:$A,1,0)</f>
        <v>NO BROKER SEND</v>
      </c>
      <c r="J505" s="177" t="s">
        <v>466</v>
      </c>
      <c r="K505" s="174" t="s">
        <v>1721</v>
      </c>
      <c r="L505" s="178">
        <v>2000000</v>
      </c>
      <c r="M505" s="178">
        <v>108.375</v>
      </c>
      <c r="N505" s="178">
        <v>7.1916211284999996</v>
      </c>
      <c r="O505" s="178">
        <v>2213500</v>
      </c>
      <c r="P505" s="174" t="s">
        <v>337</v>
      </c>
      <c r="Q505" s="174" t="s">
        <v>1722</v>
      </c>
      <c r="R505" s="174" t="s">
        <v>22</v>
      </c>
      <c r="S505" s="174" t="s">
        <v>130</v>
      </c>
      <c r="T505" s="175" t="str">
        <f>VLOOKUP($S505,Mapping!$C:$C,1,0)</f>
        <v>Manual</v>
      </c>
      <c r="U505" s="175"/>
      <c r="V505" s="175"/>
      <c r="W505" s="175"/>
      <c r="X505" s="175"/>
      <c r="Y505" s="174" t="s">
        <v>489</v>
      </c>
      <c r="Z505" s="174" t="s">
        <v>906</v>
      </c>
      <c r="AA505" s="174" t="s">
        <v>22</v>
      </c>
      <c r="AB505" s="174"/>
      <c r="AC505" s="175"/>
      <c r="AD505" s="174" t="s">
        <v>1578</v>
      </c>
      <c r="AE505" s="175"/>
      <c r="AF505" s="175"/>
      <c r="AG505" s="176">
        <v>43164.450925925928</v>
      </c>
      <c r="AH505" s="176">
        <v>43164.451215277775</v>
      </c>
      <c r="AI505" s="175"/>
      <c r="AJ505" s="175"/>
      <c r="AK505" s="178">
        <v>1</v>
      </c>
    </row>
    <row r="506" spans="1:37" x14ac:dyDescent="0.25">
      <c r="A506" s="174" t="s">
        <v>484</v>
      </c>
      <c r="B506" s="174" t="s">
        <v>1739</v>
      </c>
      <c r="C506" s="175"/>
      <c r="D506" s="174" t="s">
        <v>478</v>
      </c>
      <c r="E506" s="174" t="s">
        <v>903</v>
      </c>
      <c r="F506" s="176">
        <v>43164</v>
      </c>
      <c r="G506" s="176">
        <v>43164</v>
      </c>
      <c r="H506" s="174" t="s">
        <v>29</v>
      </c>
      <c r="I506" s="175" t="str">
        <f>VLOOKUP($H506,Mapping!$A:$A,1,0)</f>
        <v>NO BROKER SEND</v>
      </c>
      <c r="J506" s="179" t="s">
        <v>486</v>
      </c>
      <c r="K506" s="174" t="s">
        <v>1721</v>
      </c>
      <c r="L506" s="178">
        <v>3000000</v>
      </c>
      <c r="M506" s="178">
        <v>108.375</v>
      </c>
      <c r="N506" s="178">
        <v>7.1916211284999996</v>
      </c>
      <c r="O506" s="178">
        <v>-3320250</v>
      </c>
      <c r="P506" s="174" t="s">
        <v>337</v>
      </c>
      <c r="Q506" s="174" t="s">
        <v>1722</v>
      </c>
      <c r="R506" s="174" t="s">
        <v>22</v>
      </c>
      <c r="S506" s="174" t="s">
        <v>130</v>
      </c>
      <c r="T506" s="175" t="str">
        <f>VLOOKUP($S506,Mapping!$C:$C,1,0)</f>
        <v>Manual</v>
      </c>
      <c r="U506" s="175"/>
      <c r="V506" s="175"/>
      <c r="W506" s="175"/>
      <c r="X506" s="175"/>
      <c r="Y506" s="174" t="s">
        <v>489</v>
      </c>
      <c r="Z506" s="174" t="s">
        <v>906</v>
      </c>
      <c r="AA506" s="174" t="s">
        <v>22</v>
      </c>
      <c r="AB506" s="174"/>
      <c r="AC506" s="175"/>
      <c r="AD506" s="174" t="s">
        <v>1578</v>
      </c>
      <c r="AE506" s="175"/>
      <c r="AF506" s="175"/>
      <c r="AG506" s="176">
        <v>43164.450949074075</v>
      </c>
      <c r="AH506" s="176">
        <v>43164.451226851852</v>
      </c>
      <c r="AI506" s="175"/>
      <c r="AJ506" s="175"/>
      <c r="AK506" s="178">
        <v>1</v>
      </c>
    </row>
    <row r="507" spans="1:37" x14ac:dyDescent="0.25">
      <c r="A507" s="174" t="s">
        <v>484</v>
      </c>
      <c r="B507" s="174" t="s">
        <v>1740</v>
      </c>
      <c r="C507" s="175"/>
      <c r="D507" s="174" t="s">
        <v>478</v>
      </c>
      <c r="E507" s="174" t="s">
        <v>903</v>
      </c>
      <c r="F507" s="176">
        <v>43164</v>
      </c>
      <c r="G507" s="176">
        <v>43164</v>
      </c>
      <c r="H507" s="174" t="s">
        <v>29</v>
      </c>
      <c r="I507" s="175" t="str">
        <f>VLOOKUP($H507,Mapping!$A:$A,1,0)</f>
        <v>NO BROKER SEND</v>
      </c>
      <c r="J507" s="177" t="s">
        <v>466</v>
      </c>
      <c r="K507" s="174" t="s">
        <v>1721</v>
      </c>
      <c r="L507" s="178">
        <v>3000000</v>
      </c>
      <c r="M507" s="178">
        <v>108.375</v>
      </c>
      <c r="N507" s="178">
        <v>7.1916211284999996</v>
      </c>
      <c r="O507" s="178">
        <v>3320250</v>
      </c>
      <c r="P507" s="174" t="s">
        <v>337</v>
      </c>
      <c r="Q507" s="174" t="s">
        <v>1722</v>
      </c>
      <c r="R507" s="174" t="s">
        <v>22</v>
      </c>
      <c r="S507" s="174" t="s">
        <v>130</v>
      </c>
      <c r="T507" s="175" t="str">
        <f>VLOOKUP($S507,Mapping!$C:$C,1,0)</f>
        <v>Manual</v>
      </c>
      <c r="U507" s="175"/>
      <c r="V507" s="175"/>
      <c r="W507" s="175"/>
      <c r="X507" s="175"/>
      <c r="Y507" s="174" t="s">
        <v>489</v>
      </c>
      <c r="Z507" s="174" t="s">
        <v>906</v>
      </c>
      <c r="AA507" s="174" t="s">
        <v>22</v>
      </c>
      <c r="AB507" s="174"/>
      <c r="AC507" s="175"/>
      <c r="AD507" s="174" t="s">
        <v>1578</v>
      </c>
      <c r="AE507" s="175"/>
      <c r="AF507" s="175"/>
      <c r="AG507" s="176">
        <v>43164.450925925928</v>
      </c>
      <c r="AH507" s="176">
        <v>43164.451249999998</v>
      </c>
      <c r="AI507" s="175"/>
      <c r="AJ507" s="175"/>
      <c r="AK507" s="178">
        <v>1</v>
      </c>
    </row>
    <row r="508" spans="1:37" x14ac:dyDescent="0.25">
      <c r="A508" s="174" t="s">
        <v>484</v>
      </c>
      <c r="B508" s="174" t="s">
        <v>1741</v>
      </c>
      <c r="C508" s="175"/>
      <c r="D508" s="174" t="s">
        <v>478</v>
      </c>
      <c r="E508" s="174" t="s">
        <v>903</v>
      </c>
      <c r="F508" s="176">
        <v>43164</v>
      </c>
      <c r="G508" s="176">
        <v>43164</v>
      </c>
      <c r="H508" s="174" t="s">
        <v>29</v>
      </c>
      <c r="I508" s="175" t="str">
        <f>VLOOKUP($H508,Mapping!$A:$A,1,0)</f>
        <v>NO BROKER SEND</v>
      </c>
      <c r="J508" s="177" t="s">
        <v>466</v>
      </c>
      <c r="K508" s="174" t="s">
        <v>1721</v>
      </c>
      <c r="L508" s="178">
        <v>2000000</v>
      </c>
      <c r="M508" s="178">
        <v>108.375</v>
      </c>
      <c r="N508" s="178">
        <v>7.1916211284999996</v>
      </c>
      <c r="O508" s="178">
        <v>2213500</v>
      </c>
      <c r="P508" s="174" t="s">
        <v>337</v>
      </c>
      <c r="Q508" s="174" t="s">
        <v>1722</v>
      </c>
      <c r="R508" s="174" t="s">
        <v>22</v>
      </c>
      <c r="S508" s="174" t="s">
        <v>130</v>
      </c>
      <c r="T508" s="175" t="str">
        <f>VLOOKUP($S508,Mapping!$C:$C,1,0)</f>
        <v>Manual</v>
      </c>
      <c r="U508" s="175"/>
      <c r="V508" s="175"/>
      <c r="W508" s="175"/>
      <c r="X508" s="175"/>
      <c r="Y508" s="174" t="s">
        <v>489</v>
      </c>
      <c r="Z508" s="174" t="s">
        <v>906</v>
      </c>
      <c r="AA508" s="174" t="s">
        <v>22</v>
      </c>
      <c r="AB508" s="174"/>
      <c r="AC508" s="175"/>
      <c r="AD508" s="174" t="s">
        <v>1578</v>
      </c>
      <c r="AE508" s="175"/>
      <c r="AF508" s="175"/>
      <c r="AG508" s="176">
        <v>43164.450925925928</v>
      </c>
      <c r="AH508" s="176">
        <v>43164.451261574075</v>
      </c>
      <c r="AI508" s="175"/>
      <c r="AJ508" s="175"/>
      <c r="AK508" s="178">
        <v>1</v>
      </c>
    </row>
    <row r="509" spans="1:37" x14ac:dyDescent="0.25">
      <c r="A509" s="174" t="s">
        <v>484</v>
      </c>
      <c r="B509" s="174" t="s">
        <v>1742</v>
      </c>
      <c r="C509" s="175"/>
      <c r="D509" s="174" t="s">
        <v>478</v>
      </c>
      <c r="E509" s="174" t="s">
        <v>903</v>
      </c>
      <c r="F509" s="176">
        <v>43164</v>
      </c>
      <c r="G509" s="176">
        <v>43164</v>
      </c>
      <c r="H509" s="174" t="s">
        <v>29</v>
      </c>
      <c r="I509" s="175" t="str">
        <f>VLOOKUP($H509,Mapping!$A:$A,1,0)</f>
        <v>NO BROKER SEND</v>
      </c>
      <c r="J509" s="177" t="s">
        <v>466</v>
      </c>
      <c r="K509" s="174" t="s">
        <v>1721</v>
      </c>
      <c r="L509" s="178">
        <v>3000000</v>
      </c>
      <c r="M509" s="178">
        <v>108.375</v>
      </c>
      <c r="N509" s="178">
        <v>7.1916211284999996</v>
      </c>
      <c r="O509" s="178">
        <v>3320250</v>
      </c>
      <c r="P509" s="174" t="s">
        <v>337</v>
      </c>
      <c r="Q509" s="174" t="s">
        <v>1722</v>
      </c>
      <c r="R509" s="174" t="s">
        <v>22</v>
      </c>
      <c r="S509" s="174" t="s">
        <v>130</v>
      </c>
      <c r="T509" s="175" t="str">
        <f>VLOOKUP($S509,Mapping!$C:$C,1,0)</f>
        <v>Manual</v>
      </c>
      <c r="U509" s="175"/>
      <c r="V509" s="175"/>
      <c r="W509" s="175"/>
      <c r="X509" s="175"/>
      <c r="Y509" s="174" t="s">
        <v>489</v>
      </c>
      <c r="Z509" s="174" t="s">
        <v>906</v>
      </c>
      <c r="AA509" s="174" t="s">
        <v>22</v>
      </c>
      <c r="AB509" s="174"/>
      <c r="AC509" s="175"/>
      <c r="AD509" s="174" t="s">
        <v>1578</v>
      </c>
      <c r="AE509" s="175"/>
      <c r="AF509" s="175"/>
      <c r="AG509" s="176">
        <v>43164.450925925928</v>
      </c>
      <c r="AH509" s="176">
        <v>43164.451273148145</v>
      </c>
      <c r="AI509" s="175"/>
      <c r="AJ509" s="175"/>
      <c r="AK509" s="178">
        <v>1</v>
      </c>
    </row>
    <row r="510" spans="1:37" x14ac:dyDescent="0.25">
      <c r="A510" s="174" t="s">
        <v>484</v>
      </c>
      <c r="B510" s="174" t="s">
        <v>1743</v>
      </c>
      <c r="C510" s="175"/>
      <c r="D510" s="174" t="s">
        <v>478</v>
      </c>
      <c r="E510" s="174" t="s">
        <v>903</v>
      </c>
      <c r="F510" s="176">
        <v>43164</v>
      </c>
      <c r="G510" s="176">
        <v>43164</v>
      </c>
      <c r="H510" s="174" t="s">
        <v>29</v>
      </c>
      <c r="I510" s="175" t="str">
        <f>VLOOKUP($H510,Mapping!$A:$A,1,0)</f>
        <v>NO BROKER SEND</v>
      </c>
      <c r="J510" s="179" t="s">
        <v>486</v>
      </c>
      <c r="K510" s="174" t="s">
        <v>1721</v>
      </c>
      <c r="L510" s="178">
        <v>3000000</v>
      </c>
      <c r="M510" s="178">
        <v>108.375</v>
      </c>
      <c r="N510" s="178">
        <v>7.1916211284999996</v>
      </c>
      <c r="O510" s="178">
        <v>-3320250</v>
      </c>
      <c r="P510" s="174" t="s">
        <v>337</v>
      </c>
      <c r="Q510" s="174" t="s">
        <v>1722</v>
      </c>
      <c r="R510" s="174" t="s">
        <v>22</v>
      </c>
      <c r="S510" s="174" t="s">
        <v>130</v>
      </c>
      <c r="T510" s="175" t="str">
        <f>VLOOKUP($S510,Mapping!$C:$C,1,0)</f>
        <v>Manual</v>
      </c>
      <c r="U510" s="175"/>
      <c r="V510" s="175"/>
      <c r="W510" s="175"/>
      <c r="X510" s="175"/>
      <c r="Y510" s="174" t="s">
        <v>489</v>
      </c>
      <c r="Z510" s="174" t="s">
        <v>906</v>
      </c>
      <c r="AA510" s="174" t="s">
        <v>22</v>
      </c>
      <c r="AB510" s="174"/>
      <c r="AC510" s="175"/>
      <c r="AD510" s="174" t="s">
        <v>1578</v>
      </c>
      <c r="AE510" s="175"/>
      <c r="AF510" s="175"/>
      <c r="AG510" s="176">
        <v>43164.450949074075</v>
      </c>
      <c r="AH510" s="176">
        <v>43164.451284722221</v>
      </c>
      <c r="AI510" s="175"/>
      <c r="AJ510" s="175"/>
      <c r="AK510" s="178">
        <v>1</v>
      </c>
    </row>
    <row r="511" spans="1:37" x14ac:dyDescent="0.25">
      <c r="A511" s="174" t="s">
        <v>484</v>
      </c>
      <c r="B511" s="174" t="s">
        <v>1744</v>
      </c>
      <c r="C511" s="175"/>
      <c r="D511" s="174" t="s">
        <v>478</v>
      </c>
      <c r="E511" s="174" t="s">
        <v>582</v>
      </c>
      <c r="F511" s="176">
        <v>43164</v>
      </c>
      <c r="G511" s="176">
        <v>43166</v>
      </c>
      <c r="H511" s="174" t="s">
        <v>29</v>
      </c>
      <c r="I511" s="175" t="str">
        <f>VLOOKUP($H511,Mapping!$A:$A,1,0)</f>
        <v>NO BROKER SEND</v>
      </c>
      <c r="J511" s="179" t="s">
        <v>486</v>
      </c>
      <c r="K511" s="174" t="s">
        <v>719</v>
      </c>
      <c r="L511" s="178">
        <v>2772000</v>
      </c>
      <c r="M511" s="178">
        <v>99.600999999999999</v>
      </c>
      <c r="N511" s="178">
        <v>3.9579389366000002</v>
      </c>
      <c r="O511" s="178">
        <v>-2807786.52</v>
      </c>
      <c r="P511" s="174" t="s">
        <v>337</v>
      </c>
      <c r="Q511" s="174" t="s">
        <v>720</v>
      </c>
      <c r="R511" s="174" t="s">
        <v>22</v>
      </c>
      <c r="S511" s="174" t="s">
        <v>130</v>
      </c>
      <c r="T511" s="175" t="str">
        <f>VLOOKUP($S511,Mapping!$C:$C,1,0)</f>
        <v>Manual</v>
      </c>
      <c r="U511" s="175"/>
      <c r="V511" s="175"/>
      <c r="W511" s="175"/>
      <c r="X511" s="175"/>
      <c r="Y511" s="174" t="s">
        <v>489</v>
      </c>
      <c r="Z511" s="174" t="s">
        <v>586</v>
      </c>
      <c r="AA511" s="174" t="s">
        <v>22</v>
      </c>
      <c r="AB511" s="174"/>
      <c r="AC511" s="175"/>
      <c r="AD511" s="174" t="s">
        <v>512</v>
      </c>
      <c r="AE511" s="175"/>
      <c r="AF511" s="175"/>
      <c r="AG511" s="176">
        <v>43164.458090277774</v>
      </c>
      <c r="AH511" s="176">
        <v>43164.458182870374</v>
      </c>
      <c r="AI511" s="175"/>
      <c r="AJ511" s="175"/>
      <c r="AK511" s="178">
        <v>1</v>
      </c>
    </row>
    <row r="512" spans="1:37" x14ac:dyDescent="0.25">
      <c r="A512" s="174" t="s">
        <v>461</v>
      </c>
      <c r="B512" s="174" t="s">
        <v>1745</v>
      </c>
      <c r="C512" s="175"/>
      <c r="D512" s="174" t="s">
        <v>478</v>
      </c>
      <c r="E512" s="174" t="s">
        <v>558</v>
      </c>
      <c r="F512" s="176">
        <v>43164</v>
      </c>
      <c r="G512" s="176">
        <v>43165</v>
      </c>
      <c r="H512" s="174" t="s">
        <v>29</v>
      </c>
      <c r="I512" s="175" t="str">
        <f>VLOOKUP($H512,Mapping!$A:$A,1,0)</f>
        <v>NO BROKER SEND</v>
      </c>
      <c r="J512" s="179" t="s">
        <v>486</v>
      </c>
      <c r="K512" s="174" t="s">
        <v>475</v>
      </c>
      <c r="L512" s="178">
        <v>2218000</v>
      </c>
      <c r="M512" s="178">
        <v>99.328125</v>
      </c>
      <c r="N512" s="178">
        <v>2.8278548634999998</v>
      </c>
      <c r="O512" s="178">
        <v>-2206299.2075276203</v>
      </c>
      <c r="P512" s="174" t="s">
        <v>337</v>
      </c>
      <c r="Q512" s="174" t="s">
        <v>476</v>
      </c>
      <c r="R512" s="174" t="s">
        <v>22</v>
      </c>
      <c r="S512" s="174" t="s">
        <v>130</v>
      </c>
      <c r="T512" s="175" t="str">
        <f>VLOOKUP($S512,Mapping!$C:$C,1,0)</f>
        <v>Manual</v>
      </c>
      <c r="U512" s="175"/>
      <c r="V512" s="175"/>
      <c r="W512" s="175"/>
      <c r="X512" s="175"/>
      <c r="Y512" s="174" t="s">
        <v>469</v>
      </c>
      <c r="Z512" s="174" t="s">
        <v>560</v>
      </c>
      <c r="AA512" s="174" t="s">
        <v>22</v>
      </c>
      <c r="AB512" s="174"/>
      <c r="AC512" s="175"/>
      <c r="AD512" s="174" t="s">
        <v>512</v>
      </c>
      <c r="AE512" s="175"/>
      <c r="AF512" s="175"/>
      <c r="AG512" s="176">
        <v>43164.458090277774</v>
      </c>
      <c r="AH512" s="176">
        <v>43164.458194444444</v>
      </c>
      <c r="AI512" s="175"/>
      <c r="AJ512" s="175"/>
      <c r="AK512" s="178">
        <v>1</v>
      </c>
    </row>
    <row r="513" spans="1:37" x14ac:dyDescent="0.25">
      <c r="A513" s="174" t="s">
        <v>484</v>
      </c>
      <c r="B513" s="174" t="s">
        <v>1746</v>
      </c>
      <c r="C513" s="175"/>
      <c r="D513" s="174" t="s">
        <v>478</v>
      </c>
      <c r="E513" s="174" t="s">
        <v>558</v>
      </c>
      <c r="F513" s="176">
        <v>43164</v>
      </c>
      <c r="G513" s="176">
        <v>43166</v>
      </c>
      <c r="H513" s="174" t="s">
        <v>29</v>
      </c>
      <c r="I513" s="175" t="str">
        <f>VLOOKUP($H513,Mapping!$A:$A,1,0)</f>
        <v>NO BROKER SEND</v>
      </c>
      <c r="J513" s="177" t="s">
        <v>466</v>
      </c>
      <c r="K513" s="174" t="s">
        <v>719</v>
      </c>
      <c r="L513" s="178">
        <v>2772000</v>
      </c>
      <c r="M513" s="178">
        <v>99.600999999999999</v>
      </c>
      <c r="N513" s="178">
        <v>3.9579389366000002</v>
      </c>
      <c r="O513" s="178">
        <v>2807786.52</v>
      </c>
      <c r="P513" s="174" t="s">
        <v>337</v>
      </c>
      <c r="Q513" s="174" t="s">
        <v>720</v>
      </c>
      <c r="R513" s="174" t="s">
        <v>22</v>
      </c>
      <c r="S513" s="174" t="s">
        <v>130</v>
      </c>
      <c r="T513" s="175" t="str">
        <f>VLOOKUP($S513,Mapping!$C:$C,1,0)</f>
        <v>Manual</v>
      </c>
      <c r="U513" s="175"/>
      <c r="V513" s="175"/>
      <c r="W513" s="175"/>
      <c r="X513" s="175"/>
      <c r="Y513" s="174" t="s">
        <v>489</v>
      </c>
      <c r="Z513" s="174" t="s">
        <v>560</v>
      </c>
      <c r="AA513" s="174" t="s">
        <v>22</v>
      </c>
      <c r="AB513" s="174"/>
      <c r="AC513" s="175"/>
      <c r="AD513" s="174" t="s">
        <v>512</v>
      </c>
      <c r="AE513" s="175"/>
      <c r="AF513" s="175"/>
      <c r="AG513" s="176">
        <v>43164.458090277774</v>
      </c>
      <c r="AH513" s="176">
        <v>43164.45820601852</v>
      </c>
      <c r="AI513" s="175"/>
      <c r="AJ513" s="175"/>
      <c r="AK513" s="178">
        <v>1</v>
      </c>
    </row>
    <row r="514" spans="1:37" x14ac:dyDescent="0.25">
      <c r="A514" s="174" t="s">
        <v>461</v>
      </c>
      <c r="B514" s="174" t="s">
        <v>1747</v>
      </c>
      <c r="C514" s="175"/>
      <c r="D514" s="174" t="s">
        <v>478</v>
      </c>
      <c r="E514" s="174" t="s">
        <v>582</v>
      </c>
      <c r="F514" s="176">
        <v>43164</v>
      </c>
      <c r="G514" s="176">
        <v>43165</v>
      </c>
      <c r="H514" s="174" t="s">
        <v>29</v>
      </c>
      <c r="I514" s="175" t="str">
        <f>VLOOKUP($H514,Mapping!$A:$A,1,0)</f>
        <v>NO BROKER SEND</v>
      </c>
      <c r="J514" s="177" t="s">
        <v>466</v>
      </c>
      <c r="K514" s="174" t="s">
        <v>475</v>
      </c>
      <c r="L514" s="178">
        <v>2218000</v>
      </c>
      <c r="M514" s="178">
        <v>99.328125</v>
      </c>
      <c r="N514" s="178">
        <v>2.8278548634999998</v>
      </c>
      <c r="O514" s="178">
        <v>2206299.2075276203</v>
      </c>
      <c r="P514" s="174" t="s">
        <v>337</v>
      </c>
      <c r="Q514" s="174" t="s">
        <v>476</v>
      </c>
      <c r="R514" s="174" t="s">
        <v>22</v>
      </c>
      <c r="S514" s="174" t="s">
        <v>130</v>
      </c>
      <c r="T514" s="175" t="str">
        <f>VLOOKUP($S514,Mapping!$C:$C,1,0)</f>
        <v>Manual</v>
      </c>
      <c r="U514" s="175"/>
      <c r="V514" s="175"/>
      <c r="W514" s="175"/>
      <c r="X514" s="175"/>
      <c r="Y514" s="174" t="s">
        <v>469</v>
      </c>
      <c r="Z514" s="174" t="s">
        <v>586</v>
      </c>
      <c r="AA514" s="174" t="s">
        <v>22</v>
      </c>
      <c r="AB514" s="174"/>
      <c r="AC514" s="175"/>
      <c r="AD514" s="174" t="s">
        <v>512</v>
      </c>
      <c r="AE514" s="175"/>
      <c r="AF514" s="175"/>
      <c r="AG514" s="176">
        <v>43164.458101851851</v>
      </c>
      <c r="AH514" s="176">
        <v>43164.45821759259</v>
      </c>
      <c r="AI514" s="175"/>
      <c r="AJ514" s="175"/>
      <c r="AK514" s="178">
        <v>1</v>
      </c>
    </row>
    <row r="515" spans="1:37" x14ac:dyDescent="0.25">
      <c r="A515" s="174" t="s">
        <v>461</v>
      </c>
      <c r="B515" s="174" t="s">
        <v>1748</v>
      </c>
      <c r="C515" s="175"/>
      <c r="D515" s="174" t="s">
        <v>478</v>
      </c>
      <c r="E515" s="174" t="s">
        <v>558</v>
      </c>
      <c r="F515" s="176">
        <v>43164</v>
      </c>
      <c r="G515" s="176">
        <v>43165</v>
      </c>
      <c r="H515" s="174" t="s">
        <v>29</v>
      </c>
      <c r="I515" s="175" t="str">
        <f>VLOOKUP($H515,Mapping!$A:$A,1,0)</f>
        <v>NO BROKER SEND</v>
      </c>
      <c r="J515" s="177" t="s">
        <v>466</v>
      </c>
      <c r="K515" s="174" t="s">
        <v>475</v>
      </c>
      <c r="L515" s="178">
        <v>118000</v>
      </c>
      <c r="M515" s="178">
        <v>99.21875</v>
      </c>
      <c r="N515" s="178">
        <v>2.8406023789999999</v>
      </c>
      <c r="O515" s="178">
        <v>117248.44267956</v>
      </c>
      <c r="P515" s="174" t="s">
        <v>337</v>
      </c>
      <c r="Q515" s="174" t="s">
        <v>476</v>
      </c>
      <c r="R515" s="174" t="s">
        <v>22</v>
      </c>
      <c r="S515" s="174" t="s">
        <v>130</v>
      </c>
      <c r="T515" s="175" t="str">
        <f>VLOOKUP($S515,Mapping!$C:$C,1,0)</f>
        <v>Manual</v>
      </c>
      <c r="U515" s="175"/>
      <c r="V515" s="175"/>
      <c r="W515" s="175"/>
      <c r="X515" s="175"/>
      <c r="Y515" s="174" t="s">
        <v>469</v>
      </c>
      <c r="Z515" s="174" t="s">
        <v>560</v>
      </c>
      <c r="AA515" s="174" t="s">
        <v>22</v>
      </c>
      <c r="AB515" s="174"/>
      <c r="AC515" s="175"/>
      <c r="AD515" s="174" t="s">
        <v>512</v>
      </c>
      <c r="AE515" s="175"/>
      <c r="AF515" s="175"/>
      <c r="AG515" s="176">
        <v>43164.459421296298</v>
      </c>
      <c r="AH515" s="176">
        <v>43164.459479166668</v>
      </c>
      <c r="AI515" s="175"/>
      <c r="AJ515" s="175"/>
      <c r="AK515" s="178">
        <v>1</v>
      </c>
    </row>
    <row r="516" spans="1:37" x14ac:dyDescent="0.25">
      <c r="A516" s="174" t="s">
        <v>461</v>
      </c>
      <c r="B516" s="174" t="s">
        <v>1749</v>
      </c>
      <c r="C516" s="175"/>
      <c r="D516" s="174" t="s">
        <v>478</v>
      </c>
      <c r="E516" s="174" t="s">
        <v>558</v>
      </c>
      <c r="F516" s="176">
        <v>43164</v>
      </c>
      <c r="G516" s="176">
        <v>43165</v>
      </c>
      <c r="H516" s="174" t="s">
        <v>29</v>
      </c>
      <c r="I516" s="175" t="str">
        <f>VLOOKUP($H516,Mapping!$A:$A,1,0)</f>
        <v>NO BROKER SEND</v>
      </c>
      <c r="J516" s="179" t="s">
        <v>486</v>
      </c>
      <c r="K516" s="174" t="s">
        <v>543</v>
      </c>
      <c r="L516" s="178">
        <v>137000</v>
      </c>
      <c r="M516" s="178">
        <v>92.765625</v>
      </c>
      <c r="N516" s="178">
        <v>3.1255736163000001</v>
      </c>
      <c r="O516" s="178">
        <v>-128244.13415055</v>
      </c>
      <c r="P516" s="174" t="s">
        <v>337</v>
      </c>
      <c r="Q516" s="174" t="s">
        <v>544</v>
      </c>
      <c r="R516" s="174" t="s">
        <v>22</v>
      </c>
      <c r="S516" s="174" t="s">
        <v>130</v>
      </c>
      <c r="T516" s="175" t="str">
        <f>VLOOKUP($S516,Mapping!$C:$C,1,0)</f>
        <v>Manual</v>
      </c>
      <c r="U516" s="175"/>
      <c r="V516" s="175"/>
      <c r="W516" s="175"/>
      <c r="X516" s="175"/>
      <c r="Y516" s="174" t="s">
        <v>469</v>
      </c>
      <c r="Z516" s="174" t="s">
        <v>560</v>
      </c>
      <c r="AA516" s="174" t="s">
        <v>22</v>
      </c>
      <c r="AB516" s="174"/>
      <c r="AC516" s="175"/>
      <c r="AD516" s="174" t="s">
        <v>512</v>
      </c>
      <c r="AE516" s="175"/>
      <c r="AF516" s="175"/>
      <c r="AG516" s="176">
        <v>43164.459421296298</v>
      </c>
      <c r="AH516" s="176">
        <v>43164.459490740737</v>
      </c>
      <c r="AI516" s="175"/>
      <c r="AJ516" s="175"/>
      <c r="AK516" s="178">
        <v>1</v>
      </c>
    </row>
    <row r="517" spans="1:37" x14ac:dyDescent="0.25">
      <c r="A517" s="174" t="s">
        <v>461</v>
      </c>
      <c r="B517" s="174" t="s">
        <v>1750</v>
      </c>
      <c r="C517" s="175"/>
      <c r="D517" s="174" t="s">
        <v>478</v>
      </c>
      <c r="E517" s="174" t="s">
        <v>558</v>
      </c>
      <c r="F517" s="176">
        <v>43164</v>
      </c>
      <c r="G517" s="176">
        <v>43165</v>
      </c>
      <c r="H517" s="174" t="s">
        <v>29</v>
      </c>
      <c r="I517" s="175" t="str">
        <f>VLOOKUP($H517,Mapping!$A:$A,1,0)</f>
        <v>NO BROKER SEND</v>
      </c>
      <c r="J517" s="179" t="s">
        <v>486</v>
      </c>
      <c r="K517" s="174" t="s">
        <v>543</v>
      </c>
      <c r="L517" s="178">
        <v>100000</v>
      </c>
      <c r="M517" s="178">
        <v>92.765625</v>
      </c>
      <c r="N517" s="178">
        <v>3.1255736163000001</v>
      </c>
      <c r="O517" s="178">
        <v>-93608.857044200005</v>
      </c>
      <c r="P517" s="174" t="s">
        <v>337</v>
      </c>
      <c r="Q517" s="174" t="s">
        <v>544</v>
      </c>
      <c r="R517" s="174" t="s">
        <v>22</v>
      </c>
      <c r="S517" s="174" t="s">
        <v>130</v>
      </c>
      <c r="T517" s="175" t="str">
        <f>VLOOKUP($S517,Mapping!$C:$C,1,0)</f>
        <v>Manual</v>
      </c>
      <c r="U517" s="175"/>
      <c r="V517" s="175"/>
      <c r="W517" s="175"/>
      <c r="X517" s="175"/>
      <c r="Y517" s="174" t="s">
        <v>469</v>
      </c>
      <c r="Z517" s="174" t="s">
        <v>560</v>
      </c>
      <c r="AA517" s="174" t="s">
        <v>22</v>
      </c>
      <c r="AB517" s="174"/>
      <c r="AC517" s="175"/>
      <c r="AD517" s="174" t="s">
        <v>512</v>
      </c>
      <c r="AE517" s="175"/>
      <c r="AF517" s="175"/>
      <c r="AG517" s="176">
        <v>43164.459432870368</v>
      </c>
      <c r="AH517" s="176">
        <v>43164.459502314814</v>
      </c>
      <c r="AI517" s="175"/>
      <c r="AJ517" s="175"/>
      <c r="AK517" s="178">
        <v>1</v>
      </c>
    </row>
    <row r="518" spans="1:37" x14ac:dyDescent="0.25">
      <c r="A518" s="174" t="s">
        <v>461</v>
      </c>
      <c r="B518" s="174" t="s">
        <v>1751</v>
      </c>
      <c r="C518" s="175"/>
      <c r="D518" s="174" t="s">
        <v>478</v>
      </c>
      <c r="E518" s="174" t="s">
        <v>558</v>
      </c>
      <c r="F518" s="176">
        <v>43164</v>
      </c>
      <c r="G518" s="176">
        <v>43165</v>
      </c>
      <c r="H518" s="174" t="s">
        <v>29</v>
      </c>
      <c r="I518" s="175" t="str">
        <f>VLOOKUP($H518,Mapping!$A:$A,1,0)</f>
        <v>NO BROKER SEND</v>
      </c>
      <c r="J518" s="179" t="s">
        <v>486</v>
      </c>
      <c r="K518" s="174" t="s">
        <v>475</v>
      </c>
      <c r="L518" s="178">
        <v>118000</v>
      </c>
      <c r="M518" s="178">
        <v>99.21875</v>
      </c>
      <c r="N518" s="178">
        <v>2.8406023789999999</v>
      </c>
      <c r="O518" s="178">
        <v>-117248.44267956</v>
      </c>
      <c r="P518" s="174" t="s">
        <v>337</v>
      </c>
      <c r="Q518" s="174" t="s">
        <v>476</v>
      </c>
      <c r="R518" s="174" t="s">
        <v>22</v>
      </c>
      <c r="S518" s="174" t="s">
        <v>130</v>
      </c>
      <c r="T518" s="175" t="str">
        <f>VLOOKUP($S518,Mapping!$C:$C,1,0)</f>
        <v>Manual</v>
      </c>
      <c r="U518" s="175"/>
      <c r="V518" s="175"/>
      <c r="W518" s="175"/>
      <c r="X518" s="175"/>
      <c r="Y518" s="174" t="s">
        <v>469</v>
      </c>
      <c r="Z518" s="174" t="s">
        <v>560</v>
      </c>
      <c r="AA518" s="174" t="s">
        <v>22</v>
      </c>
      <c r="AB518" s="174"/>
      <c r="AC518" s="175"/>
      <c r="AD518" s="174" t="s">
        <v>512</v>
      </c>
      <c r="AE518" s="175"/>
      <c r="AF518" s="175"/>
      <c r="AG518" s="176">
        <v>43164.459432870368</v>
      </c>
      <c r="AH518" s="176">
        <v>43164.459513888891</v>
      </c>
      <c r="AI518" s="175"/>
      <c r="AJ518" s="175"/>
      <c r="AK518" s="178">
        <v>1</v>
      </c>
    </row>
    <row r="519" spans="1:37" x14ac:dyDescent="0.25">
      <c r="A519" s="174" t="s">
        <v>461</v>
      </c>
      <c r="B519" s="174" t="s">
        <v>1752</v>
      </c>
      <c r="C519" s="175"/>
      <c r="D519" s="174" t="s">
        <v>478</v>
      </c>
      <c r="E519" s="174" t="s">
        <v>558</v>
      </c>
      <c r="F519" s="176">
        <v>43164</v>
      </c>
      <c r="G519" s="176">
        <v>43165</v>
      </c>
      <c r="H519" s="174" t="s">
        <v>29</v>
      </c>
      <c r="I519" s="175" t="str">
        <f>VLOOKUP($H519,Mapping!$A:$A,1,0)</f>
        <v>NO BROKER SEND</v>
      </c>
      <c r="J519" s="177" t="s">
        <v>466</v>
      </c>
      <c r="K519" s="174" t="s">
        <v>543</v>
      </c>
      <c r="L519" s="178">
        <v>237000</v>
      </c>
      <c r="M519" s="178">
        <v>92.765625</v>
      </c>
      <c r="N519" s="178">
        <v>3.1255736163000001</v>
      </c>
      <c r="O519" s="178">
        <v>221852.99119475001</v>
      </c>
      <c r="P519" s="174" t="s">
        <v>337</v>
      </c>
      <c r="Q519" s="174" t="s">
        <v>544</v>
      </c>
      <c r="R519" s="174" t="s">
        <v>22</v>
      </c>
      <c r="S519" s="174" t="s">
        <v>130</v>
      </c>
      <c r="T519" s="175" t="str">
        <f>VLOOKUP($S519,Mapping!$C:$C,1,0)</f>
        <v>Manual</v>
      </c>
      <c r="U519" s="175"/>
      <c r="V519" s="175"/>
      <c r="W519" s="175"/>
      <c r="X519" s="175"/>
      <c r="Y519" s="174" t="s">
        <v>469</v>
      </c>
      <c r="Z519" s="174" t="s">
        <v>560</v>
      </c>
      <c r="AA519" s="174" t="s">
        <v>22</v>
      </c>
      <c r="AB519" s="174"/>
      <c r="AC519" s="175"/>
      <c r="AD519" s="174" t="s">
        <v>512</v>
      </c>
      <c r="AE519" s="175"/>
      <c r="AF519" s="175"/>
      <c r="AG519" s="176">
        <v>43164.459432870368</v>
      </c>
      <c r="AH519" s="176">
        <v>43164.45952546296</v>
      </c>
      <c r="AI519" s="175"/>
      <c r="AJ519" s="175"/>
      <c r="AK519" s="178">
        <v>1</v>
      </c>
    </row>
    <row r="520" spans="1:37" x14ac:dyDescent="0.25">
      <c r="A520" s="174" t="s">
        <v>461</v>
      </c>
      <c r="B520" s="174" t="s">
        <v>1753</v>
      </c>
      <c r="C520" s="175"/>
      <c r="D520" s="174" t="s">
        <v>566</v>
      </c>
      <c r="E520" s="174" t="s">
        <v>1754</v>
      </c>
      <c r="F520" s="176">
        <v>43164</v>
      </c>
      <c r="G520" s="176">
        <v>43164</v>
      </c>
      <c r="H520" s="174" t="s">
        <v>29</v>
      </c>
      <c r="I520" s="175" t="str">
        <f>VLOOKUP($H520,Mapping!$A:$A,1,0)</f>
        <v>NO BROKER SEND</v>
      </c>
      <c r="J520" s="177" t="s">
        <v>466</v>
      </c>
      <c r="K520" s="174" t="s">
        <v>1755</v>
      </c>
      <c r="L520" s="178">
        <v>108000000</v>
      </c>
      <c r="M520" s="178">
        <v>101.30249999999999</v>
      </c>
      <c r="N520" s="178">
        <v>6.13</v>
      </c>
      <c r="O520" s="178">
        <v>109517940</v>
      </c>
      <c r="P520" s="174" t="s">
        <v>331</v>
      </c>
      <c r="Q520" s="174" t="s">
        <v>1756</v>
      </c>
      <c r="R520" s="174" t="s">
        <v>22</v>
      </c>
      <c r="S520" s="174" t="s">
        <v>130</v>
      </c>
      <c r="T520" s="175" t="str">
        <f>VLOOKUP($S520,Mapping!$C:$C,1,0)</f>
        <v>Manual</v>
      </c>
      <c r="U520" s="175"/>
      <c r="V520" s="175"/>
      <c r="W520" s="175"/>
      <c r="X520" s="175"/>
      <c r="Y520" s="174" t="s">
        <v>1757</v>
      </c>
      <c r="Z520" s="174" t="s">
        <v>1758</v>
      </c>
      <c r="AA520" s="174" t="s">
        <v>22</v>
      </c>
      <c r="AB520" s="174"/>
      <c r="AC520" s="175"/>
      <c r="AD520" s="174" t="s">
        <v>1759</v>
      </c>
      <c r="AE520" s="175"/>
      <c r="AF520" s="175"/>
      <c r="AG520" s="176">
        <v>43164.50240740741</v>
      </c>
      <c r="AH520" s="176">
        <v>43164.502476851849</v>
      </c>
      <c r="AI520" s="175"/>
      <c r="AJ520" s="175"/>
      <c r="AK520" s="178">
        <v>1</v>
      </c>
    </row>
    <row r="521" spans="1:37" x14ac:dyDescent="0.25">
      <c r="A521" s="174" t="s">
        <v>461</v>
      </c>
      <c r="B521" s="174" t="s">
        <v>1760</v>
      </c>
      <c r="C521" s="175"/>
      <c r="D521" s="174" t="s">
        <v>566</v>
      </c>
      <c r="E521" s="174" t="s">
        <v>1754</v>
      </c>
      <c r="F521" s="176">
        <v>43164</v>
      </c>
      <c r="G521" s="176">
        <v>43164</v>
      </c>
      <c r="H521" s="174" t="s">
        <v>29</v>
      </c>
      <c r="I521" s="175" t="str">
        <f>VLOOKUP($H521,Mapping!$A:$A,1,0)</f>
        <v>NO BROKER SEND</v>
      </c>
      <c r="J521" s="179" t="s">
        <v>486</v>
      </c>
      <c r="K521" s="174" t="s">
        <v>1755</v>
      </c>
      <c r="L521" s="178">
        <v>108000000</v>
      </c>
      <c r="M521" s="178">
        <v>101.30249999999999</v>
      </c>
      <c r="N521" s="178">
        <v>6.13</v>
      </c>
      <c r="O521" s="178">
        <v>-109517940</v>
      </c>
      <c r="P521" s="174" t="s">
        <v>331</v>
      </c>
      <c r="Q521" s="174" t="s">
        <v>1756</v>
      </c>
      <c r="R521" s="174" t="s">
        <v>22</v>
      </c>
      <c r="S521" s="174" t="s">
        <v>130</v>
      </c>
      <c r="T521" s="175" t="str">
        <f>VLOOKUP($S521,Mapping!$C:$C,1,0)</f>
        <v>Manual</v>
      </c>
      <c r="U521" s="175"/>
      <c r="V521" s="175"/>
      <c r="W521" s="175"/>
      <c r="X521" s="175"/>
      <c r="Y521" s="174" t="s">
        <v>1757</v>
      </c>
      <c r="Z521" s="174" t="s">
        <v>1758</v>
      </c>
      <c r="AA521" s="174" t="s">
        <v>22</v>
      </c>
      <c r="AB521" s="174"/>
      <c r="AC521" s="175"/>
      <c r="AD521" s="174" t="s">
        <v>1761</v>
      </c>
      <c r="AE521" s="175"/>
      <c r="AF521" s="175"/>
      <c r="AG521" s="176">
        <v>43164.529062499998</v>
      </c>
      <c r="AH521" s="176">
        <v>43164.529062499998</v>
      </c>
      <c r="AI521" s="175"/>
      <c r="AJ521" s="175"/>
      <c r="AK521" s="178">
        <v>1</v>
      </c>
    </row>
    <row r="522" spans="1:37" x14ac:dyDescent="0.25">
      <c r="A522" s="174" t="s">
        <v>484</v>
      </c>
      <c r="B522" s="174" t="s">
        <v>1768</v>
      </c>
      <c r="C522" s="175"/>
      <c r="D522" s="174" t="s">
        <v>478</v>
      </c>
      <c r="E522" s="174" t="s">
        <v>491</v>
      </c>
      <c r="F522" s="176">
        <v>43164</v>
      </c>
      <c r="G522" s="176">
        <v>43166</v>
      </c>
      <c r="H522" s="174" t="s">
        <v>29</v>
      </c>
      <c r="I522" s="175" t="str">
        <f>VLOOKUP($H522,Mapping!$A:$A,1,0)</f>
        <v>NO BROKER SEND</v>
      </c>
      <c r="J522" s="177" t="s">
        <v>466</v>
      </c>
      <c r="K522" s="174" t="s">
        <v>1765</v>
      </c>
      <c r="L522" s="178">
        <v>9100000</v>
      </c>
      <c r="M522" s="178">
        <v>99.905000000000001</v>
      </c>
      <c r="N522" s="178">
        <v>0.81092885209999999</v>
      </c>
      <c r="O522" s="178">
        <v>9092777.9215000011</v>
      </c>
      <c r="P522" s="174" t="s">
        <v>337</v>
      </c>
      <c r="Q522" s="174" t="s">
        <v>1766</v>
      </c>
      <c r="R522" s="174" t="s">
        <v>22</v>
      </c>
      <c r="S522" s="174" t="s">
        <v>130</v>
      </c>
      <c r="T522" s="175" t="str">
        <f>VLOOKUP($S522,Mapping!$C:$C,1,0)</f>
        <v>Manual</v>
      </c>
      <c r="U522" s="175"/>
      <c r="V522" s="175"/>
      <c r="W522" s="175"/>
      <c r="X522" s="175"/>
      <c r="Y522" s="174" t="s">
        <v>1583</v>
      </c>
      <c r="Z522" s="174" t="s">
        <v>494</v>
      </c>
      <c r="AA522" s="174" t="s">
        <v>22</v>
      </c>
      <c r="AB522" s="174"/>
      <c r="AC522" s="175"/>
      <c r="AD522" s="174" t="s">
        <v>512</v>
      </c>
      <c r="AE522" s="175"/>
      <c r="AF522" s="175"/>
      <c r="AG522" s="176">
        <v>43164.648784722223</v>
      </c>
      <c r="AH522" s="176">
        <v>43164.648854166669</v>
      </c>
      <c r="AI522" s="175"/>
      <c r="AJ522" s="175"/>
      <c r="AK522" s="178">
        <v>1</v>
      </c>
    </row>
    <row r="523" spans="1:37" x14ac:dyDescent="0.25">
      <c r="A523" s="174" t="s">
        <v>484</v>
      </c>
      <c r="B523" s="174" t="s">
        <v>1769</v>
      </c>
      <c r="C523" s="175"/>
      <c r="D523" s="174" t="s">
        <v>478</v>
      </c>
      <c r="E523" s="174" t="s">
        <v>491</v>
      </c>
      <c r="F523" s="176">
        <v>43164</v>
      </c>
      <c r="G523" s="176">
        <v>43166</v>
      </c>
      <c r="H523" s="174" t="s">
        <v>29</v>
      </c>
      <c r="I523" s="175" t="str">
        <f>VLOOKUP($H523,Mapping!$A:$A,1,0)</f>
        <v>NO BROKER SEND</v>
      </c>
      <c r="J523" s="179" t="s">
        <v>486</v>
      </c>
      <c r="K523" s="174" t="s">
        <v>1765</v>
      </c>
      <c r="L523" s="178">
        <v>9100000</v>
      </c>
      <c r="M523" s="178">
        <v>99.905000000000001</v>
      </c>
      <c r="N523" s="178">
        <v>0.81092885209999999</v>
      </c>
      <c r="O523" s="178">
        <v>-9092777.9215000011</v>
      </c>
      <c r="P523" s="174" t="s">
        <v>337</v>
      </c>
      <c r="Q523" s="174" t="s">
        <v>1766</v>
      </c>
      <c r="R523" s="174" t="s">
        <v>22</v>
      </c>
      <c r="S523" s="174" t="s">
        <v>130</v>
      </c>
      <c r="T523" s="175" t="str">
        <f>VLOOKUP($S523,Mapping!$C:$C,1,0)</f>
        <v>Manual</v>
      </c>
      <c r="U523" s="175"/>
      <c r="V523" s="175"/>
      <c r="W523" s="175"/>
      <c r="X523" s="175"/>
      <c r="Y523" s="174" t="s">
        <v>1583</v>
      </c>
      <c r="Z523" s="174" t="s">
        <v>494</v>
      </c>
      <c r="AA523" s="174" t="s">
        <v>22</v>
      </c>
      <c r="AB523" s="174"/>
      <c r="AC523" s="175"/>
      <c r="AD523" s="174" t="s">
        <v>512</v>
      </c>
      <c r="AE523" s="175"/>
      <c r="AF523" s="175"/>
      <c r="AG523" s="176">
        <v>43164.64880787037</v>
      </c>
      <c r="AH523" s="176">
        <v>43164.648865740739</v>
      </c>
      <c r="AI523" s="175"/>
      <c r="AJ523" s="175"/>
      <c r="AK523" s="178">
        <v>1</v>
      </c>
    </row>
    <row r="524" spans="1:37" x14ac:dyDescent="0.25">
      <c r="A524" s="174" t="s">
        <v>484</v>
      </c>
      <c r="B524" s="174" t="s">
        <v>1770</v>
      </c>
      <c r="C524" s="175"/>
      <c r="D524" s="174" t="s">
        <v>478</v>
      </c>
      <c r="E524" s="174" t="s">
        <v>491</v>
      </c>
      <c r="F524" s="176">
        <v>43164</v>
      </c>
      <c r="G524" s="176">
        <v>43166</v>
      </c>
      <c r="H524" s="174" t="s">
        <v>29</v>
      </c>
      <c r="I524" s="175" t="str">
        <f>VLOOKUP($H524,Mapping!$A:$A,1,0)</f>
        <v>NO BROKER SEND</v>
      </c>
      <c r="J524" s="179" t="s">
        <v>486</v>
      </c>
      <c r="K524" s="174" t="s">
        <v>492</v>
      </c>
      <c r="L524" s="178">
        <v>2275000</v>
      </c>
      <c r="M524" s="178">
        <v>99</v>
      </c>
      <c r="N524" s="178">
        <v>5.3234341989000002</v>
      </c>
      <c r="O524" s="178">
        <v>-2278159.7222222202</v>
      </c>
      <c r="P524" s="174" t="s">
        <v>337</v>
      </c>
      <c r="Q524" s="174" t="s">
        <v>493</v>
      </c>
      <c r="R524" s="174" t="s">
        <v>22</v>
      </c>
      <c r="S524" s="174" t="s">
        <v>130</v>
      </c>
      <c r="T524" s="175" t="str">
        <f>VLOOKUP($S524,Mapping!$C:$C,1,0)</f>
        <v>Manual</v>
      </c>
      <c r="U524" s="175"/>
      <c r="V524" s="175"/>
      <c r="W524" s="175"/>
      <c r="X524" s="175"/>
      <c r="Y524" s="174" t="s">
        <v>489</v>
      </c>
      <c r="Z524" s="174" t="s">
        <v>494</v>
      </c>
      <c r="AA524" s="174" t="s">
        <v>22</v>
      </c>
      <c r="AB524" s="174"/>
      <c r="AC524" s="175"/>
      <c r="AD524" s="174" t="s">
        <v>512</v>
      </c>
      <c r="AE524" s="175"/>
      <c r="AF524" s="175"/>
      <c r="AG524" s="176">
        <v>43164.693078703705</v>
      </c>
      <c r="AH524" s="176">
        <v>43164.693159722221</v>
      </c>
      <c r="AI524" s="175"/>
      <c r="AJ524" s="175"/>
      <c r="AK524" s="178">
        <v>1</v>
      </c>
    </row>
    <row r="525" spans="1:37" x14ac:dyDescent="0.25">
      <c r="A525" s="174" t="s">
        <v>484</v>
      </c>
      <c r="B525" s="174" t="s">
        <v>1771</v>
      </c>
      <c r="C525" s="175"/>
      <c r="D525" s="174" t="s">
        <v>478</v>
      </c>
      <c r="E525" s="174" t="s">
        <v>1021</v>
      </c>
      <c r="F525" s="176">
        <v>43164</v>
      </c>
      <c r="G525" s="176">
        <v>43166</v>
      </c>
      <c r="H525" s="174" t="s">
        <v>29</v>
      </c>
      <c r="I525" s="175" t="str">
        <f>VLOOKUP($H525,Mapping!$A:$A,1,0)</f>
        <v>NO BROKER SEND</v>
      </c>
      <c r="J525" s="177" t="s">
        <v>466</v>
      </c>
      <c r="K525" s="174" t="s">
        <v>492</v>
      </c>
      <c r="L525" s="178">
        <v>2275000</v>
      </c>
      <c r="M525" s="178">
        <v>99</v>
      </c>
      <c r="N525" s="178">
        <v>5.3234341989000002</v>
      </c>
      <c r="O525" s="178">
        <v>2278159.7222222202</v>
      </c>
      <c r="P525" s="174" t="s">
        <v>337</v>
      </c>
      <c r="Q525" s="174" t="s">
        <v>493</v>
      </c>
      <c r="R525" s="174" t="s">
        <v>22</v>
      </c>
      <c r="S525" s="174" t="s">
        <v>130</v>
      </c>
      <c r="T525" s="175" t="str">
        <f>VLOOKUP($S525,Mapping!$C:$C,1,0)</f>
        <v>Manual</v>
      </c>
      <c r="U525" s="175"/>
      <c r="V525" s="175"/>
      <c r="W525" s="175"/>
      <c r="X525" s="175"/>
      <c r="Y525" s="174" t="s">
        <v>489</v>
      </c>
      <c r="Z525" s="174" t="s">
        <v>1024</v>
      </c>
      <c r="AA525" s="174" t="s">
        <v>22</v>
      </c>
      <c r="AB525" s="174"/>
      <c r="AC525" s="175"/>
      <c r="AD525" s="174" t="s">
        <v>512</v>
      </c>
      <c r="AE525" s="175"/>
      <c r="AF525" s="175"/>
      <c r="AG525" s="176">
        <v>43164.693090277775</v>
      </c>
      <c r="AH525" s="176">
        <v>43164.693182870367</v>
      </c>
      <c r="AI525" s="175"/>
      <c r="AJ525" s="175"/>
      <c r="AK525" s="178">
        <v>1</v>
      </c>
    </row>
    <row r="526" spans="1:37" x14ac:dyDescent="0.25">
      <c r="A526" s="174" t="s">
        <v>461</v>
      </c>
      <c r="B526" s="174" t="s">
        <v>1772</v>
      </c>
      <c r="C526" s="175"/>
      <c r="D526" s="174" t="s">
        <v>463</v>
      </c>
      <c r="E526" s="174" t="s">
        <v>506</v>
      </c>
      <c r="F526" s="176">
        <v>43164</v>
      </c>
      <c r="G526" s="176">
        <v>43165</v>
      </c>
      <c r="H526" s="174" t="s">
        <v>30</v>
      </c>
      <c r="I526" s="175" t="str">
        <f>VLOOKUP($H526,Mapping!$A:$A,1,0)</f>
        <v>NO CHARGE BROKER</v>
      </c>
      <c r="J526" s="177" t="s">
        <v>466</v>
      </c>
      <c r="K526" s="174" t="s">
        <v>644</v>
      </c>
      <c r="L526" s="178">
        <v>500000</v>
      </c>
      <c r="M526" s="178">
        <v>97.5390625</v>
      </c>
      <c r="N526" s="178">
        <v>3.1271127953</v>
      </c>
      <c r="O526" s="178">
        <v>488482.60531767999</v>
      </c>
      <c r="P526" s="174" t="s">
        <v>337</v>
      </c>
      <c r="Q526" s="174" t="s">
        <v>645</v>
      </c>
      <c r="R526" s="174" t="s">
        <v>22</v>
      </c>
      <c r="S526" s="174" t="s">
        <v>130</v>
      </c>
      <c r="T526" s="175" t="str">
        <f>VLOOKUP($S526,Mapping!$C:$C,1,0)</f>
        <v>Manual</v>
      </c>
      <c r="U526" s="175"/>
      <c r="V526" s="175"/>
      <c r="W526" s="175"/>
      <c r="X526" s="175"/>
      <c r="Y526" s="174" t="s">
        <v>469</v>
      </c>
      <c r="Z526" s="174" t="s">
        <v>511</v>
      </c>
      <c r="AA526" s="174" t="s">
        <v>22</v>
      </c>
      <c r="AB526" s="174"/>
      <c r="AC526" s="175"/>
      <c r="AD526" s="174" t="s">
        <v>512</v>
      </c>
      <c r="AE526" s="175"/>
      <c r="AF526" s="175"/>
      <c r="AG526" s="176">
        <v>43164.349456018521</v>
      </c>
      <c r="AH526" s="176">
        <v>43164.34951388889</v>
      </c>
      <c r="AI526" s="175"/>
      <c r="AJ526" s="175"/>
      <c r="AK526" s="178">
        <v>1</v>
      </c>
    </row>
    <row r="527" spans="1:37" x14ac:dyDescent="0.25">
      <c r="A527" s="174" t="s">
        <v>461</v>
      </c>
      <c r="B527" s="174" t="s">
        <v>1773</v>
      </c>
      <c r="C527" s="175"/>
      <c r="D527" s="174" t="s">
        <v>463</v>
      </c>
      <c r="E527" s="174" t="s">
        <v>506</v>
      </c>
      <c r="F527" s="176">
        <v>43164</v>
      </c>
      <c r="G527" s="176">
        <v>43165</v>
      </c>
      <c r="H527" s="174" t="s">
        <v>30</v>
      </c>
      <c r="I527" s="175" t="str">
        <f>VLOOKUP($H527,Mapping!$A:$A,1,0)</f>
        <v>NO CHARGE BROKER</v>
      </c>
      <c r="J527" s="179" t="s">
        <v>486</v>
      </c>
      <c r="K527" s="174" t="s">
        <v>644</v>
      </c>
      <c r="L527" s="178">
        <v>500000</v>
      </c>
      <c r="M527" s="178">
        <v>97.5390625</v>
      </c>
      <c r="N527" s="178">
        <v>3.1271127953</v>
      </c>
      <c r="O527" s="178">
        <v>-488482.60531767999</v>
      </c>
      <c r="P527" s="174" t="s">
        <v>337</v>
      </c>
      <c r="Q527" s="174" t="s">
        <v>645</v>
      </c>
      <c r="R527" s="174" t="s">
        <v>22</v>
      </c>
      <c r="S527" s="174" t="s">
        <v>130</v>
      </c>
      <c r="T527" s="175" t="str">
        <f>VLOOKUP($S527,Mapping!$C:$C,1,0)</f>
        <v>Manual</v>
      </c>
      <c r="U527" s="175"/>
      <c r="V527" s="175"/>
      <c r="W527" s="175"/>
      <c r="X527" s="175"/>
      <c r="Y527" s="174" t="s">
        <v>469</v>
      </c>
      <c r="Z527" s="174" t="s">
        <v>511</v>
      </c>
      <c r="AA527" s="174" t="s">
        <v>22</v>
      </c>
      <c r="AB527" s="174"/>
      <c r="AC527" s="175"/>
      <c r="AD527" s="174" t="s">
        <v>512</v>
      </c>
      <c r="AE527" s="175"/>
      <c r="AF527" s="175"/>
      <c r="AG527" s="176">
        <v>43164.34946759259</v>
      </c>
      <c r="AH527" s="176">
        <v>43164.34952546296</v>
      </c>
      <c r="AI527" s="175"/>
      <c r="AJ527" s="175"/>
      <c r="AK527" s="178">
        <v>1</v>
      </c>
    </row>
    <row r="528" spans="1:37" x14ac:dyDescent="0.25">
      <c r="A528" s="174" t="s">
        <v>461</v>
      </c>
      <c r="B528" s="174" t="s">
        <v>1774</v>
      </c>
      <c r="C528" s="175"/>
      <c r="D528" s="174" t="s">
        <v>463</v>
      </c>
      <c r="E528" s="174" t="s">
        <v>553</v>
      </c>
      <c r="F528" s="176">
        <v>43164</v>
      </c>
      <c r="G528" s="176">
        <v>43165</v>
      </c>
      <c r="H528" s="174" t="s">
        <v>30</v>
      </c>
      <c r="I528" s="175" t="str">
        <f>VLOOKUP($H528,Mapping!$A:$A,1,0)</f>
        <v>NO CHARGE BROKER</v>
      </c>
      <c r="J528" s="179" t="s">
        <v>486</v>
      </c>
      <c r="K528" s="174" t="s">
        <v>475</v>
      </c>
      <c r="L528" s="178">
        <v>278600000</v>
      </c>
      <c r="M528" s="178">
        <v>98.9453125</v>
      </c>
      <c r="N528" s="178">
        <v>2.8725414148000001</v>
      </c>
      <c r="O528" s="178">
        <v>-276063763.55317682</v>
      </c>
      <c r="P528" s="174" t="s">
        <v>337</v>
      </c>
      <c r="Q528" s="174" t="s">
        <v>476</v>
      </c>
      <c r="R528" s="174" t="s">
        <v>22</v>
      </c>
      <c r="S528" s="174" t="s">
        <v>130</v>
      </c>
      <c r="T528" s="175" t="str">
        <f>VLOOKUP($S528,Mapping!$C:$C,1,0)</f>
        <v>Manual</v>
      </c>
      <c r="U528" s="175"/>
      <c r="V528" s="175"/>
      <c r="W528" s="175"/>
      <c r="X528" s="175"/>
      <c r="Y528" s="174" t="s">
        <v>469</v>
      </c>
      <c r="Z528" s="174" t="s">
        <v>555</v>
      </c>
      <c r="AA528" s="174" t="s">
        <v>22</v>
      </c>
      <c r="AB528" s="174"/>
      <c r="AC528" s="175"/>
      <c r="AD528" s="174" t="s">
        <v>512</v>
      </c>
      <c r="AE528" s="175"/>
      <c r="AF528" s="175"/>
      <c r="AG528" s="176">
        <v>43164.502488425926</v>
      </c>
      <c r="AH528" s="176">
        <v>43164.502546296295</v>
      </c>
      <c r="AI528" s="175"/>
      <c r="AJ528" s="175"/>
      <c r="AK528" s="178">
        <v>1</v>
      </c>
    </row>
    <row r="529" spans="1:37" x14ac:dyDescent="0.25">
      <c r="A529" s="174" t="s">
        <v>461</v>
      </c>
      <c r="B529" s="174" t="s">
        <v>1775</v>
      </c>
      <c r="C529" s="175"/>
      <c r="D529" s="174" t="s">
        <v>463</v>
      </c>
      <c r="E529" s="174" t="s">
        <v>553</v>
      </c>
      <c r="F529" s="176">
        <v>43164</v>
      </c>
      <c r="G529" s="176">
        <v>43165</v>
      </c>
      <c r="H529" s="174" t="s">
        <v>30</v>
      </c>
      <c r="I529" s="175" t="str">
        <f>VLOOKUP($H529,Mapping!$A:$A,1,0)</f>
        <v>NO CHARGE BROKER</v>
      </c>
      <c r="J529" s="177" t="s">
        <v>466</v>
      </c>
      <c r="K529" s="174" t="s">
        <v>475</v>
      </c>
      <c r="L529" s="178">
        <v>278600000</v>
      </c>
      <c r="M529" s="178">
        <v>98.9453125</v>
      </c>
      <c r="N529" s="178">
        <v>2.8725414148000001</v>
      </c>
      <c r="O529" s="178">
        <v>276063763.55317682</v>
      </c>
      <c r="P529" s="174" t="s">
        <v>337</v>
      </c>
      <c r="Q529" s="174" t="s">
        <v>476</v>
      </c>
      <c r="R529" s="174" t="s">
        <v>22</v>
      </c>
      <c r="S529" s="174" t="s">
        <v>130</v>
      </c>
      <c r="T529" s="175" t="str">
        <f>VLOOKUP($S529,Mapping!$C:$C,1,0)</f>
        <v>Manual</v>
      </c>
      <c r="U529" s="175"/>
      <c r="V529" s="175"/>
      <c r="W529" s="175"/>
      <c r="X529" s="175"/>
      <c r="Y529" s="174" t="s">
        <v>469</v>
      </c>
      <c r="Z529" s="174" t="s">
        <v>555</v>
      </c>
      <c r="AA529" s="174" t="s">
        <v>22</v>
      </c>
      <c r="AB529" s="174"/>
      <c r="AC529" s="175"/>
      <c r="AD529" s="174" t="s">
        <v>512</v>
      </c>
      <c r="AE529" s="175"/>
      <c r="AF529" s="175"/>
      <c r="AG529" s="176">
        <v>43164.502858796295</v>
      </c>
      <c r="AH529" s="176">
        <v>43164.502928240741</v>
      </c>
      <c r="AI529" s="175"/>
      <c r="AJ529" s="175"/>
      <c r="AK529" s="178">
        <v>1</v>
      </c>
    </row>
    <row r="530" spans="1:37" x14ac:dyDescent="0.25">
      <c r="A530" s="174" t="s">
        <v>461</v>
      </c>
      <c r="B530" s="174" t="s">
        <v>1776</v>
      </c>
      <c r="C530" s="175"/>
      <c r="D530" s="174" t="s">
        <v>463</v>
      </c>
      <c r="E530" s="174" t="s">
        <v>553</v>
      </c>
      <c r="F530" s="176">
        <v>43164</v>
      </c>
      <c r="G530" s="176">
        <v>43165</v>
      </c>
      <c r="H530" s="174" t="s">
        <v>30</v>
      </c>
      <c r="I530" s="175" t="str">
        <f>VLOOKUP($H530,Mapping!$A:$A,1,0)</f>
        <v>NO CHARGE BROKER</v>
      </c>
      <c r="J530" s="179" t="s">
        <v>486</v>
      </c>
      <c r="K530" s="174" t="s">
        <v>475</v>
      </c>
      <c r="L530" s="178">
        <v>342000000</v>
      </c>
      <c r="M530" s="178">
        <v>98.9453125</v>
      </c>
      <c r="N530" s="178">
        <v>2.8725414148000001</v>
      </c>
      <c r="O530" s="178">
        <v>-338886601.34668505</v>
      </c>
      <c r="P530" s="174" t="s">
        <v>337</v>
      </c>
      <c r="Q530" s="174" t="s">
        <v>476</v>
      </c>
      <c r="R530" s="174" t="s">
        <v>22</v>
      </c>
      <c r="S530" s="174" t="s">
        <v>130</v>
      </c>
      <c r="T530" s="175" t="str">
        <f>VLOOKUP($S530,Mapping!$C:$C,1,0)</f>
        <v>Manual</v>
      </c>
      <c r="U530" s="175"/>
      <c r="V530" s="175"/>
      <c r="W530" s="175"/>
      <c r="X530" s="175"/>
      <c r="Y530" s="174" t="s">
        <v>469</v>
      </c>
      <c r="Z530" s="174" t="s">
        <v>555</v>
      </c>
      <c r="AA530" s="174" t="s">
        <v>22</v>
      </c>
      <c r="AB530" s="174"/>
      <c r="AC530" s="175"/>
      <c r="AD530" s="174" t="s">
        <v>512</v>
      </c>
      <c r="AE530" s="175"/>
      <c r="AF530" s="175"/>
      <c r="AG530" s="176">
        <v>43164.503946759258</v>
      </c>
      <c r="AH530" s="176">
        <v>43164.50403935185</v>
      </c>
      <c r="AI530" s="175"/>
      <c r="AJ530" s="175"/>
      <c r="AK530" s="178">
        <v>1</v>
      </c>
    </row>
    <row r="531" spans="1:37" x14ac:dyDescent="0.25">
      <c r="A531" s="174" t="s">
        <v>461</v>
      </c>
      <c r="B531" s="174" t="s">
        <v>1777</v>
      </c>
      <c r="C531" s="175"/>
      <c r="D531" s="174" t="s">
        <v>463</v>
      </c>
      <c r="E531" s="174" t="s">
        <v>553</v>
      </c>
      <c r="F531" s="176">
        <v>43164</v>
      </c>
      <c r="G531" s="176">
        <v>43165</v>
      </c>
      <c r="H531" s="174" t="s">
        <v>30</v>
      </c>
      <c r="I531" s="175" t="str">
        <f>VLOOKUP($H531,Mapping!$A:$A,1,0)</f>
        <v>NO CHARGE BROKER</v>
      </c>
      <c r="J531" s="177" t="s">
        <v>466</v>
      </c>
      <c r="K531" s="174" t="s">
        <v>475</v>
      </c>
      <c r="L531" s="178">
        <v>342000000</v>
      </c>
      <c r="M531" s="178">
        <v>98.9453125</v>
      </c>
      <c r="N531" s="178">
        <v>2.8725414148000001</v>
      </c>
      <c r="O531" s="178">
        <v>338886601.34668505</v>
      </c>
      <c r="P531" s="174" t="s">
        <v>337</v>
      </c>
      <c r="Q531" s="174" t="s">
        <v>476</v>
      </c>
      <c r="R531" s="174" t="s">
        <v>22</v>
      </c>
      <c r="S531" s="174" t="s">
        <v>130</v>
      </c>
      <c r="T531" s="175" t="str">
        <f>VLOOKUP($S531,Mapping!$C:$C,1,0)</f>
        <v>Manual</v>
      </c>
      <c r="U531" s="175"/>
      <c r="V531" s="175"/>
      <c r="W531" s="175"/>
      <c r="X531" s="175"/>
      <c r="Y531" s="174" t="s">
        <v>469</v>
      </c>
      <c r="Z531" s="174" t="s">
        <v>555</v>
      </c>
      <c r="AA531" s="174" t="s">
        <v>22</v>
      </c>
      <c r="AB531" s="174"/>
      <c r="AC531" s="175"/>
      <c r="AD531" s="174" t="s">
        <v>512</v>
      </c>
      <c r="AE531" s="175"/>
      <c r="AF531" s="175"/>
      <c r="AG531" s="176">
        <v>43164.504479166666</v>
      </c>
      <c r="AH531" s="176">
        <v>43164.504525462966</v>
      </c>
      <c r="AI531" s="175"/>
      <c r="AJ531" s="175"/>
      <c r="AK531" s="178">
        <v>1</v>
      </c>
    </row>
    <row r="532" spans="1:37" x14ac:dyDescent="0.25">
      <c r="A532" s="174" t="s">
        <v>461</v>
      </c>
      <c r="B532" s="174" t="s">
        <v>1778</v>
      </c>
      <c r="C532" s="175"/>
      <c r="D532" s="174" t="s">
        <v>463</v>
      </c>
      <c r="E532" s="174" t="s">
        <v>553</v>
      </c>
      <c r="F532" s="176">
        <v>43164</v>
      </c>
      <c r="G532" s="176">
        <v>43165</v>
      </c>
      <c r="H532" s="174" t="s">
        <v>30</v>
      </c>
      <c r="I532" s="175" t="str">
        <f>VLOOKUP($H532,Mapping!$A:$A,1,0)</f>
        <v>NO CHARGE BROKER</v>
      </c>
      <c r="J532" s="179" t="s">
        <v>486</v>
      </c>
      <c r="K532" s="174" t="s">
        <v>807</v>
      </c>
      <c r="L532" s="178">
        <v>368300000</v>
      </c>
      <c r="M532" s="178">
        <v>94.7109375</v>
      </c>
      <c r="N532" s="178">
        <v>2.8937689133000002</v>
      </c>
      <c r="O532" s="178">
        <v>-349255322.72962707</v>
      </c>
      <c r="P532" s="174" t="s">
        <v>337</v>
      </c>
      <c r="Q532" s="174" t="s">
        <v>808</v>
      </c>
      <c r="R532" s="174" t="s">
        <v>22</v>
      </c>
      <c r="S532" s="174" t="s">
        <v>130</v>
      </c>
      <c r="T532" s="175" t="str">
        <f>VLOOKUP($S532,Mapping!$C:$C,1,0)</f>
        <v>Manual</v>
      </c>
      <c r="U532" s="175"/>
      <c r="V532" s="175"/>
      <c r="W532" s="175"/>
      <c r="X532" s="175"/>
      <c r="Y532" s="174" t="s">
        <v>469</v>
      </c>
      <c r="Z532" s="174" t="s">
        <v>555</v>
      </c>
      <c r="AA532" s="174" t="s">
        <v>22</v>
      </c>
      <c r="AB532" s="174"/>
      <c r="AC532" s="175"/>
      <c r="AD532" s="174" t="s">
        <v>512</v>
      </c>
      <c r="AE532" s="175"/>
      <c r="AF532" s="175"/>
      <c r="AG532" s="176">
        <v>43164.505659722221</v>
      </c>
      <c r="AH532" s="176">
        <v>43164.50571759259</v>
      </c>
      <c r="AI532" s="175"/>
      <c r="AJ532" s="175"/>
      <c r="AK532" s="178">
        <v>1</v>
      </c>
    </row>
    <row r="533" spans="1:37" x14ac:dyDescent="0.25">
      <c r="A533" s="174" t="s">
        <v>461</v>
      </c>
      <c r="B533" s="174" t="s">
        <v>1779</v>
      </c>
      <c r="C533" s="175"/>
      <c r="D533" s="174" t="s">
        <v>463</v>
      </c>
      <c r="E533" s="174" t="s">
        <v>553</v>
      </c>
      <c r="F533" s="176">
        <v>43164</v>
      </c>
      <c r="G533" s="176">
        <v>43165</v>
      </c>
      <c r="H533" s="174" t="s">
        <v>30</v>
      </c>
      <c r="I533" s="175" t="str">
        <f>VLOOKUP($H533,Mapping!$A:$A,1,0)</f>
        <v>NO CHARGE BROKER</v>
      </c>
      <c r="J533" s="177" t="s">
        <v>466</v>
      </c>
      <c r="K533" s="174" t="s">
        <v>807</v>
      </c>
      <c r="L533" s="178">
        <v>368300000</v>
      </c>
      <c r="M533" s="178">
        <v>94.7109375</v>
      </c>
      <c r="N533" s="178">
        <v>2.8937689133000002</v>
      </c>
      <c r="O533" s="178">
        <v>349255322.72962707</v>
      </c>
      <c r="P533" s="174" t="s">
        <v>337</v>
      </c>
      <c r="Q533" s="174" t="s">
        <v>808</v>
      </c>
      <c r="R533" s="174" t="s">
        <v>22</v>
      </c>
      <c r="S533" s="174" t="s">
        <v>130</v>
      </c>
      <c r="T533" s="175" t="str">
        <f>VLOOKUP($S533,Mapping!$C:$C,1,0)</f>
        <v>Manual</v>
      </c>
      <c r="U533" s="175"/>
      <c r="V533" s="175"/>
      <c r="W533" s="175"/>
      <c r="X533" s="175"/>
      <c r="Y533" s="174" t="s">
        <v>469</v>
      </c>
      <c r="Z533" s="174" t="s">
        <v>555</v>
      </c>
      <c r="AA533" s="174" t="s">
        <v>22</v>
      </c>
      <c r="AB533" s="174"/>
      <c r="AC533" s="175"/>
      <c r="AD533" s="174" t="s">
        <v>512</v>
      </c>
      <c r="AE533" s="175"/>
      <c r="AF533" s="175"/>
      <c r="AG533" s="176">
        <v>43164.505659722221</v>
      </c>
      <c r="AH533" s="176">
        <v>43164.505729166667</v>
      </c>
      <c r="AI533" s="175"/>
      <c r="AJ533" s="175"/>
      <c r="AK533" s="178">
        <v>1</v>
      </c>
    </row>
    <row r="534" spans="1:37" x14ac:dyDescent="0.25">
      <c r="A534" s="174" t="s">
        <v>461</v>
      </c>
      <c r="B534" s="174" t="s">
        <v>1780</v>
      </c>
      <c r="C534" s="175"/>
      <c r="D534" s="174" t="s">
        <v>463</v>
      </c>
      <c r="E534" s="174" t="s">
        <v>553</v>
      </c>
      <c r="F534" s="176">
        <v>43164</v>
      </c>
      <c r="G534" s="176">
        <v>43165</v>
      </c>
      <c r="H534" s="174" t="s">
        <v>30</v>
      </c>
      <c r="I534" s="175" t="str">
        <f>VLOOKUP($H534,Mapping!$A:$A,1,0)</f>
        <v>NO CHARGE BROKER</v>
      </c>
      <c r="J534" s="177" t="s">
        <v>466</v>
      </c>
      <c r="K534" s="174" t="s">
        <v>807</v>
      </c>
      <c r="L534" s="178">
        <v>300000000</v>
      </c>
      <c r="M534" s="178">
        <v>94.7109375</v>
      </c>
      <c r="N534" s="178">
        <v>2.8937689133000002</v>
      </c>
      <c r="O534" s="178">
        <v>284487094.26795578</v>
      </c>
      <c r="P534" s="174" t="s">
        <v>337</v>
      </c>
      <c r="Q534" s="174" t="s">
        <v>808</v>
      </c>
      <c r="R534" s="174" t="s">
        <v>22</v>
      </c>
      <c r="S534" s="174" t="s">
        <v>130</v>
      </c>
      <c r="T534" s="175" t="str">
        <f>VLOOKUP($S534,Mapping!$C:$C,1,0)</f>
        <v>Manual</v>
      </c>
      <c r="U534" s="175"/>
      <c r="V534" s="175"/>
      <c r="W534" s="175"/>
      <c r="X534" s="175"/>
      <c r="Y534" s="174" t="s">
        <v>469</v>
      </c>
      <c r="Z534" s="174" t="s">
        <v>555</v>
      </c>
      <c r="AA534" s="174" t="s">
        <v>22</v>
      </c>
      <c r="AB534" s="174"/>
      <c r="AC534" s="175"/>
      <c r="AD534" s="174" t="s">
        <v>512</v>
      </c>
      <c r="AE534" s="175"/>
      <c r="AF534" s="175"/>
      <c r="AG534" s="176">
        <v>43164.505659722221</v>
      </c>
      <c r="AH534" s="176">
        <v>43164.505752314813</v>
      </c>
      <c r="AI534" s="175"/>
      <c r="AJ534" s="175"/>
      <c r="AK534" s="178">
        <v>1</v>
      </c>
    </row>
    <row r="535" spans="1:37" x14ac:dyDescent="0.25">
      <c r="A535" s="174" t="s">
        <v>461</v>
      </c>
      <c r="B535" s="174" t="s">
        <v>1781</v>
      </c>
      <c r="C535" s="175"/>
      <c r="D535" s="174" t="s">
        <v>463</v>
      </c>
      <c r="E535" s="174" t="s">
        <v>553</v>
      </c>
      <c r="F535" s="176">
        <v>43164</v>
      </c>
      <c r="G535" s="176">
        <v>43165</v>
      </c>
      <c r="H535" s="174" t="s">
        <v>30</v>
      </c>
      <c r="I535" s="175" t="str">
        <f>VLOOKUP($H535,Mapping!$A:$A,1,0)</f>
        <v>NO CHARGE BROKER</v>
      </c>
      <c r="J535" s="179" t="s">
        <v>486</v>
      </c>
      <c r="K535" s="174" t="s">
        <v>807</v>
      </c>
      <c r="L535" s="178">
        <v>300000000</v>
      </c>
      <c r="M535" s="178">
        <v>94.7109375</v>
      </c>
      <c r="N535" s="178">
        <v>2.8937689133000002</v>
      </c>
      <c r="O535" s="178">
        <v>-284487094.26795578</v>
      </c>
      <c r="P535" s="174" t="s">
        <v>337</v>
      </c>
      <c r="Q535" s="174" t="s">
        <v>808</v>
      </c>
      <c r="R535" s="174" t="s">
        <v>22</v>
      </c>
      <c r="S535" s="174" t="s">
        <v>130</v>
      </c>
      <c r="T535" s="175" t="str">
        <f>VLOOKUP($S535,Mapping!$C:$C,1,0)</f>
        <v>Manual</v>
      </c>
      <c r="U535" s="175"/>
      <c r="V535" s="175"/>
      <c r="W535" s="175"/>
      <c r="X535" s="175"/>
      <c r="Y535" s="174" t="s">
        <v>469</v>
      </c>
      <c r="Z535" s="174" t="s">
        <v>555</v>
      </c>
      <c r="AA535" s="174" t="s">
        <v>22</v>
      </c>
      <c r="AB535" s="174"/>
      <c r="AC535" s="175"/>
      <c r="AD535" s="174" t="s">
        <v>512</v>
      </c>
      <c r="AE535" s="175"/>
      <c r="AF535" s="175"/>
      <c r="AG535" s="176">
        <v>43164.505682870367</v>
      </c>
      <c r="AH535" s="176">
        <v>43164.50576388889</v>
      </c>
      <c r="AI535" s="175"/>
      <c r="AJ535" s="175"/>
      <c r="AK535" s="178">
        <v>1</v>
      </c>
    </row>
    <row r="536" spans="1:37" x14ac:dyDescent="0.25">
      <c r="A536" s="174" t="s">
        <v>461</v>
      </c>
      <c r="B536" s="174" t="s">
        <v>1786</v>
      </c>
      <c r="C536" s="175"/>
      <c r="D536" s="174" t="s">
        <v>463</v>
      </c>
      <c r="E536" s="174" t="s">
        <v>506</v>
      </c>
      <c r="F536" s="176">
        <v>43164</v>
      </c>
      <c r="G536" s="176">
        <v>43165</v>
      </c>
      <c r="H536" s="174" t="s">
        <v>30</v>
      </c>
      <c r="I536" s="175" t="str">
        <f>VLOOKUP($H536,Mapping!$A:$A,1,0)</f>
        <v>NO CHARGE BROKER</v>
      </c>
      <c r="J536" s="177" t="s">
        <v>466</v>
      </c>
      <c r="K536" s="174" t="s">
        <v>508</v>
      </c>
      <c r="L536" s="178">
        <v>800000</v>
      </c>
      <c r="M536" s="178">
        <v>99.7265625</v>
      </c>
      <c r="N536" s="178">
        <v>2.7933211042999999</v>
      </c>
      <c r="O536" s="178">
        <v>798171.19565216999</v>
      </c>
      <c r="P536" s="174" t="s">
        <v>337</v>
      </c>
      <c r="Q536" s="174" t="s">
        <v>509</v>
      </c>
      <c r="R536" s="174" t="s">
        <v>22</v>
      </c>
      <c r="S536" s="174" t="s">
        <v>130</v>
      </c>
      <c r="T536" s="175" t="str">
        <f>VLOOKUP($S536,Mapping!$C:$C,1,0)</f>
        <v>Manual</v>
      </c>
      <c r="U536" s="175"/>
      <c r="V536" s="175"/>
      <c r="W536" s="175"/>
      <c r="X536" s="175"/>
      <c r="Y536" s="174" t="s">
        <v>469</v>
      </c>
      <c r="Z536" s="174" t="s">
        <v>511</v>
      </c>
      <c r="AA536" s="174" t="s">
        <v>22</v>
      </c>
      <c r="AB536" s="174"/>
      <c r="AC536" s="175"/>
      <c r="AD536" s="174" t="s">
        <v>512</v>
      </c>
      <c r="AE536" s="175"/>
      <c r="AF536" s="175"/>
      <c r="AG536" s="176">
        <v>43164.531793981485</v>
      </c>
      <c r="AH536" s="176">
        <v>43164.531840277778</v>
      </c>
      <c r="AI536" s="175"/>
      <c r="AJ536" s="175"/>
      <c r="AK536" s="178">
        <v>1</v>
      </c>
    </row>
    <row r="537" spans="1:37" x14ac:dyDescent="0.25">
      <c r="A537" s="174" t="s">
        <v>461</v>
      </c>
      <c r="B537" s="174" t="s">
        <v>1787</v>
      </c>
      <c r="C537" s="175"/>
      <c r="D537" s="174" t="s">
        <v>463</v>
      </c>
      <c r="E537" s="174" t="s">
        <v>506</v>
      </c>
      <c r="F537" s="176">
        <v>43164</v>
      </c>
      <c r="G537" s="176">
        <v>43165</v>
      </c>
      <c r="H537" s="174" t="s">
        <v>30</v>
      </c>
      <c r="I537" s="175" t="str">
        <f>VLOOKUP($H537,Mapping!$A:$A,1,0)</f>
        <v>NO CHARGE BROKER</v>
      </c>
      <c r="J537" s="179" t="s">
        <v>486</v>
      </c>
      <c r="K537" s="174" t="s">
        <v>508</v>
      </c>
      <c r="L537" s="178">
        <v>800000</v>
      </c>
      <c r="M537" s="178">
        <v>99.7265625</v>
      </c>
      <c r="N537" s="178">
        <v>2.7933211042999999</v>
      </c>
      <c r="O537" s="178">
        <v>-798171.19565216999</v>
      </c>
      <c r="P537" s="174" t="s">
        <v>337</v>
      </c>
      <c r="Q537" s="174" t="s">
        <v>509</v>
      </c>
      <c r="R537" s="174" t="s">
        <v>22</v>
      </c>
      <c r="S537" s="174" t="s">
        <v>130</v>
      </c>
      <c r="T537" s="175" t="str">
        <f>VLOOKUP($S537,Mapping!$C:$C,1,0)</f>
        <v>Manual</v>
      </c>
      <c r="U537" s="175"/>
      <c r="V537" s="175"/>
      <c r="W537" s="175"/>
      <c r="X537" s="175"/>
      <c r="Y537" s="174" t="s">
        <v>469</v>
      </c>
      <c r="Z537" s="174" t="s">
        <v>511</v>
      </c>
      <c r="AA537" s="174" t="s">
        <v>22</v>
      </c>
      <c r="AB537" s="174"/>
      <c r="AC537" s="175"/>
      <c r="AD537" s="174" t="s">
        <v>512</v>
      </c>
      <c r="AE537" s="175"/>
      <c r="AF537" s="175"/>
      <c r="AG537" s="176">
        <v>43164.531782407408</v>
      </c>
      <c r="AH537" s="176">
        <v>43164.531851851854</v>
      </c>
      <c r="AI537" s="175"/>
      <c r="AJ537" s="175"/>
      <c r="AK537" s="178">
        <v>1</v>
      </c>
    </row>
    <row r="538" spans="1:37" x14ac:dyDescent="0.25">
      <c r="A538" s="174" t="s">
        <v>461</v>
      </c>
      <c r="B538" s="174" t="s">
        <v>1788</v>
      </c>
      <c r="C538" s="175"/>
      <c r="D538" s="174" t="s">
        <v>463</v>
      </c>
      <c r="E538" s="174" t="s">
        <v>506</v>
      </c>
      <c r="F538" s="176">
        <v>43164</v>
      </c>
      <c r="G538" s="176">
        <v>43165</v>
      </c>
      <c r="H538" s="174" t="s">
        <v>1789</v>
      </c>
      <c r="I538" s="175" t="e">
        <f>VLOOKUP($H538,Mapping!$A:$A,1,0)</f>
        <v>#N/A</v>
      </c>
      <c r="J538" s="177" t="s">
        <v>466</v>
      </c>
      <c r="K538" s="174" t="s">
        <v>467</v>
      </c>
      <c r="L538" s="178">
        <v>113900000</v>
      </c>
      <c r="M538" s="178">
        <v>99.75</v>
      </c>
      <c r="N538" s="178">
        <v>2.6788620698000001</v>
      </c>
      <c r="O538" s="178">
        <v>113663997.96195653</v>
      </c>
      <c r="P538" s="174" t="s">
        <v>337</v>
      </c>
      <c r="Q538" s="174" t="s">
        <v>468</v>
      </c>
      <c r="R538" s="174" t="s">
        <v>22</v>
      </c>
      <c r="S538" s="174" t="s">
        <v>129</v>
      </c>
      <c r="T538" s="175" t="str">
        <f>VLOOKUP($S538,Mapping!$C:$C,1,0)</f>
        <v>Omgeo</v>
      </c>
      <c r="U538" s="174" t="s">
        <v>1790</v>
      </c>
      <c r="V538" s="174" t="s">
        <v>132</v>
      </c>
      <c r="W538" s="175"/>
      <c r="X538" s="175"/>
      <c r="Y538" s="174" t="s">
        <v>469</v>
      </c>
      <c r="Z538" s="174" t="s">
        <v>511</v>
      </c>
      <c r="AA538" s="174" t="s">
        <v>22</v>
      </c>
      <c r="AB538" s="174"/>
      <c r="AC538" s="175"/>
      <c r="AD538" s="174" t="s">
        <v>512</v>
      </c>
      <c r="AE538" s="176">
        <v>43164.695775462962</v>
      </c>
      <c r="AF538" s="174" t="s">
        <v>1790</v>
      </c>
      <c r="AG538" s="176">
        <v>43164.687615740739</v>
      </c>
      <c r="AH538" s="176">
        <v>43164.6877662037</v>
      </c>
      <c r="AI538" s="174" t="s">
        <v>473</v>
      </c>
      <c r="AJ538" s="175"/>
      <c r="AK538" s="178">
        <v>1</v>
      </c>
    </row>
    <row r="539" spans="1:37" x14ac:dyDescent="0.25">
      <c r="A539" s="174" t="s">
        <v>461</v>
      </c>
      <c r="B539" s="174" t="s">
        <v>1791</v>
      </c>
      <c r="C539" s="175"/>
      <c r="D539" s="174" t="s">
        <v>463</v>
      </c>
      <c r="E539" s="174" t="s">
        <v>506</v>
      </c>
      <c r="F539" s="176">
        <v>43164</v>
      </c>
      <c r="G539" s="176">
        <v>43165</v>
      </c>
      <c r="H539" s="174" t="s">
        <v>1789</v>
      </c>
      <c r="I539" s="175" t="e">
        <f>VLOOKUP($H539,Mapping!$A:$A,1,0)</f>
        <v>#N/A</v>
      </c>
      <c r="J539" s="179" t="s">
        <v>486</v>
      </c>
      <c r="K539" s="174" t="s">
        <v>1522</v>
      </c>
      <c r="L539" s="178">
        <v>145000000</v>
      </c>
      <c r="M539" s="178">
        <v>97.359375</v>
      </c>
      <c r="N539" s="178">
        <v>2.5899165304</v>
      </c>
      <c r="O539" s="178">
        <v>-141426445.95994475</v>
      </c>
      <c r="P539" s="174" t="s">
        <v>337</v>
      </c>
      <c r="Q539" s="174" t="s">
        <v>1523</v>
      </c>
      <c r="R539" s="174" t="s">
        <v>22</v>
      </c>
      <c r="S539" s="174" t="s">
        <v>129</v>
      </c>
      <c r="T539" s="175" t="str">
        <f>VLOOKUP($S539,Mapping!$C:$C,1,0)</f>
        <v>Omgeo</v>
      </c>
      <c r="U539" s="174" t="s">
        <v>1792</v>
      </c>
      <c r="V539" s="174" t="s">
        <v>132</v>
      </c>
      <c r="W539" s="175"/>
      <c r="X539" s="175"/>
      <c r="Y539" s="174" t="s">
        <v>469</v>
      </c>
      <c r="Z539" s="174" t="s">
        <v>511</v>
      </c>
      <c r="AA539" s="174" t="s">
        <v>22</v>
      </c>
      <c r="AB539" s="174"/>
      <c r="AC539" s="175"/>
      <c r="AD539" s="174" t="s">
        <v>512</v>
      </c>
      <c r="AE539" s="176">
        <v>43164.695775462962</v>
      </c>
      <c r="AF539" s="174" t="s">
        <v>1792</v>
      </c>
      <c r="AG539" s="176">
        <v>43164.687615740739</v>
      </c>
      <c r="AH539" s="176">
        <v>43164.687777777777</v>
      </c>
      <c r="AI539" s="174" t="s">
        <v>473</v>
      </c>
      <c r="AJ539" s="175"/>
      <c r="AK539" s="178">
        <v>1</v>
      </c>
    </row>
    <row r="540" spans="1:37" x14ac:dyDescent="0.25">
      <c r="A540" s="174" t="s">
        <v>461</v>
      </c>
      <c r="B540" s="174" t="s">
        <v>1793</v>
      </c>
      <c r="C540" s="175"/>
      <c r="D540" s="174" t="s">
        <v>463</v>
      </c>
      <c r="E540" s="174" t="s">
        <v>506</v>
      </c>
      <c r="F540" s="176">
        <v>43164</v>
      </c>
      <c r="G540" s="176">
        <v>43165</v>
      </c>
      <c r="H540" s="174" t="s">
        <v>1789</v>
      </c>
      <c r="I540" s="175" t="e">
        <f>VLOOKUP($H540,Mapping!$A:$A,1,0)</f>
        <v>#N/A</v>
      </c>
      <c r="J540" s="179" t="s">
        <v>486</v>
      </c>
      <c r="K540" s="174" t="s">
        <v>1522</v>
      </c>
      <c r="L540" s="178">
        <v>55000000</v>
      </c>
      <c r="M540" s="178">
        <v>97.375</v>
      </c>
      <c r="N540" s="178">
        <v>2.5856197504999998</v>
      </c>
      <c r="O540" s="178">
        <v>-53653107.734806627</v>
      </c>
      <c r="P540" s="174" t="s">
        <v>337</v>
      </c>
      <c r="Q540" s="174" t="s">
        <v>1523</v>
      </c>
      <c r="R540" s="174" t="s">
        <v>22</v>
      </c>
      <c r="S540" s="174" t="s">
        <v>129</v>
      </c>
      <c r="T540" s="175" t="str">
        <f>VLOOKUP($S540,Mapping!$C:$C,1,0)</f>
        <v>Omgeo</v>
      </c>
      <c r="U540" s="174" t="s">
        <v>1794</v>
      </c>
      <c r="V540" s="174" t="s">
        <v>132</v>
      </c>
      <c r="W540" s="175"/>
      <c r="X540" s="175"/>
      <c r="Y540" s="174" t="s">
        <v>469</v>
      </c>
      <c r="Z540" s="174" t="s">
        <v>511</v>
      </c>
      <c r="AA540" s="174" t="s">
        <v>22</v>
      </c>
      <c r="AB540" s="174"/>
      <c r="AC540" s="175"/>
      <c r="AD540" s="174" t="s">
        <v>512</v>
      </c>
      <c r="AE540" s="176">
        <v>43164.695775462962</v>
      </c>
      <c r="AF540" s="174" t="s">
        <v>1794</v>
      </c>
      <c r="AG540" s="176">
        <v>43164.693414351852</v>
      </c>
      <c r="AH540" s="176">
        <v>43164.693460648145</v>
      </c>
      <c r="AI540" s="174" t="s">
        <v>473</v>
      </c>
      <c r="AJ540" s="175"/>
      <c r="AK540" s="178">
        <v>1</v>
      </c>
    </row>
    <row r="541" spans="1:37" x14ac:dyDescent="0.25">
      <c r="A541" s="174" t="s">
        <v>461</v>
      </c>
      <c r="B541" s="174" t="s">
        <v>1795</v>
      </c>
      <c r="C541" s="175"/>
      <c r="D541" s="174" t="s">
        <v>463</v>
      </c>
      <c r="E541" s="174" t="s">
        <v>506</v>
      </c>
      <c r="F541" s="176">
        <v>43164</v>
      </c>
      <c r="G541" s="176">
        <v>43165</v>
      </c>
      <c r="H541" s="174" t="s">
        <v>1789</v>
      </c>
      <c r="I541" s="175" t="e">
        <f>VLOOKUP($H541,Mapping!$A:$A,1,0)</f>
        <v>#N/A</v>
      </c>
      <c r="J541" s="177" t="s">
        <v>466</v>
      </c>
      <c r="K541" s="174" t="s">
        <v>467</v>
      </c>
      <c r="L541" s="178">
        <v>43200000</v>
      </c>
      <c r="M541" s="178">
        <v>99.75</v>
      </c>
      <c r="N541" s="178">
        <v>2.6788620698000001</v>
      </c>
      <c r="O541" s="178">
        <v>43110489.130434781</v>
      </c>
      <c r="P541" s="174" t="s">
        <v>337</v>
      </c>
      <c r="Q541" s="174" t="s">
        <v>468</v>
      </c>
      <c r="R541" s="174" t="s">
        <v>22</v>
      </c>
      <c r="S541" s="174" t="s">
        <v>129</v>
      </c>
      <c r="T541" s="175" t="str">
        <f>VLOOKUP($S541,Mapping!$C:$C,1,0)</f>
        <v>Omgeo</v>
      </c>
      <c r="U541" s="174" t="s">
        <v>1796</v>
      </c>
      <c r="V541" s="174" t="s">
        <v>132</v>
      </c>
      <c r="W541" s="175"/>
      <c r="X541" s="175"/>
      <c r="Y541" s="174" t="s">
        <v>469</v>
      </c>
      <c r="Z541" s="174" t="s">
        <v>511</v>
      </c>
      <c r="AA541" s="174" t="s">
        <v>22</v>
      </c>
      <c r="AB541" s="174"/>
      <c r="AC541" s="175"/>
      <c r="AD541" s="174" t="s">
        <v>512</v>
      </c>
      <c r="AE541" s="176">
        <v>43164.695775462962</v>
      </c>
      <c r="AF541" s="174" t="s">
        <v>1796</v>
      </c>
      <c r="AG541" s="176">
        <v>43164.693425925929</v>
      </c>
      <c r="AH541" s="176">
        <v>43164.693506944444</v>
      </c>
      <c r="AI541" s="174" t="s">
        <v>473</v>
      </c>
      <c r="AJ541" s="175"/>
      <c r="AK541" s="178">
        <v>1</v>
      </c>
    </row>
    <row r="542" spans="1:37" x14ac:dyDescent="0.25">
      <c r="A542" s="174" t="s">
        <v>461</v>
      </c>
      <c r="B542" s="174" t="s">
        <v>1797</v>
      </c>
      <c r="C542" s="175"/>
      <c r="D542" s="174" t="s">
        <v>463</v>
      </c>
      <c r="E542" s="174" t="s">
        <v>623</v>
      </c>
      <c r="F542" s="176">
        <v>43164</v>
      </c>
      <c r="G542" s="176">
        <v>43165</v>
      </c>
      <c r="H542" s="174" t="s">
        <v>1798</v>
      </c>
      <c r="I542" s="175" t="e">
        <f>VLOOKUP($H542,Mapping!$A:$A,1,0)</f>
        <v>#N/A</v>
      </c>
      <c r="J542" s="177" t="s">
        <v>466</v>
      </c>
      <c r="K542" s="174" t="s">
        <v>1799</v>
      </c>
      <c r="L542" s="178">
        <v>87100000</v>
      </c>
      <c r="M542" s="178">
        <v>97.96484375</v>
      </c>
      <c r="N542" s="178">
        <v>2.8262412460999999</v>
      </c>
      <c r="O542" s="178">
        <v>85531895.480835631</v>
      </c>
      <c r="P542" s="174" t="s">
        <v>337</v>
      </c>
      <c r="Q542" s="174" t="s">
        <v>1800</v>
      </c>
      <c r="R542" s="174" t="s">
        <v>22</v>
      </c>
      <c r="S542" s="174" t="s">
        <v>129</v>
      </c>
      <c r="T542" s="175" t="str">
        <f>VLOOKUP($S542,Mapping!$C:$C,1,0)</f>
        <v>Omgeo</v>
      </c>
      <c r="U542" s="174" t="s">
        <v>1801</v>
      </c>
      <c r="V542" s="174" t="s">
        <v>132</v>
      </c>
      <c r="W542" s="175"/>
      <c r="X542" s="175"/>
      <c r="Y542" s="174" t="s">
        <v>469</v>
      </c>
      <c r="Z542" s="174" t="s">
        <v>627</v>
      </c>
      <c r="AA542" s="174" t="s">
        <v>22</v>
      </c>
      <c r="AB542" s="174"/>
      <c r="AC542" s="175"/>
      <c r="AD542" s="174" t="s">
        <v>628</v>
      </c>
      <c r="AE542" s="176">
        <v>43164.409270833334</v>
      </c>
      <c r="AF542" s="174" t="s">
        <v>1801</v>
      </c>
      <c r="AG542" s="176">
        <v>43164.407557870371</v>
      </c>
      <c r="AH542" s="176">
        <v>43164.407557870371</v>
      </c>
      <c r="AI542" s="174" t="s">
        <v>473</v>
      </c>
      <c r="AJ542" s="175"/>
      <c r="AK542" s="178">
        <v>1</v>
      </c>
    </row>
    <row r="543" spans="1:37" x14ac:dyDescent="0.25">
      <c r="A543" s="174" t="s">
        <v>461</v>
      </c>
      <c r="B543" s="174" t="s">
        <v>1802</v>
      </c>
      <c r="C543" s="175"/>
      <c r="D543" s="174" t="s">
        <v>463</v>
      </c>
      <c r="E543" s="174" t="s">
        <v>623</v>
      </c>
      <c r="F543" s="176">
        <v>43164</v>
      </c>
      <c r="G543" s="176">
        <v>43165</v>
      </c>
      <c r="H543" s="174" t="s">
        <v>1798</v>
      </c>
      <c r="I543" s="175" t="e">
        <f>VLOOKUP($H543,Mapping!$A:$A,1,0)</f>
        <v>#N/A</v>
      </c>
      <c r="J543" s="179" t="s">
        <v>486</v>
      </c>
      <c r="K543" s="174" t="s">
        <v>1803</v>
      </c>
      <c r="L543" s="178">
        <v>100000000</v>
      </c>
      <c r="M543" s="178">
        <v>96.453125</v>
      </c>
      <c r="N543" s="178">
        <v>2.7723283211999998</v>
      </c>
      <c r="O543" s="178">
        <v>-96487771.739130452</v>
      </c>
      <c r="P543" s="174" t="s">
        <v>337</v>
      </c>
      <c r="Q543" s="174" t="s">
        <v>1804</v>
      </c>
      <c r="R543" s="174" t="s">
        <v>22</v>
      </c>
      <c r="S543" s="174" t="s">
        <v>129</v>
      </c>
      <c r="T543" s="175" t="str">
        <f>VLOOKUP($S543,Mapping!$C:$C,1,0)</f>
        <v>Omgeo</v>
      </c>
      <c r="U543" s="174" t="s">
        <v>1805</v>
      </c>
      <c r="V543" s="174" t="s">
        <v>132</v>
      </c>
      <c r="W543" s="175"/>
      <c r="X543" s="175"/>
      <c r="Y543" s="174" t="s">
        <v>469</v>
      </c>
      <c r="Z543" s="174" t="s">
        <v>627</v>
      </c>
      <c r="AA543" s="174" t="s">
        <v>22</v>
      </c>
      <c r="AB543" s="174"/>
      <c r="AC543" s="175"/>
      <c r="AD543" s="174" t="s">
        <v>628</v>
      </c>
      <c r="AE543" s="176">
        <v>43164.409270833334</v>
      </c>
      <c r="AF543" s="174" t="s">
        <v>1805</v>
      </c>
      <c r="AG543" s="176">
        <v>43164.407557870371</v>
      </c>
      <c r="AH543" s="176">
        <v>43164.407557870371</v>
      </c>
      <c r="AI543" s="174" t="s">
        <v>473</v>
      </c>
      <c r="AJ543" s="175"/>
      <c r="AK543" s="178">
        <v>1</v>
      </c>
    </row>
    <row r="544" spans="1:37" x14ac:dyDescent="0.25">
      <c r="A544" s="174" t="s">
        <v>461</v>
      </c>
      <c r="B544" s="174" t="s">
        <v>1806</v>
      </c>
      <c r="C544" s="175"/>
      <c r="D544" s="174" t="s">
        <v>478</v>
      </c>
      <c r="E544" s="174" t="s">
        <v>846</v>
      </c>
      <c r="F544" s="176">
        <v>43164</v>
      </c>
      <c r="G544" s="176">
        <v>43165</v>
      </c>
      <c r="H544" s="174" t="s">
        <v>1798</v>
      </c>
      <c r="I544" s="175" t="e">
        <f>VLOOKUP($H544,Mapping!$A:$A,1,0)</f>
        <v>#N/A</v>
      </c>
      <c r="J544" s="177" t="s">
        <v>466</v>
      </c>
      <c r="K544" s="174" t="s">
        <v>475</v>
      </c>
      <c r="L544" s="178">
        <v>1300000</v>
      </c>
      <c r="M544" s="178">
        <v>99.1953125</v>
      </c>
      <c r="N544" s="178">
        <v>2.8433360745999998</v>
      </c>
      <c r="O544" s="178">
        <v>1291415.4437154701</v>
      </c>
      <c r="P544" s="174" t="s">
        <v>337</v>
      </c>
      <c r="Q544" s="174" t="s">
        <v>476</v>
      </c>
      <c r="R544" s="174" t="s">
        <v>22</v>
      </c>
      <c r="S544" s="174" t="s">
        <v>129</v>
      </c>
      <c r="T544" s="175" t="str">
        <f>VLOOKUP($S544,Mapping!$C:$C,1,0)</f>
        <v>Omgeo</v>
      </c>
      <c r="U544" s="174" t="s">
        <v>1807</v>
      </c>
      <c r="V544" s="174" t="s">
        <v>132</v>
      </c>
      <c r="W544" s="175"/>
      <c r="X544" s="175"/>
      <c r="Y544" s="174" t="s">
        <v>469</v>
      </c>
      <c r="Z544" s="174" t="s">
        <v>851</v>
      </c>
      <c r="AA544" s="174" t="s">
        <v>22</v>
      </c>
      <c r="AB544" s="174"/>
      <c r="AC544" s="175"/>
      <c r="AD544" s="174" t="s">
        <v>742</v>
      </c>
      <c r="AE544" s="176">
        <v>43164.415682870371</v>
      </c>
      <c r="AF544" s="174" t="s">
        <v>1807</v>
      </c>
      <c r="AG544" s="176">
        <v>43164.412662037037</v>
      </c>
      <c r="AH544" s="176">
        <v>43164.412662037037</v>
      </c>
      <c r="AI544" s="175"/>
      <c r="AJ544" s="175"/>
      <c r="AK544" s="178">
        <v>1</v>
      </c>
    </row>
    <row r="545" spans="1:37" x14ac:dyDescent="0.25">
      <c r="A545" s="174" t="s">
        <v>484</v>
      </c>
      <c r="B545" s="174" t="s">
        <v>1808</v>
      </c>
      <c r="C545" s="175"/>
      <c r="D545" s="174" t="s">
        <v>566</v>
      </c>
      <c r="E545" s="174" t="s">
        <v>1201</v>
      </c>
      <c r="F545" s="176">
        <v>43164</v>
      </c>
      <c r="G545" s="176">
        <v>43166</v>
      </c>
      <c r="H545" s="174" t="s">
        <v>1798</v>
      </c>
      <c r="I545" s="175" t="e">
        <f>VLOOKUP($H545,Mapping!$A:$A,1,0)</f>
        <v>#N/A</v>
      </c>
      <c r="J545" s="179" t="s">
        <v>486</v>
      </c>
      <c r="K545" s="174" t="s">
        <v>1627</v>
      </c>
      <c r="L545" s="178">
        <v>2000000</v>
      </c>
      <c r="M545" s="178">
        <v>78.375</v>
      </c>
      <c r="N545" s="178">
        <v>4.1909284553999999</v>
      </c>
      <c r="O545" s="178">
        <v>-1580232.8767123299</v>
      </c>
      <c r="P545" s="174" t="s">
        <v>386</v>
      </c>
      <c r="Q545" s="174" t="s">
        <v>1628</v>
      </c>
      <c r="R545" s="174" t="s">
        <v>22</v>
      </c>
      <c r="S545" s="174" t="s">
        <v>129</v>
      </c>
      <c r="T545" s="175" t="str">
        <f>VLOOKUP($S545,Mapping!$C:$C,1,0)</f>
        <v>Omgeo</v>
      </c>
      <c r="U545" s="174" t="s">
        <v>1809</v>
      </c>
      <c r="V545" s="174" t="s">
        <v>132</v>
      </c>
      <c r="W545" s="175"/>
      <c r="X545" s="175"/>
      <c r="Y545" s="174" t="s">
        <v>640</v>
      </c>
      <c r="Z545" s="174" t="s">
        <v>1206</v>
      </c>
      <c r="AA545" s="174" t="s">
        <v>22</v>
      </c>
      <c r="AB545" s="174"/>
      <c r="AC545" s="175"/>
      <c r="AD545" s="174" t="s">
        <v>512</v>
      </c>
      <c r="AE545" s="176">
        <v>43164.435173611113</v>
      </c>
      <c r="AF545" s="174" t="s">
        <v>1809</v>
      </c>
      <c r="AG545" s="176">
        <v>43164.431805555556</v>
      </c>
      <c r="AH545" s="176">
        <v>43164.431863425925</v>
      </c>
      <c r="AI545" s="175"/>
      <c r="AJ545" s="175"/>
      <c r="AK545" s="178">
        <v>1</v>
      </c>
    </row>
    <row r="546" spans="1:37" x14ac:dyDescent="0.25">
      <c r="A546" s="174" t="s">
        <v>461</v>
      </c>
      <c r="B546" s="174" t="s">
        <v>1810</v>
      </c>
      <c r="C546" s="175"/>
      <c r="D546" s="174" t="s">
        <v>463</v>
      </c>
      <c r="E546" s="174" t="s">
        <v>935</v>
      </c>
      <c r="F546" s="176">
        <v>43164</v>
      </c>
      <c r="G546" s="176">
        <v>43165</v>
      </c>
      <c r="H546" s="174" t="s">
        <v>1798</v>
      </c>
      <c r="I546" s="175" t="e">
        <f>VLOOKUP($H546,Mapping!$A:$A,1,0)</f>
        <v>#N/A</v>
      </c>
      <c r="J546" s="177" t="s">
        <v>466</v>
      </c>
      <c r="K546" s="174" t="s">
        <v>475</v>
      </c>
      <c r="L546" s="178">
        <v>12000000</v>
      </c>
      <c r="M546" s="178">
        <v>98.96875</v>
      </c>
      <c r="N546" s="178">
        <v>2.8697998404999998</v>
      </c>
      <c r="O546" s="178">
        <v>11893570.441988951</v>
      </c>
      <c r="P546" s="174" t="s">
        <v>337</v>
      </c>
      <c r="Q546" s="174" t="s">
        <v>476</v>
      </c>
      <c r="R546" s="174" t="s">
        <v>22</v>
      </c>
      <c r="S546" s="174" t="s">
        <v>129</v>
      </c>
      <c r="T546" s="175" t="str">
        <f>VLOOKUP($S546,Mapping!$C:$C,1,0)</f>
        <v>Omgeo</v>
      </c>
      <c r="U546" s="174" t="s">
        <v>1811</v>
      </c>
      <c r="V546" s="174" t="s">
        <v>132</v>
      </c>
      <c r="W546" s="175"/>
      <c r="X546" s="175"/>
      <c r="Y546" s="174" t="s">
        <v>469</v>
      </c>
      <c r="Z546" s="174" t="s">
        <v>938</v>
      </c>
      <c r="AA546" s="174" t="s">
        <v>22</v>
      </c>
      <c r="AB546" s="174"/>
      <c r="AC546" s="175"/>
      <c r="AD546" s="174" t="s">
        <v>512</v>
      </c>
      <c r="AE546" s="176">
        <v>43164.480451388888</v>
      </c>
      <c r="AF546" s="174" t="s">
        <v>1811</v>
      </c>
      <c r="AG546" s="176">
        <v>43164.476354166669</v>
      </c>
      <c r="AH546" s="176">
        <v>43164.476400462961</v>
      </c>
      <c r="AI546" s="174" t="s">
        <v>473</v>
      </c>
      <c r="AJ546" s="175"/>
      <c r="AK546" s="178">
        <v>1</v>
      </c>
    </row>
    <row r="547" spans="1:37" x14ac:dyDescent="0.25">
      <c r="A547" s="174" t="s">
        <v>461</v>
      </c>
      <c r="B547" s="174" t="s">
        <v>1812</v>
      </c>
      <c r="C547" s="175"/>
      <c r="D547" s="174" t="s">
        <v>463</v>
      </c>
      <c r="E547" s="174" t="s">
        <v>935</v>
      </c>
      <c r="F547" s="176">
        <v>43164</v>
      </c>
      <c r="G547" s="176">
        <v>43165</v>
      </c>
      <c r="H547" s="174" t="s">
        <v>1798</v>
      </c>
      <c r="I547" s="175" t="e">
        <f>VLOOKUP($H547,Mapping!$A:$A,1,0)</f>
        <v>#N/A</v>
      </c>
      <c r="J547" s="177" t="s">
        <v>466</v>
      </c>
      <c r="K547" s="174" t="s">
        <v>475</v>
      </c>
      <c r="L547" s="178">
        <v>2000000</v>
      </c>
      <c r="M547" s="178">
        <v>98.78125</v>
      </c>
      <c r="N547" s="178">
        <v>2.8917532010999998</v>
      </c>
      <c r="O547" s="178">
        <v>1978511.7403314901</v>
      </c>
      <c r="P547" s="174" t="s">
        <v>337</v>
      </c>
      <c r="Q547" s="174" t="s">
        <v>476</v>
      </c>
      <c r="R547" s="174" t="s">
        <v>22</v>
      </c>
      <c r="S547" s="174" t="s">
        <v>129</v>
      </c>
      <c r="T547" s="175" t="str">
        <f>VLOOKUP($S547,Mapping!$C:$C,1,0)</f>
        <v>Omgeo</v>
      </c>
      <c r="U547" s="174" t="s">
        <v>1813</v>
      </c>
      <c r="V547" s="174" t="s">
        <v>132</v>
      </c>
      <c r="W547" s="175"/>
      <c r="X547" s="175"/>
      <c r="Y547" s="174" t="s">
        <v>469</v>
      </c>
      <c r="Z547" s="174" t="s">
        <v>938</v>
      </c>
      <c r="AA547" s="174" t="s">
        <v>22</v>
      </c>
      <c r="AB547" s="174"/>
      <c r="AC547" s="175"/>
      <c r="AD547" s="174" t="s">
        <v>512</v>
      </c>
      <c r="AE547" s="176">
        <v>43164.584733796299</v>
      </c>
      <c r="AF547" s="174" t="s">
        <v>1813</v>
      </c>
      <c r="AG547" s="176">
        <v>43164.581354166665</v>
      </c>
      <c r="AH547" s="176">
        <v>43164.581400462965</v>
      </c>
      <c r="AI547" s="174" t="s">
        <v>473</v>
      </c>
      <c r="AJ547" s="175"/>
      <c r="AK547" s="178">
        <v>1</v>
      </c>
    </row>
    <row r="548" spans="1:37" x14ac:dyDescent="0.25">
      <c r="A548" s="174" t="s">
        <v>461</v>
      </c>
      <c r="B548" s="174" t="s">
        <v>1814</v>
      </c>
      <c r="C548" s="175"/>
      <c r="D548" s="174" t="s">
        <v>478</v>
      </c>
      <c r="E548" s="174" t="s">
        <v>590</v>
      </c>
      <c r="F548" s="176">
        <v>43164</v>
      </c>
      <c r="G548" s="176">
        <v>43165</v>
      </c>
      <c r="H548" s="174" t="s">
        <v>1815</v>
      </c>
      <c r="I548" s="175" t="e">
        <f>VLOOKUP($H548,Mapping!$A:$A,1,0)</f>
        <v>#N/A</v>
      </c>
      <c r="J548" s="179" t="s">
        <v>486</v>
      </c>
      <c r="K548" s="174" t="s">
        <v>467</v>
      </c>
      <c r="L548" s="178">
        <v>10000000</v>
      </c>
      <c r="M548" s="178">
        <v>99.890625</v>
      </c>
      <c r="N548" s="178">
        <v>2.6485130385</v>
      </c>
      <c r="O548" s="178">
        <v>-9993342.3913043495</v>
      </c>
      <c r="P548" s="174" t="s">
        <v>337</v>
      </c>
      <c r="Q548" s="174" t="s">
        <v>468</v>
      </c>
      <c r="R548" s="174" t="s">
        <v>23</v>
      </c>
      <c r="S548" s="174" t="s">
        <v>133</v>
      </c>
      <c r="T548" s="175" t="str">
        <f>VLOOKUP($S548,Mapping!$C:$C,1,0)</f>
        <v>Oasys</v>
      </c>
      <c r="U548" s="175"/>
      <c r="V548" s="175"/>
      <c r="W548" s="175"/>
      <c r="X548" s="175"/>
      <c r="Y548" s="174" t="s">
        <v>469</v>
      </c>
      <c r="Z548" s="174" t="s">
        <v>594</v>
      </c>
      <c r="AA548" s="174" t="s">
        <v>24</v>
      </c>
      <c r="AB548" s="174"/>
      <c r="AC548" s="174" t="s">
        <v>1816</v>
      </c>
      <c r="AD548" s="174" t="s">
        <v>483</v>
      </c>
      <c r="AE548" s="176">
        <v>43164.566504629627</v>
      </c>
      <c r="AF548" s="175"/>
      <c r="AG548" s="176">
        <v>43164.590567129628</v>
      </c>
      <c r="AH548" s="176">
        <v>43164.590567129628</v>
      </c>
      <c r="AI548" s="175"/>
      <c r="AJ548" s="175"/>
      <c r="AK548" s="178">
        <v>1</v>
      </c>
    </row>
    <row r="549" spans="1:37" x14ac:dyDescent="0.25">
      <c r="A549" s="174" t="s">
        <v>461</v>
      </c>
      <c r="B549" s="174" t="s">
        <v>1817</v>
      </c>
      <c r="C549" s="175"/>
      <c r="D549" s="174" t="s">
        <v>497</v>
      </c>
      <c r="E549" s="174" t="s">
        <v>1818</v>
      </c>
      <c r="F549" s="176">
        <v>43164</v>
      </c>
      <c r="G549" s="176">
        <v>43165</v>
      </c>
      <c r="H549" s="174" t="s">
        <v>1819</v>
      </c>
      <c r="I549" s="175" t="e">
        <f>VLOOKUP($H549,Mapping!$A:$A,1,0)</f>
        <v>#N/A</v>
      </c>
      <c r="J549" s="179" t="s">
        <v>486</v>
      </c>
      <c r="K549" s="174" t="s">
        <v>1820</v>
      </c>
      <c r="L549" s="178">
        <v>500000</v>
      </c>
      <c r="M549" s="178">
        <v>162.82499999999999</v>
      </c>
      <c r="N549" s="178">
        <v>1.6562868956000001</v>
      </c>
      <c r="O549" s="178">
        <v>-816203.72928176995</v>
      </c>
      <c r="P549" s="174" t="s">
        <v>998</v>
      </c>
      <c r="Q549" s="174" t="s">
        <v>1821</v>
      </c>
      <c r="R549" s="174" t="s">
        <v>22</v>
      </c>
      <c r="S549" s="174" t="s">
        <v>129</v>
      </c>
      <c r="T549" s="175" t="str">
        <f>VLOOKUP($S549,Mapping!$C:$C,1,0)</f>
        <v>Omgeo</v>
      </c>
      <c r="U549" s="174" t="s">
        <v>1822</v>
      </c>
      <c r="V549" s="174" t="s">
        <v>132</v>
      </c>
      <c r="W549" s="175"/>
      <c r="X549" s="175"/>
      <c r="Y549" s="174" t="s">
        <v>1001</v>
      </c>
      <c r="Z549" s="174" t="s">
        <v>1823</v>
      </c>
      <c r="AA549" s="174" t="s">
        <v>22</v>
      </c>
      <c r="AB549" s="174"/>
      <c r="AC549" s="175"/>
      <c r="AD549" s="174" t="s">
        <v>512</v>
      </c>
      <c r="AE549" s="176">
        <v>43164.255636574075</v>
      </c>
      <c r="AF549" s="174" t="s">
        <v>1822</v>
      </c>
      <c r="AG549" s="176">
        <v>43164.248796296299</v>
      </c>
      <c r="AH549" s="176">
        <v>43164.248877314814</v>
      </c>
      <c r="AI549" s="175"/>
      <c r="AJ549" s="175"/>
      <c r="AK549" s="178">
        <v>1</v>
      </c>
    </row>
    <row r="550" spans="1:37" x14ac:dyDescent="0.25">
      <c r="A550" s="174" t="s">
        <v>484</v>
      </c>
      <c r="B550" s="174" t="s">
        <v>1824</v>
      </c>
      <c r="C550" s="175"/>
      <c r="D550" s="174" t="s">
        <v>566</v>
      </c>
      <c r="E550" s="174" t="s">
        <v>698</v>
      </c>
      <c r="F550" s="176">
        <v>43164</v>
      </c>
      <c r="G550" s="176">
        <v>43166</v>
      </c>
      <c r="H550" s="174" t="s">
        <v>1819</v>
      </c>
      <c r="I550" s="175" t="e">
        <f>VLOOKUP($H550,Mapping!$A:$A,1,0)</f>
        <v>#N/A</v>
      </c>
      <c r="J550" s="179" t="s">
        <v>486</v>
      </c>
      <c r="K550" s="174" t="s">
        <v>1825</v>
      </c>
      <c r="L550" s="178">
        <v>1000000</v>
      </c>
      <c r="M550" s="178">
        <v>103.125</v>
      </c>
      <c r="N550" s="178">
        <v>2.6945652246999998</v>
      </c>
      <c r="O550" s="178">
        <v>-1042715.27777778</v>
      </c>
      <c r="P550" s="174" t="s">
        <v>386</v>
      </c>
      <c r="Q550" s="174" t="s">
        <v>1826</v>
      </c>
      <c r="R550" s="174" t="s">
        <v>22</v>
      </c>
      <c r="S550" s="174" t="s">
        <v>129</v>
      </c>
      <c r="T550" s="175" t="str">
        <f>VLOOKUP($S550,Mapping!$C:$C,1,0)</f>
        <v>Omgeo</v>
      </c>
      <c r="U550" s="174" t="s">
        <v>1827</v>
      </c>
      <c r="V550" s="174" t="s">
        <v>132</v>
      </c>
      <c r="W550" s="175"/>
      <c r="X550" s="175"/>
      <c r="Y550" s="174" t="s">
        <v>1828</v>
      </c>
      <c r="Z550" s="174" t="s">
        <v>703</v>
      </c>
      <c r="AA550" s="174" t="s">
        <v>22</v>
      </c>
      <c r="AB550" s="174"/>
      <c r="AC550" s="175"/>
      <c r="AD550" s="174" t="s">
        <v>512</v>
      </c>
      <c r="AE550" s="176">
        <v>43164.461145833331</v>
      </c>
      <c r="AF550" s="174" t="s">
        <v>1827</v>
      </c>
      <c r="AG550" s="176">
        <v>43164.457592592589</v>
      </c>
      <c r="AH550" s="176">
        <v>43164.457662037035</v>
      </c>
      <c r="AI550" s="175"/>
      <c r="AJ550" s="175"/>
      <c r="AK550" s="178">
        <v>1</v>
      </c>
    </row>
    <row r="551" spans="1:37" x14ac:dyDescent="0.25">
      <c r="A551" s="174" t="s">
        <v>484</v>
      </c>
      <c r="B551" s="174" t="s">
        <v>1830</v>
      </c>
      <c r="C551" s="175"/>
      <c r="D551" s="174" t="s">
        <v>478</v>
      </c>
      <c r="E551" s="174" t="s">
        <v>1831</v>
      </c>
      <c r="F551" s="176">
        <v>43164</v>
      </c>
      <c r="G551" s="176">
        <v>43166</v>
      </c>
      <c r="H551" s="174" t="s">
        <v>1832</v>
      </c>
      <c r="I551" s="175" t="e">
        <f>VLOOKUP($H551,Mapping!$A:$A,1,0)</f>
        <v>#N/A</v>
      </c>
      <c r="J551" s="179" t="s">
        <v>486</v>
      </c>
      <c r="K551" s="174" t="s">
        <v>1833</v>
      </c>
      <c r="L551" s="178">
        <v>2000000</v>
      </c>
      <c r="M551" s="178">
        <v>96.75</v>
      </c>
      <c r="N551" s="178">
        <v>10.6237115378</v>
      </c>
      <c r="O551" s="178">
        <v>-1947069.4444444401</v>
      </c>
      <c r="P551" s="174" t="s">
        <v>337</v>
      </c>
      <c r="Q551" s="174" t="s">
        <v>1834</v>
      </c>
      <c r="R551" s="174" t="s">
        <v>22</v>
      </c>
      <c r="S551" s="174" t="s">
        <v>129</v>
      </c>
      <c r="T551" s="175" t="str">
        <f>VLOOKUP($S551,Mapping!$C:$C,1,0)</f>
        <v>Omgeo</v>
      </c>
      <c r="U551" s="174" t="s">
        <v>1835</v>
      </c>
      <c r="V551" s="174" t="s">
        <v>132</v>
      </c>
      <c r="W551" s="175"/>
      <c r="X551" s="175"/>
      <c r="Y551" s="174" t="s">
        <v>747</v>
      </c>
      <c r="Z551" s="174" t="s">
        <v>1836</v>
      </c>
      <c r="AA551" s="174" t="s">
        <v>22</v>
      </c>
      <c r="AB551" s="174"/>
      <c r="AC551" s="175"/>
      <c r="AD551" s="174" t="s">
        <v>472</v>
      </c>
      <c r="AE551" s="176">
        <v>43164.428738425922</v>
      </c>
      <c r="AF551" s="174" t="s">
        <v>1835</v>
      </c>
      <c r="AG551" s="176">
        <v>43164.422210648147</v>
      </c>
      <c r="AH551" s="176">
        <v>43164.422268518516</v>
      </c>
      <c r="AI551" s="175"/>
      <c r="AJ551" s="175"/>
      <c r="AK551" s="178">
        <v>1</v>
      </c>
    </row>
    <row r="552" spans="1:37" x14ac:dyDescent="0.25">
      <c r="A552" s="174" t="s">
        <v>651</v>
      </c>
      <c r="B552" s="174" t="s">
        <v>1837</v>
      </c>
      <c r="C552" s="175"/>
      <c r="D552" s="174" t="s">
        <v>653</v>
      </c>
      <c r="E552" s="174" t="s">
        <v>647</v>
      </c>
      <c r="F552" s="176">
        <v>43164</v>
      </c>
      <c r="G552" s="176">
        <v>43172</v>
      </c>
      <c r="H552" s="174" t="s">
        <v>1832</v>
      </c>
      <c r="I552" s="175" t="e">
        <f>VLOOKUP($H552,Mapping!$A:$A,1,0)</f>
        <v>#N/A</v>
      </c>
      <c r="J552" s="177" t="s">
        <v>466</v>
      </c>
      <c r="K552" s="174" t="s">
        <v>787</v>
      </c>
      <c r="L552" s="178">
        <v>13000000</v>
      </c>
      <c r="M552" s="178">
        <v>96.62890625</v>
      </c>
      <c r="N552" s="178">
        <v>3.1636679019999998</v>
      </c>
      <c r="O552" s="178">
        <v>12561757.8125</v>
      </c>
      <c r="P552" s="174" t="s">
        <v>337</v>
      </c>
      <c r="Q552" s="174" t="s">
        <v>788</v>
      </c>
      <c r="R552" s="174" t="s">
        <v>23</v>
      </c>
      <c r="S552" s="174" t="s">
        <v>133</v>
      </c>
      <c r="T552" s="175" t="str">
        <f>VLOOKUP($S552,Mapping!$C:$C,1,0)</f>
        <v>Oasys</v>
      </c>
      <c r="U552" s="175"/>
      <c r="V552" s="175"/>
      <c r="W552" s="175"/>
      <c r="X552" s="175"/>
      <c r="Y552" s="174" t="s">
        <v>651</v>
      </c>
      <c r="Z552" s="174" t="s">
        <v>650</v>
      </c>
      <c r="AA552" s="174" t="s">
        <v>24</v>
      </c>
      <c r="AB552" s="174"/>
      <c r="AC552" s="174" t="s">
        <v>1838</v>
      </c>
      <c r="AD552" s="174" t="s">
        <v>483</v>
      </c>
      <c r="AE552" s="176">
        <v>43164.588425925926</v>
      </c>
      <c r="AF552" s="175"/>
      <c r="AG552" s="176">
        <v>43164.587673611109</v>
      </c>
      <c r="AH552" s="176">
        <v>43164.680115740739</v>
      </c>
      <c r="AI552" s="175"/>
      <c r="AJ552" s="175"/>
      <c r="AK552" s="178">
        <v>1</v>
      </c>
    </row>
    <row r="553" spans="1:37" x14ac:dyDescent="0.25">
      <c r="A553" s="174" t="s">
        <v>461</v>
      </c>
      <c r="B553" s="174" t="s">
        <v>1847</v>
      </c>
      <c r="C553" s="175"/>
      <c r="D553" s="174" t="s">
        <v>566</v>
      </c>
      <c r="E553" s="174" t="s">
        <v>753</v>
      </c>
      <c r="F553" s="176">
        <v>43164</v>
      </c>
      <c r="G553" s="176">
        <v>43166</v>
      </c>
      <c r="H553" s="174" t="s">
        <v>1840</v>
      </c>
      <c r="I553" s="175" t="e">
        <f>VLOOKUP($H553,Mapping!$A:$A,1,0)</f>
        <v>#N/A</v>
      </c>
      <c r="J553" s="177" t="s">
        <v>466</v>
      </c>
      <c r="K553" s="174" t="s">
        <v>1848</v>
      </c>
      <c r="L553" s="178">
        <v>18000000</v>
      </c>
      <c r="M553" s="178">
        <v>101.13209999999999</v>
      </c>
      <c r="N553" s="178">
        <v>-0.63404177859999999</v>
      </c>
      <c r="O553" s="178">
        <v>18203778</v>
      </c>
      <c r="P553" s="174" t="s">
        <v>386</v>
      </c>
      <c r="Q553" s="174" t="s">
        <v>1849</v>
      </c>
      <c r="R553" s="174" t="s">
        <v>22</v>
      </c>
      <c r="S553" s="174" t="s">
        <v>129</v>
      </c>
      <c r="T553" s="175" t="str">
        <f>VLOOKUP($S553,Mapping!$C:$C,1,0)</f>
        <v>Omgeo</v>
      </c>
      <c r="U553" s="174" t="s">
        <v>1850</v>
      </c>
      <c r="V553" s="174" t="s">
        <v>132</v>
      </c>
      <c r="W553" s="175"/>
      <c r="X553" s="175"/>
      <c r="Y553" s="174" t="s">
        <v>575</v>
      </c>
      <c r="Z553" s="174" t="s">
        <v>757</v>
      </c>
      <c r="AA553" s="174" t="s">
        <v>22</v>
      </c>
      <c r="AB553" s="174"/>
      <c r="AC553" s="175"/>
      <c r="AD553" s="174" t="s">
        <v>512</v>
      </c>
      <c r="AE553" s="176">
        <v>43165.202789351853</v>
      </c>
      <c r="AF553" s="174" t="s">
        <v>1850</v>
      </c>
      <c r="AG553" s="176">
        <v>43165.201597222222</v>
      </c>
      <c r="AH553" s="176">
        <v>43165.201643518521</v>
      </c>
      <c r="AI553" s="175"/>
      <c r="AJ553" s="175"/>
      <c r="AK553" s="178">
        <v>1</v>
      </c>
    </row>
    <row r="554" spans="1:37" x14ac:dyDescent="0.25">
      <c r="A554" s="174" t="s">
        <v>461</v>
      </c>
      <c r="B554" s="174" t="s">
        <v>1851</v>
      </c>
      <c r="C554" s="175"/>
      <c r="D554" s="174" t="s">
        <v>566</v>
      </c>
      <c r="E554" s="174" t="s">
        <v>708</v>
      </c>
      <c r="F554" s="176">
        <v>43164</v>
      </c>
      <c r="G554" s="176">
        <v>43166</v>
      </c>
      <c r="H554" s="174" t="s">
        <v>1840</v>
      </c>
      <c r="I554" s="175" t="e">
        <f>VLOOKUP($H554,Mapping!$A:$A,1,0)</f>
        <v>#N/A</v>
      </c>
      <c r="J554" s="177" t="s">
        <v>466</v>
      </c>
      <c r="K554" s="174" t="s">
        <v>1841</v>
      </c>
      <c r="L554" s="178">
        <v>50000000</v>
      </c>
      <c r="M554" s="178">
        <v>107.425</v>
      </c>
      <c r="N554" s="178">
        <v>-0.1448786014</v>
      </c>
      <c r="O554" s="178">
        <v>54090582.19178082</v>
      </c>
      <c r="P554" s="174" t="s">
        <v>386</v>
      </c>
      <c r="Q554" s="174" t="s">
        <v>1842</v>
      </c>
      <c r="R554" s="174" t="s">
        <v>23</v>
      </c>
      <c r="S554" s="174" t="s">
        <v>129</v>
      </c>
      <c r="T554" s="175" t="str">
        <f>VLOOKUP($S554,Mapping!$C:$C,1,0)</f>
        <v>Omgeo</v>
      </c>
      <c r="U554" s="174" t="s">
        <v>1852</v>
      </c>
      <c r="V554" s="174" t="s">
        <v>1853</v>
      </c>
      <c r="W554" s="175"/>
      <c r="X554" s="175"/>
      <c r="Y554" s="174" t="s">
        <v>575</v>
      </c>
      <c r="Z554" s="174" t="s">
        <v>712</v>
      </c>
      <c r="AA554" s="174" t="s">
        <v>25</v>
      </c>
      <c r="AB554" s="174"/>
      <c r="AC554" s="174" t="s">
        <v>1854</v>
      </c>
      <c r="AD554" s="174" t="s">
        <v>483</v>
      </c>
      <c r="AE554" s="176">
        <v>43164.493368055555</v>
      </c>
      <c r="AF554" s="174" t="s">
        <v>1852</v>
      </c>
      <c r="AG554" s="176">
        <v>43164.528796296298</v>
      </c>
      <c r="AH554" s="176">
        <v>43164.528796296298</v>
      </c>
      <c r="AI554" s="175"/>
      <c r="AJ554" s="175"/>
      <c r="AK554" s="178">
        <v>1</v>
      </c>
    </row>
    <row r="555" spans="1:37" x14ac:dyDescent="0.25">
      <c r="A555" s="174" t="s">
        <v>461</v>
      </c>
      <c r="B555" s="174" t="s">
        <v>1855</v>
      </c>
      <c r="C555" s="175"/>
      <c r="D555" s="174" t="s">
        <v>566</v>
      </c>
      <c r="E555" s="174" t="s">
        <v>708</v>
      </c>
      <c r="F555" s="176">
        <v>43164</v>
      </c>
      <c r="G555" s="176">
        <v>43166</v>
      </c>
      <c r="H555" s="174" t="s">
        <v>1840</v>
      </c>
      <c r="I555" s="175" t="e">
        <f>VLOOKUP($H555,Mapping!$A:$A,1,0)</f>
        <v>#N/A</v>
      </c>
      <c r="J555" s="177" t="s">
        <v>466</v>
      </c>
      <c r="K555" s="174" t="s">
        <v>1841</v>
      </c>
      <c r="L555" s="178">
        <v>50000000</v>
      </c>
      <c r="M555" s="178">
        <v>107.425</v>
      </c>
      <c r="N555" s="178">
        <v>-0.1448786014</v>
      </c>
      <c r="O555" s="178">
        <v>54090582.19178082</v>
      </c>
      <c r="P555" s="174" t="s">
        <v>386</v>
      </c>
      <c r="Q555" s="174" t="s">
        <v>1842</v>
      </c>
      <c r="R555" s="174" t="s">
        <v>23</v>
      </c>
      <c r="S555" s="174" t="s">
        <v>129</v>
      </c>
      <c r="T555" s="175" t="str">
        <f>VLOOKUP($S555,Mapping!$C:$C,1,0)</f>
        <v>Omgeo</v>
      </c>
      <c r="U555" s="174" t="s">
        <v>1856</v>
      </c>
      <c r="V555" s="174" t="s">
        <v>1853</v>
      </c>
      <c r="W555" s="175"/>
      <c r="X555" s="175"/>
      <c r="Y555" s="174" t="s">
        <v>575</v>
      </c>
      <c r="Z555" s="174" t="s">
        <v>712</v>
      </c>
      <c r="AA555" s="174" t="s">
        <v>25</v>
      </c>
      <c r="AB555" s="174"/>
      <c r="AC555" s="174" t="s">
        <v>1857</v>
      </c>
      <c r="AD555" s="174" t="s">
        <v>483</v>
      </c>
      <c r="AE555" s="176">
        <v>43164.493368055555</v>
      </c>
      <c r="AF555" s="174" t="s">
        <v>1856</v>
      </c>
      <c r="AG555" s="176">
        <v>43164.52915509259</v>
      </c>
      <c r="AH555" s="176">
        <v>43164.52915509259</v>
      </c>
      <c r="AI555" s="175"/>
      <c r="AJ555" s="175"/>
      <c r="AK555" s="178">
        <v>1</v>
      </c>
    </row>
    <row r="556" spans="1:37" x14ac:dyDescent="0.25">
      <c r="A556" s="174" t="s">
        <v>461</v>
      </c>
      <c r="B556" s="174" t="s">
        <v>1858</v>
      </c>
      <c r="C556" s="175"/>
      <c r="D556" s="174" t="s">
        <v>566</v>
      </c>
      <c r="E556" s="174" t="s">
        <v>708</v>
      </c>
      <c r="F556" s="176">
        <v>43164</v>
      </c>
      <c r="G556" s="176">
        <v>43166</v>
      </c>
      <c r="H556" s="174" t="s">
        <v>1840</v>
      </c>
      <c r="I556" s="175" t="e">
        <f>VLOOKUP($H556,Mapping!$A:$A,1,0)</f>
        <v>#N/A</v>
      </c>
      <c r="J556" s="177" t="s">
        <v>466</v>
      </c>
      <c r="K556" s="174" t="s">
        <v>1841</v>
      </c>
      <c r="L556" s="178">
        <v>50000000</v>
      </c>
      <c r="M556" s="178">
        <v>107.425</v>
      </c>
      <c r="N556" s="178">
        <v>-0.1448786014</v>
      </c>
      <c r="O556" s="178">
        <v>54090582.19178082</v>
      </c>
      <c r="P556" s="174" t="s">
        <v>386</v>
      </c>
      <c r="Q556" s="174" t="s">
        <v>1842</v>
      </c>
      <c r="R556" s="174" t="s">
        <v>23</v>
      </c>
      <c r="S556" s="174" t="s">
        <v>129</v>
      </c>
      <c r="T556" s="175" t="str">
        <f>VLOOKUP($S556,Mapping!$C:$C,1,0)</f>
        <v>Omgeo</v>
      </c>
      <c r="U556" s="174" t="s">
        <v>1859</v>
      </c>
      <c r="V556" s="174" t="s">
        <v>1853</v>
      </c>
      <c r="W556" s="175"/>
      <c r="X556" s="175"/>
      <c r="Y556" s="174" t="s">
        <v>575</v>
      </c>
      <c r="Z556" s="174" t="s">
        <v>712</v>
      </c>
      <c r="AA556" s="174" t="s">
        <v>25</v>
      </c>
      <c r="AB556" s="174"/>
      <c r="AC556" s="174" t="s">
        <v>1857</v>
      </c>
      <c r="AD556" s="174" t="s">
        <v>483</v>
      </c>
      <c r="AE556" s="176">
        <v>43164.493368055555</v>
      </c>
      <c r="AF556" s="174" t="s">
        <v>1859</v>
      </c>
      <c r="AG556" s="176">
        <v>43164.529166666667</v>
      </c>
      <c r="AH556" s="176">
        <v>43164.529166666667</v>
      </c>
      <c r="AI556" s="175"/>
      <c r="AJ556" s="175"/>
      <c r="AK556" s="178">
        <v>1</v>
      </c>
    </row>
    <row r="557" spans="1:37" x14ac:dyDescent="0.25">
      <c r="A557" s="174" t="s">
        <v>461</v>
      </c>
      <c r="B557" s="174" t="s">
        <v>1860</v>
      </c>
      <c r="C557" s="175"/>
      <c r="D557" s="174" t="s">
        <v>478</v>
      </c>
      <c r="E557" s="174" t="s">
        <v>582</v>
      </c>
      <c r="F557" s="176">
        <v>43164</v>
      </c>
      <c r="G557" s="176">
        <v>43165</v>
      </c>
      <c r="H557" s="174" t="s">
        <v>1840</v>
      </c>
      <c r="I557" s="175" t="e">
        <f>VLOOKUP($H557,Mapping!$A:$A,1,0)</f>
        <v>#N/A</v>
      </c>
      <c r="J557" s="179" t="s">
        <v>486</v>
      </c>
      <c r="K557" s="174" t="s">
        <v>644</v>
      </c>
      <c r="L557" s="178">
        <v>4550000</v>
      </c>
      <c r="M557" s="178">
        <v>97.1015625</v>
      </c>
      <c r="N557" s="178">
        <v>3.1501601561000001</v>
      </c>
      <c r="O557" s="178">
        <v>-4425285.4583908804</v>
      </c>
      <c r="P557" s="174" t="s">
        <v>337</v>
      </c>
      <c r="Q557" s="174" t="s">
        <v>645</v>
      </c>
      <c r="R557" s="174" t="s">
        <v>23</v>
      </c>
      <c r="S557" s="174" t="s">
        <v>129</v>
      </c>
      <c r="T557" s="175" t="str">
        <f>VLOOKUP($S557,Mapping!$C:$C,1,0)</f>
        <v>Omgeo</v>
      </c>
      <c r="U557" s="175"/>
      <c r="V557" s="175"/>
      <c r="W557" s="175"/>
      <c r="X557" s="175"/>
      <c r="Y557" s="174" t="s">
        <v>469</v>
      </c>
      <c r="Z557" s="174" t="s">
        <v>586</v>
      </c>
      <c r="AA557" s="174" t="s">
        <v>24</v>
      </c>
      <c r="AB557" s="174"/>
      <c r="AC557" s="174" t="s">
        <v>1861</v>
      </c>
      <c r="AD557" s="174" t="s">
        <v>483</v>
      </c>
      <c r="AE557" s="176">
        <v>43164.63009259259</v>
      </c>
      <c r="AF557" s="175"/>
      <c r="AG557" s="176">
        <v>43164.741990740738</v>
      </c>
      <c r="AH557" s="176">
        <v>43164.741990740738</v>
      </c>
      <c r="AI557" s="175"/>
      <c r="AJ557" s="175"/>
      <c r="AK557" s="178">
        <v>1</v>
      </c>
    </row>
    <row r="558" spans="1:37" x14ac:dyDescent="0.25">
      <c r="A558" s="174" t="s">
        <v>461</v>
      </c>
      <c r="B558" s="174" t="s">
        <v>1862</v>
      </c>
      <c r="C558" s="175"/>
      <c r="D558" s="174" t="s">
        <v>478</v>
      </c>
      <c r="E558" s="174" t="s">
        <v>1201</v>
      </c>
      <c r="F558" s="176">
        <v>43164</v>
      </c>
      <c r="G558" s="176">
        <v>43165</v>
      </c>
      <c r="H558" s="174" t="s">
        <v>1863</v>
      </c>
      <c r="I558" s="175" t="e">
        <f>VLOOKUP($H558,Mapping!$A:$A,1,0)</f>
        <v>#N/A</v>
      </c>
      <c r="J558" s="179" t="s">
        <v>486</v>
      </c>
      <c r="K558" s="174" t="s">
        <v>475</v>
      </c>
      <c r="L558" s="178">
        <v>7400000</v>
      </c>
      <c r="M558" s="178">
        <v>99.320312000000001</v>
      </c>
      <c r="N558" s="178">
        <v>2.8287649275</v>
      </c>
      <c r="O558" s="178">
        <v>-7360384.0272265198</v>
      </c>
      <c r="P558" s="174" t="s">
        <v>337</v>
      </c>
      <c r="Q558" s="174" t="s">
        <v>476</v>
      </c>
      <c r="R558" s="174" t="s">
        <v>23</v>
      </c>
      <c r="S558" s="174" t="s">
        <v>130</v>
      </c>
      <c r="T558" s="175" t="str">
        <f>VLOOKUP($S558,Mapping!$C:$C,1,0)</f>
        <v>Manual</v>
      </c>
      <c r="U558" s="175"/>
      <c r="V558" s="175"/>
      <c r="W558" s="175"/>
      <c r="X558" s="175"/>
      <c r="Y558" s="174" t="s">
        <v>469</v>
      </c>
      <c r="Z558" s="174" t="s">
        <v>1206</v>
      </c>
      <c r="AA558" s="174" t="s">
        <v>24</v>
      </c>
      <c r="AB558" s="174"/>
      <c r="AC558" s="174" t="s">
        <v>1864</v>
      </c>
      <c r="AD558" s="174" t="s">
        <v>483</v>
      </c>
      <c r="AE558" s="175"/>
      <c r="AF558" s="175"/>
      <c r="AG558" s="176">
        <v>43164.465497685182</v>
      </c>
      <c r="AH558" s="176">
        <v>43164.465497685182</v>
      </c>
      <c r="AI558" s="175"/>
      <c r="AJ558" s="175"/>
      <c r="AK558" s="178">
        <v>1</v>
      </c>
    </row>
    <row r="559" spans="1:37" x14ac:dyDescent="0.25">
      <c r="A559" s="174" t="s">
        <v>484</v>
      </c>
      <c r="B559" s="174" t="s">
        <v>1865</v>
      </c>
      <c r="C559" s="175"/>
      <c r="D559" s="174" t="s">
        <v>478</v>
      </c>
      <c r="E559" s="174" t="s">
        <v>1201</v>
      </c>
      <c r="F559" s="176">
        <v>43164</v>
      </c>
      <c r="G559" s="176">
        <v>43166</v>
      </c>
      <c r="H559" s="174" t="s">
        <v>1863</v>
      </c>
      <c r="I559" s="175" t="e">
        <f>VLOOKUP($H559,Mapping!$A:$A,1,0)</f>
        <v>#N/A</v>
      </c>
      <c r="J559" s="177" t="s">
        <v>466</v>
      </c>
      <c r="K559" s="174" t="s">
        <v>1866</v>
      </c>
      <c r="L559" s="178">
        <v>8217000</v>
      </c>
      <c r="M559" s="178">
        <v>96.103999999999999</v>
      </c>
      <c r="N559" s="178">
        <v>3.4440147944000001</v>
      </c>
      <c r="O559" s="178">
        <v>7952079.3550000004</v>
      </c>
      <c r="P559" s="174" t="s">
        <v>337</v>
      </c>
      <c r="Q559" s="174" t="s">
        <v>1867</v>
      </c>
      <c r="R559" s="174" t="s">
        <v>23</v>
      </c>
      <c r="S559" s="174" t="s">
        <v>130</v>
      </c>
      <c r="T559" s="175" t="str">
        <f>VLOOKUP($S559,Mapping!$C:$C,1,0)</f>
        <v>Manual</v>
      </c>
      <c r="U559" s="175"/>
      <c r="V559" s="175"/>
      <c r="W559" s="175"/>
      <c r="X559" s="175"/>
      <c r="Y559" s="174" t="s">
        <v>489</v>
      </c>
      <c r="Z559" s="174" t="s">
        <v>1206</v>
      </c>
      <c r="AA559" s="174" t="s">
        <v>24</v>
      </c>
      <c r="AB559" s="174"/>
      <c r="AC559" s="174" t="s">
        <v>1864</v>
      </c>
      <c r="AD559" s="174" t="s">
        <v>483</v>
      </c>
      <c r="AE559" s="175"/>
      <c r="AF559" s="175"/>
      <c r="AG559" s="176">
        <v>43164.465509259258</v>
      </c>
      <c r="AH559" s="176">
        <v>43164.465509259258</v>
      </c>
      <c r="AI559" s="175"/>
      <c r="AJ559" s="175"/>
      <c r="AK559" s="178">
        <v>1</v>
      </c>
    </row>
    <row r="560" spans="1:37" x14ac:dyDescent="0.25">
      <c r="A560" s="174" t="s">
        <v>484</v>
      </c>
      <c r="B560" s="174" t="s">
        <v>1868</v>
      </c>
      <c r="C560" s="175"/>
      <c r="D560" s="174" t="s">
        <v>478</v>
      </c>
      <c r="E560" s="174" t="s">
        <v>903</v>
      </c>
      <c r="F560" s="176">
        <v>43164</v>
      </c>
      <c r="G560" s="176">
        <v>43166</v>
      </c>
      <c r="H560" s="174" t="s">
        <v>1863</v>
      </c>
      <c r="I560" s="175" t="e">
        <f>VLOOKUP($H560,Mapping!$A:$A,1,0)</f>
        <v>#N/A</v>
      </c>
      <c r="J560" s="177" t="s">
        <v>466</v>
      </c>
      <c r="K560" s="174" t="s">
        <v>1669</v>
      </c>
      <c r="L560" s="178">
        <v>2000000</v>
      </c>
      <c r="M560" s="178">
        <v>89.5625</v>
      </c>
      <c r="N560" s="178">
        <v>8.8441469086000009</v>
      </c>
      <c r="O560" s="178">
        <v>1845763.8888888902</v>
      </c>
      <c r="P560" s="174" t="s">
        <v>337</v>
      </c>
      <c r="Q560" s="174" t="s">
        <v>1670</v>
      </c>
      <c r="R560" s="174" t="s">
        <v>23</v>
      </c>
      <c r="S560" s="174" t="s">
        <v>130</v>
      </c>
      <c r="T560" s="175" t="str">
        <f>VLOOKUP($S560,Mapping!$C:$C,1,0)</f>
        <v>Manual</v>
      </c>
      <c r="U560" s="175"/>
      <c r="V560" s="175"/>
      <c r="W560" s="175"/>
      <c r="X560" s="175"/>
      <c r="Y560" s="174" t="s">
        <v>489</v>
      </c>
      <c r="Z560" s="174" t="s">
        <v>906</v>
      </c>
      <c r="AA560" s="174" t="s">
        <v>24</v>
      </c>
      <c r="AB560" s="174"/>
      <c r="AC560" s="174" t="s">
        <v>1864</v>
      </c>
      <c r="AD560" s="174" t="s">
        <v>483</v>
      </c>
      <c r="AE560" s="175"/>
      <c r="AF560" s="175"/>
      <c r="AG560" s="176">
        <v>43164.465520833335</v>
      </c>
      <c r="AH560" s="176">
        <v>43164.465520833335</v>
      </c>
      <c r="AI560" s="175"/>
      <c r="AJ560" s="175"/>
      <c r="AK560" s="178">
        <v>1</v>
      </c>
    </row>
    <row r="561" spans="1:37" x14ac:dyDescent="0.25">
      <c r="A561" s="174" t="s">
        <v>484</v>
      </c>
      <c r="B561" s="174" t="s">
        <v>1870</v>
      </c>
      <c r="C561" s="175"/>
      <c r="D561" s="174" t="s">
        <v>478</v>
      </c>
      <c r="E561" s="174" t="s">
        <v>768</v>
      </c>
      <c r="F561" s="176">
        <v>43164</v>
      </c>
      <c r="G561" s="176">
        <v>43166</v>
      </c>
      <c r="H561" s="174" t="s">
        <v>1863</v>
      </c>
      <c r="I561" s="175" t="e">
        <f>VLOOKUP($H561,Mapping!$A:$A,1,0)</f>
        <v>#N/A</v>
      </c>
      <c r="J561" s="177" t="s">
        <v>466</v>
      </c>
      <c r="K561" s="174" t="s">
        <v>1457</v>
      </c>
      <c r="L561" s="178">
        <v>3605000</v>
      </c>
      <c r="M561" s="178">
        <v>93.46</v>
      </c>
      <c r="N561" s="178">
        <v>4.9390136515999998</v>
      </c>
      <c r="O561" s="178">
        <v>3447119.4255555598</v>
      </c>
      <c r="P561" s="174" t="s">
        <v>337</v>
      </c>
      <c r="Q561" s="174" t="s">
        <v>1458</v>
      </c>
      <c r="R561" s="174" t="s">
        <v>23</v>
      </c>
      <c r="S561" s="174" t="s">
        <v>130</v>
      </c>
      <c r="T561" s="175" t="str">
        <f>VLOOKUP($S561,Mapping!$C:$C,1,0)</f>
        <v>Manual</v>
      </c>
      <c r="U561" s="175"/>
      <c r="V561" s="175"/>
      <c r="W561" s="175"/>
      <c r="X561" s="175"/>
      <c r="Y561" s="174" t="s">
        <v>489</v>
      </c>
      <c r="Z561" s="174" t="s">
        <v>770</v>
      </c>
      <c r="AA561" s="174" t="s">
        <v>24</v>
      </c>
      <c r="AB561" s="174"/>
      <c r="AC561" s="174" t="s">
        <v>1864</v>
      </c>
      <c r="AD561" s="174" t="s">
        <v>483</v>
      </c>
      <c r="AE561" s="175"/>
      <c r="AF561" s="175"/>
      <c r="AG561" s="176">
        <v>43164.663460648146</v>
      </c>
      <c r="AH561" s="176">
        <v>43164.663460648146</v>
      </c>
      <c r="AI561" s="175"/>
      <c r="AJ561" s="175"/>
      <c r="AK561" s="178">
        <v>1</v>
      </c>
    </row>
    <row r="562" spans="1:37" x14ac:dyDescent="0.25">
      <c r="A562" s="174" t="s">
        <v>461</v>
      </c>
      <c r="B562" s="174" t="s">
        <v>1871</v>
      </c>
      <c r="C562" s="175"/>
      <c r="D562" s="174" t="s">
        <v>478</v>
      </c>
      <c r="E562" s="174" t="s">
        <v>768</v>
      </c>
      <c r="F562" s="176">
        <v>43164</v>
      </c>
      <c r="G562" s="176">
        <v>43165</v>
      </c>
      <c r="H562" s="174" t="s">
        <v>1863</v>
      </c>
      <c r="I562" s="175" t="e">
        <f>VLOOKUP($H562,Mapping!$A:$A,1,0)</f>
        <v>#N/A</v>
      </c>
      <c r="J562" s="179" t="s">
        <v>486</v>
      </c>
      <c r="K562" s="174" t="s">
        <v>543</v>
      </c>
      <c r="L562" s="178">
        <v>3100000</v>
      </c>
      <c r="M562" s="178">
        <v>91.96875</v>
      </c>
      <c r="N562" s="178">
        <v>3.1692644617000001</v>
      </c>
      <c r="O562" s="178">
        <v>-2877171.44337017</v>
      </c>
      <c r="P562" s="174" t="s">
        <v>337</v>
      </c>
      <c r="Q562" s="174" t="s">
        <v>544</v>
      </c>
      <c r="R562" s="174" t="s">
        <v>23</v>
      </c>
      <c r="S562" s="174" t="s">
        <v>130</v>
      </c>
      <c r="T562" s="175" t="str">
        <f>VLOOKUP($S562,Mapping!$C:$C,1,0)</f>
        <v>Manual</v>
      </c>
      <c r="U562" s="175"/>
      <c r="V562" s="175"/>
      <c r="W562" s="175"/>
      <c r="X562" s="175"/>
      <c r="Y562" s="174" t="s">
        <v>469</v>
      </c>
      <c r="Z562" s="174" t="s">
        <v>770</v>
      </c>
      <c r="AA562" s="174" t="s">
        <v>24</v>
      </c>
      <c r="AB562" s="174"/>
      <c r="AC562" s="174" t="s">
        <v>1864</v>
      </c>
      <c r="AD562" s="174" t="s">
        <v>483</v>
      </c>
      <c r="AE562" s="175"/>
      <c r="AF562" s="175"/>
      <c r="AG562" s="176">
        <v>43164.663472222222</v>
      </c>
      <c r="AH562" s="176">
        <v>43164.663472222222</v>
      </c>
      <c r="AI562" s="175"/>
      <c r="AJ562" s="175"/>
      <c r="AK562" s="178">
        <v>1</v>
      </c>
    </row>
    <row r="563" spans="1:37" x14ac:dyDescent="0.25">
      <c r="A563" s="174" t="s">
        <v>461</v>
      </c>
      <c r="B563" s="174" t="s">
        <v>1872</v>
      </c>
      <c r="C563" s="175"/>
      <c r="D563" s="174" t="s">
        <v>463</v>
      </c>
      <c r="E563" s="174" t="s">
        <v>506</v>
      </c>
      <c r="F563" s="176">
        <v>43164</v>
      </c>
      <c r="G563" s="176">
        <v>43165</v>
      </c>
      <c r="H563" s="174" t="s">
        <v>1863</v>
      </c>
      <c r="I563" s="175" t="e">
        <f>VLOOKUP($H563,Mapping!$A:$A,1,0)</f>
        <v>#N/A</v>
      </c>
      <c r="J563" s="179" t="s">
        <v>486</v>
      </c>
      <c r="K563" s="174" t="s">
        <v>871</v>
      </c>
      <c r="L563" s="178">
        <v>1000000</v>
      </c>
      <c r="M563" s="178">
        <v>100.0625</v>
      </c>
      <c r="N563" s="178">
        <v>2.2175195864999999</v>
      </c>
      <c r="O563" s="178">
        <v>-1000991.8478260899</v>
      </c>
      <c r="P563" s="174" t="s">
        <v>337</v>
      </c>
      <c r="Q563" s="174" t="s">
        <v>872</v>
      </c>
      <c r="R563" s="174" t="s">
        <v>23</v>
      </c>
      <c r="S563" s="174" t="s">
        <v>130</v>
      </c>
      <c r="T563" s="175" t="str">
        <f>VLOOKUP($S563,Mapping!$C:$C,1,0)</f>
        <v>Manual</v>
      </c>
      <c r="U563" s="175"/>
      <c r="V563" s="175"/>
      <c r="W563" s="175"/>
      <c r="X563" s="175"/>
      <c r="Y563" s="174" t="s">
        <v>469</v>
      </c>
      <c r="Z563" s="174" t="s">
        <v>511</v>
      </c>
      <c r="AA563" s="174" t="s">
        <v>24</v>
      </c>
      <c r="AB563" s="174"/>
      <c r="AC563" s="174" t="s">
        <v>794</v>
      </c>
      <c r="AD563" s="174" t="s">
        <v>483</v>
      </c>
      <c r="AE563" s="175"/>
      <c r="AF563" s="175"/>
      <c r="AG563" s="176">
        <v>43164.71837962963</v>
      </c>
      <c r="AH563" s="176">
        <v>43164.71837962963</v>
      </c>
      <c r="AI563" s="174" t="s">
        <v>473</v>
      </c>
      <c r="AJ563" s="175"/>
      <c r="AK563" s="178">
        <v>1</v>
      </c>
    </row>
    <row r="564" spans="1:37" x14ac:dyDescent="0.25">
      <c r="A564" s="174" t="s">
        <v>461</v>
      </c>
      <c r="B564" s="174" t="s">
        <v>1873</v>
      </c>
      <c r="C564" s="175"/>
      <c r="D564" s="174" t="s">
        <v>463</v>
      </c>
      <c r="E564" s="174" t="s">
        <v>506</v>
      </c>
      <c r="F564" s="176">
        <v>43164</v>
      </c>
      <c r="G564" s="176">
        <v>43165</v>
      </c>
      <c r="H564" s="174" t="s">
        <v>1863</v>
      </c>
      <c r="I564" s="175" t="e">
        <f>VLOOKUP($H564,Mapping!$A:$A,1,0)</f>
        <v>#N/A</v>
      </c>
      <c r="J564" s="179" t="s">
        <v>486</v>
      </c>
      <c r="K564" s="174" t="s">
        <v>871</v>
      </c>
      <c r="L564" s="178">
        <v>2000000</v>
      </c>
      <c r="M564" s="178">
        <v>100.0625</v>
      </c>
      <c r="N564" s="178">
        <v>2.2175195864999999</v>
      </c>
      <c r="O564" s="178">
        <v>-2001983.6956521699</v>
      </c>
      <c r="P564" s="174" t="s">
        <v>337</v>
      </c>
      <c r="Q564" s="174" t="s">
        <v>872</v>
      </c>
      <c r="R564" s="174" t="s">
        <v>23</v>
      </c>
      <c r="S564" s="174" t="s">
        <v>130</v>
      </c>
      <c r="T564" s="175" t="str">
        <f>VLOOKUP($S564,Mapping!$C:$C,1,0)</f>
        <v>Manual</v>
      </c>
      <c r="U564" s="175"/>
      <c r="V564" s="175"/>
      <c r="W564" s="175"/>
      <c r="X564" s="175"/>
      <c r="Y564" s="174" t="s">
        <v>469</v>
      </c>
      <c r="Z564" s="174" t="s">
        <v>511</v>
      </c>
      <c r="AA564" s="174" t="s">
        <v>24</v>
      </c>
      <c r="AB564" s="174"/>
      <c r="AC564" s="174" t="s">
        <v>794</v>
      </c>
      <c r="AD564" s="174" t="s">
        <v>483</v>
      </c>
      <c r="AE564" s="175"/>
      <c r="AF564" s="175"/>
      <c r="AG564" s="176">
        <v>43164.71837962963</v>
      </c>
      <c r="AH564" s="176">
        <v>43164.71837962963</v>
      </c>
      <c r="AI564" s="174" t="s">
        <v>473</v>
      </c>
      <c r="AJ564" s="175"/>
      <c r="AK564" s="178">
        <v>1</v>
      </c>
    </row>
    <row r="565" spans="1:37" x14ac:dyDescent="0.25">
      <c r="A565" s="174" t="s">
        <v>461</v>
      </c>
      <c r="B565" s="174" t="s">
        <v>1874</v>
      </c>
      <c r="C565" s="175"/>
      <c r="D565" s="174" t="s">
        <v>463</v>
      </c>
      <c r="E565" s="174" t="s">
        <v>506</v>
      </c>
      <c r="F565" s="176">
        <v>43164</v>
      </c>
      <c r="G565" s="176">
        <v>43165</v>
      </c>
      <c r="H565" s="174" t="s">
        <v>1863</v>
      </c>
      <c r="I565" s="175" t="e">
        <f>VLOOKUP($H565,Mapping!$A:$A,1,0)</f>
        <v>#N/A</v>
      </c>
      <c r="J565" s="179" t="s">
        <v>486</v>
      </c>
      <c r="K565" s="174" t="s">
        <v>871</v>
      </c>
      <c r="L565" s="178">
        <v>1000000</v>
      </c>
      <c r="M565" s="178">
        <v>100.0625</v>
      </c>
      <c r="N565" s="178">
        <v>2.2175195864999999</v>
      </c>
      <c r="O565" s="178">
        <v>-1000991.8478260899</v>
      </c>
      <c r="P565" s="174" t="s">
        <v>337</v>
      </c>
      <c r="Q565" s="174" t="s">
        <v>872</v>
      </c>
      <c r="R565" s="174" t="s">
        <v>23</v>
      </c>
      <c r="S565" s="174" t="s">
        <v>130</v>
      </c>
      <c r="T565" s="175" t="str">
        <f>VLOOKUP($S565,Mapping!$C:$C,1,0)</f>
        <v>Manual</v>
      </c>
      <c r="U565" s="175"/>
      <c r="V565" s="175"/>
      <c r="W565" s="175"/>
      <c r="X565" s="175"/>
      <c r="Y565" s="174" t="s">
        <v>469</v>
      </c>
      <c r="Z565" s="174" t="s">
        <v>511</v>
      </c>
      <c r="AA565" s="174" t="s">
        <v>24</v>
      </c>
      <c r="AB565" s="174"/>
      <c r="AC565" s="174" t="s">
        <v>794</v>
      </c>
      <c r="AD565" s="174" t="s">
        <v>483</v>
      </c>
      <c r="AE565" s="175"/>
      <c r="AF565" s="175"/>
      <c r="AG565" s="176">
        <v>43164.71837962963</v>
      </c>
      <c r="AH565" s="176">
        <v>43164.71837962963</v>
      </c>
      <c r="AI565" s="174" t="s">
        <v>473</v>
      </c>
      <c r="AJ565" s="175"/>
      <c r="AK565" s="178">
        <v>1</v>
      </c>
    </row>
    <row r="566" spans="1:37" x14ac:dyDescent="0.25">
      <c r="A566" s="174" t="s">
        <v>461</v>
      </c>
      <c r="B566" s="174" t="s">
        <v>1875</v>
      </c>
      <c r="C566" s="175"/>
      <c r="D566" s="174" t="s">
        <v>463</v>
      </c>
      <c r="E566" s="174" t="s">
        <v>506</v>
      </c>
      <c r="F566" s="176">
        <v>43164</v>
      </c>
      <c r="G566" s="176">
        <v>43165</v>
      </c>
      <c r="H566" s="174" t="s">
        <v>1863</v>
      </c>
      <c r="I566" s="175" t="e">
        <f>VLOOKUP($H566,Mapping!$A:$A,1,0)</f>
        <v>#N/A</v>
      </c>
      <c r="J566" s="179" t="s">
        <v>486</v>
      </c>
      <c r="K566" s="174" t="s">
        <v>871</v>
      </c>
      <c r="L566" s="178">
        <v>2000000</v>
      </c>
      <c r="M566" s="178">
        <v>100.0625</v>
      </c>
      <c r="N566" s="178">
        <v>2.2175195864999999</v>
      </c>
      <c r="O566" s="178">
        <v>-2001983.6956521699</v>
      </c>
      <c r="P566" s="174" t="s">
        <v>337</v>
      </c>
      <c r="Q566" s="174" t="s">
        <v>872</v>
      </c>
      <c r="R566" s="174" t="s">
        <v>23</v>
      </c>
      <c r="S566" s="174" t="s">
        <v>130</v>
      </c>
      <c r="T566" s="175" t="str">
        <f>VLOOKUP($S566,Mapping!$C:$C,1,0)</f>
        <v>Manual</v>
      </c>
      <c r="U566" s="175"/>
      <c r="V566" s="175"/>
      <c r="W566" s="175"/>
      <c r="X566" s="175"/>
      <c r="Y566" s="174" t="s">
        <v>469</v>
      </c>
      <c r="Z566" s="174" t="s">
        <v>511</v>
      </c>
      <c r="AA566" s="174" t="s">
        <v>24</v>
      </c>
      <c r="AB566" s="174"/>
      <c r="AC566" s="174" t="s">
        <v>794</v>
      </c>
      <c r="AD566" s="174" t="s">
        <v>483</v>
      </c>
      <c r="AE566" s="175"/>
      <c r="AF566" s="175"/>
      <c r="AG566" s="176">
        <v>43164.71837962963</v>
      </c>
      <c r="AH566" s="176">
        <v>43164.71837962963</v>
      </c>
      <c r="AI566" s="174" t="s">
        <v>473</v>
      </c>
      <c r="AJ566" s="175"/>
      <c r="AK566" s="178">
        <v>1</v>
      </c>
    </row>
    <row r="567" spans="1:37" x14ac:dyDescent="0.25">
      <c r="A567" s="174" t="s">
        <v>461</v>
      </c>
      <c r="B567" s="174" t="s">
        <v>1876</v>
      </c>
      <c r="C567" s="175"/>
      <c r="D567" s="174" t="s">
        <v>463</v>
      </c>
      <c r="E567" s="174" t="s">
        <v>506</v>
      </c>
      <c r="F567" s="176">
        <v>43164</v>
      </c>
      <c r="G567" s="176">
        <v>43165</v>
      </c>
      <c r="H567" s="174" t="s">
        <v>1863</v>
      </c>
      <c r="I567" s="175" t="e">
        <f>VLOOKUP($H567,Mapping!$A:$A,1,0)</f>
        <v>#N/A</v>
      </c>
      <c r="J567" s="179" t="s">
        <v>486</v>
      </c>
      <c r="K567" s="174" t="s">
        <v>871</v>
      </c>
      <c r="L567" s="178">
        <v>1000000</v>
      </c>
      <c r="M567" s="178">
        <v>100.0625</v>
      </c>
      <c r="N567" s="178">
        <v>2.2175195864999999</v>
      </c>
      <c r="O567" s="178">
        <v>-1000991.8478260899</v>
      </c>
      <c r="P567" s="174" t="s">
        <v>337</v>
      </c>
      <c r="Q567" s="174" t="s">
        <v>872</v>
      </c>
      <c r="R567" s="174" t="s">
        <v>23</v>
      </c>
      <c r="S567" s="174" t="s">
        <v>130</v>
      </c>
      <c r="T567" s="175" t="str">
        <f>VLOOKUP($S567,Mapping!$C:$C,1,0)</f>
        <v>Manual</v>
      </c>
      <c r="U567" s="175"/>
      <c r="V567" s="175"/>
      <c r="W567" s="175"/>
      <c r="X567" s="175"/>
      <c r="Y567" s="174" t="s">
        <v>469</v>
      </c>
      <c r="Z567" s="174" t="s">
        <v>511</v>
      </c>
      <c r="AA567" s="174" t="s">
        <v>24</v>
      </c>
      <c r="AB567" s="174"/>
      <c r="AC567" s="174" t="s">
        <v>794</v>
      </c>
      <c r="AD567" s="174" t="s">
        <v>483</v>
      </c>
      <c r="AE567" s="175"/>
      <c r="AF567" s="175"/>
      <c r="AG567" s="176">
        <v>43164.71837962963</v>
      </c>
      <c r="AH567" s="176">
        <v>43164.71837962963</v>
      </c>
      <c r="AI567" s="174" t="s">
        <v>473</v>
      </c>
      <c r="AJ567" s="175"/>
      <c r="AK567" s="178">
        <v>1</v>
      </c>
    </row>
    <row r="568" spans="1:37" x14ac:dyDescent="0.25">
      <c r="A568" s="174" t="s">
        <v>461</v>
      </c>
      <c r="B568" s="174" t="s">
        <v>1877</v>
      </c>
      <c r="C568" s="175"/>
      <c r="D568" s="174" t="s">
        <v>463</v>
      </c>
      <c r="E568" s="174" t="s">
        <v>506</v>
      </c>
      <c r="F568" s="176">
        <v>43164</v>
      </c>
      <c r="G568" s="176">
        <v>43165</v>
      </c>
      <c r="H568" s="174" t="s">
        <v>1863</v>
      </c>
      <c r="I568" s="175" t="e">
        <f>VLOOKUP($H568,Mapping!$A:$A,1,0)</f>
        <v>#N/A</v>
      </c>
      <c r="J568" s="179" t="s">
        <v>486</v>
      </c>
      <c r="K568" s="174" t="s">
        <v>871</v>
      </c>
      <c r="L568" s="178">
        <v>1000000</v>
      </c>
      <c r="M568" s="178">
        <v>100.0625</v>
      </c>
      <c r="N568" s="178">
        <v>2.2175195864999999</v>
      </c>
      <c r="O568" s="178">
        <v>-1000991.8478260899</v>
      </c>
      <c r="P568" s="174" t="s">
        <v>337</v>
      </c>
      <c r="Q568" s="174" t="s">
        <v>872</v>
      </c>
      <c r="R568" s="174" t="s">
        <v>23</v>
      </c>
      <c r="S568" s="174" t="s">
        <v>130</v>
      </c>
      <c r="T568" s="175" t="str">
        <f>VLOOKUP($S568,Mapping!$C:$C,1,0)</f>
        <v>Manual</v>
      </c>
      <c r="U568" s="175"/>
      <c r="V568" s="175"/>
      <c r="W568" s="175"/>
      <c r="X568" s="175"/>
      <c r="Y568" s="174" t="s">
        <v>469</v>
      </c>
      <c r="Z568" s="174" t="s">
        <v>511</v>
      </c>
      <c r="AA568" s="174" t="s">
        <v>24</v>
      </c>
      <c r="AB568" s="174"/>
      <c r="AC568" s="174" t="s">
        <v>794</v>
      </c>
      <c r="AD568" s="174" t="s">
        <v>483</v>
      </c>
      <c r="AE568" s="175"/>
      <c r="AF568" s="175"/>
      <c r="AG568" s="176">
        <v>43164.71837962963</v>
      </c>
      <c r="AH568" s="176">
        <v>43164.71837962963</v>
      </c>
      <c r="AI568" s="174" t="s">
        <v>473</v>
      </c>
      <c r="AJ568" s="175"/>
      <c r="AK568" s="178">
        <v>1</v>
      </c>
    </row>
    <row r="569" spans="1:37" x14ac:dyDescent="0.25">
      <c r="A569" s="174" t="s">
        <v>461</v>
      </c>
      <c r="B569" s="174" t="s">
        <v>1878</v>
      </c>
      <c r="C569" s="175"/>
      <c r="D569" s="174" t="s">
        <v>463</v>
      </c>
      <c r="E569" s="174" t="s">
        <v>506</v>
      </c>
      <c r="F569" s="176">
        <v>43164</v>
      </c>
      <c r="G569" s="176">
        <v>43165</v>
      </c>
      <c r="H569" s="174" t="s">
        <v>1863</v>
      </c>
      <c r="I569" s="175" t="e">
        <f>VLOOKUP($H569,Mapping!$A:$A,1,0)</f>
        <v>#N/A</v>
      </c>
      <c r="J569" s="179" t="s">
        <v>486</v>
      </c>
      <c r="K569" s="174" t="s">
        <v>871</v>
      </c>
      <c r="L569" s="178">
        <v>1000000</v>
      </c>
      <c r="M569" s="178">
        <v>100.0625</v>
      </c>
      <c r="N569" s="178">
        <v>2.2175195864999999</v>
      </c>
      <c r="O569" s="178">
        <v>-1000991.8478260899</v>
      </c>
      <c r="P569" s="174" t="s">
        <v>337</v>
      </c>
      <c r="Q569" s="174" t="s">
        <v>872</v>
      </c>
      <c r="R569" s="174" t="s">
        <v>23</v>
      </c>
      <c r="S569" s="174" t="s">
        <v>130</v>
      </c>
      <c r="T569" s="175" t="str">
        <f>VLOOKUP($S569,Mapping!$C:$C,1,0)</f>
        <v>Manual</v>
      </c>
      <c r="U569" s="175"/>
      <c r="V569" s="175"/>
      <c r="W569" s="175"/>
      <c r="X569" s="175"/>
      <c r="Y569" s="174" t="s">
        <v>469</v>
      </c>
      <c r="Z569" s="174" t="s">
        <v>511</v>
      </c>
      <c r="AA569" s="174" t="s">
        <v>24</v>
      </c>
      <c r="AB569" s="174"/>
      <c r="AC569" s="174" t="s">
        <v>794</v>
      </c>
      <c r="AD569" s="174" t="s">
        <v>483</v>
      </c>
      <c r="AE569" s="175"/>
      <c r="AF569" s="175"/>
      <c r="AG569" s="176">
        <v>43164.718391203707</v>
      </c>
      <c r="AH569" s="176">
        <v>43164.718391203707</v>
      </c>
      <c r="AI569" s="174" t="s">
        <v>473</v>
      </c>
      <c r="AJ569" s="175"/>
      <c r="AK569" s="178">
        <v>1</v>
      </c>
    </row>
    <row r="570" spans="1:37" x14ac:dyDescent="0.25">
      <c r="A570" s="174" t="s">
        <v>461</v>
      </c>
      <c r="B570" s="174" t="s">
        <v>1879</v>
      </c>
      <c r="C570" s="175"/>
      <c r="D570" s="174" t="s">
        <v>463</v>
      </c>
      <c r="E570" s="174" t="s">
        <v>506</v>
      </c>
      <c r="F570" s="176">
        <v>43164</v>
      </c>
      <c r="G570" s="176">
        <v>43165</v>
      </c>
      <c r="H570" s="174" t="s">
        <v>1863</v>
      </c>
      <c r="I570" s="175" t="e">
        <f>VLOOKUP($H570,Mapping!$A:$A,1,0)</f>
        <v>#N/A</v>
      </c>
      <c r="J570" s="179" t="s">
        <v>486</v>
      </c>
      <c r="K570" s="174" t="s">
        <v>871</v>
      </c>
      <c r="L570" s="178">
        <v>1000000</v>
      </c>
      <c r="M570" s="178">
        <v>100.0625</v>
      </c>
      <c r="N570" s="178">
        <v>2.2175195864999999</v>
      </c>
      <c r="O570" s="178">
        <v>-1000991.8478260899</v>
      </c>
      <c r="P570" s="174" t="s">
        <v>337</v>
      </c>
      <c r="Q570" s="174" t="s">
        <v>872</v>
      </c>
      <c r="R570" s="174" t="s">
        <v>23</v>
      </c>
      <c r="S570" s="174" t="s">
        <v>130</v>
      </c>
      <c r="T570" s="175" t="str">
        <f>VLOOKUP($S570,Mapping!$C:$C,1,0)</f>
        <v>Manual</v>
      </c>
      <c r="U570" s="175"/>
      <c r="V570" s="175"/>
      <c r="W570" s="175"/>
      <c r="X570" s="175"/>
      <c r="Y570" s="174" t="s">
        <v>469</v>
      </c>
      <c r="Z570" s="174" t="s">
        <v>511</v>
      </c>
      <c r="AA570" s="174" t="s">
        <v>24</v>
      </c>
      <c r="AB570" s="174"/>
      <c r="AC570" s="174" t="s">
        <v>794</v>
      </c>
      <c r="AD570" s="174" t="s">
        <v>483</v>
      </c>
      <c r="AE570" s="175"/>
      <c r="AF570" s="175"/>
      <c r="AG570" s="176">
        <v>43164.718391203707</v>
      </c>
      <c r="AH570" s="176">
        <v>43164.718391203707</v>
      </c>
      <c r="AI570" s="174" t="s">
        <v>473</v>
      </c>
      <c r="AJ570" s="175"/>
      <c r="AK570" s="178">
        <v>1</v>
      </c>
    </row>
    <row r="571" spans="1:37" x14ac:dyDescent="0.25">
      <c r="A571" s="174" t="s">
        <v>461</v>
      </c>
      <c r="B571" s="174" t="s">
        <v>1880</v>
      </c>
      <c r="C571" s="175"/>
      <c r="D571" s="174" t="s">
        <v>463</v>
      </c>
      <c r="E571" s="174" t="s">
        <v>506</v>
      </c>
      <c r="F571" s="176">
        <v>43164</v>
      </c>
      <c r="G571" s="176">
        <v>43165</v>
      </c>
      <c r="H571" s="174" t="s">
        <v>1863</v>
      </c>
      <c r="I571" s="175" t="e">
        <f>VLOOKUP($H571,Mapping!$A:$A,1,0)</f>
        <v>#N/A</v>
      </c>
      <c r="J571" s="179" t="s">
        <v>486</v>
      </c>
      <c r="K571" s="174" t="s">
        <v>871</v>
      </c>
      <c r="L571" s="178">
        <v>1000000</v>
      </c>
      <c r="M571" s="178">
        <v>100.0625</v>
      </c>
      <c r="N571" s="178">
        <v>2.2175195864999999</v>
      </c>
      <c r="O571" s="178">
        <v>-1000991.8478260899</v>
      </c>
      <c r="P571" s="174" t="s">
        <v>337</v>
      </c>
      <c r="Q571" s="174" t="s">
        <v>872</v>
      </c>
      <c r="R571" s="174" t="s">
        <v>23</v>
      </c>
      <c r="S571" s="174" t="s">
        <v>130</v>
      </c>
      <c r="T571" s="175" t="str">
        <f>VLOOKUP($S571,Mapping!$C:$C,1,0)</f>
        <v>Manual</v>
      </c>
      <c r="U571" s="175"/>
      <c r="V571" s="175"/>
      <c r="W571" s="175"/>
      <c r="X571" s="175"/>
      <c r="Y571" s="174" t="s">
        <v>469</v>
      </c>
      <c r="Z571" s="174" t="s">
        <v>511</v>
      </c>
      <c r="AA571" s="174" t="s">
        <v>24</v>
      </c>
      <c r="AB571" s="174"/>
      <c r="AC571" s="174" t="s">
        <v>794</v>
      </c>
      <c r="AD571" s="174" t="s">
        <v>483</v>
      </c>
      <c r="AE571" s="175"/>
      <c r="AF571" s="175"/>
      <c r="AG571" s="176">
        <v>43164.718402777777</v>
      </c>
      <c r="AH571" s="176">
        <v>43164.718402777777</v>
      </c>
      <c r="AI571" s="174" t="s">
        <v>473</v>
      </c>
      <c r="AJ571" s="175"/>
      <c r="AK571" s="178">
        <v>1</v>
      </c>
    </row>
    <row r="572" spans="1:37" x14ac:dyDescent="0.25">
      <c r="A572" s="174" t="s">
        <v>461</v>
      </c>
      <c r="B572" s="174" t="s">
        <v>1881</v>
      </c>
      <c r="C572" s="175"/>
      <c r="D572" s="174" t="s">
        <v>463</v>
      </c>
      <c r="E572" s="174" t="s">
        <v>506</v>
      </c>
      <c r="F572" s="176">
        <v>43164</v>
      </c>
      <c r="G572" s="176">
        <v>43165</v>
      </c>
      <c r="H572" s="174" t="s">
        <v>1863</v>
      </c>
      <c r="I572" s="175" t="e">
        <f>VLOOKUP($H572,Mapping!$A:$A,1,0)</f>
        <v>#N/A</v>
      </c>
      <c r="J572" s="179" t="s">
        <v>486</v>
      </c>
      <c r="K572" s="174" t="s">
        <v>871</v>
      </c>
      <c r="L572" s="178">
        <v>1000000</v>
      </c>
      <c r="M572" s="178">
        <v>100.0625</v>
      </c>
      <c r="N572" s="178">
        <v>2.2175195864999999</v>
      </c>
      <c r="O572" s="178">
        <v>-1000991.8478260899</v>
      </c>
      <c r="P572" s="174" t="s">
        <v>337</v>
      </c>
      <c r="Q572" s="174" t="s">
        <v>872</v>
      </c>
      <c r="R572" s="174" t="s">
        <v>23</v>
      </c>
      <c r="S572" s="174" t="s">
        <v>130</v>
      </c>
      <c r="T572" s="175" t="str">
        <f>VLOOKUP($S572,Mapping!$C:$C,1,0)</f>
        <v>Manual</v>
      </c>
      <c r="U572" s="175"/>
      <c r="V572" s="175"/>
      <c r="W572" s="175"/>
      <c r="X572" s="175"/>
      <c r="Y572" s="174" t="s">
        <v>469</v>
      </c>
      <c r="Z572" s="174" t="s">
        <v>511</v>
      </c>
      <c r="AA572" s="174" t="s">
        <v>24</v>
      </c>
      <c r="AB572" s="174"/>
      <c r="AC572" s="174" t="s">
        <v>794</v>
      </c>
      <c r="AD572" s="174" t="s">
        <v>483</v>
      </c>
      <c r="AE572" s="175"/>
      <c r="AF572" s="175"/>
      <c r="AG572" s="176">
        <v>43164.718402777777</v>
      </c>
      <c r="AH572" s="176">
        <v>43164.718402777777</v>
      </c>
      <c r="AI572" s="174" t="s">
        <v>473</v>
      </c>
      <c r="AJ572" s="175"/>
      <c r="AK572" s="178">
        <v>1</v>
      </c>
    </row>
    <row r="573" spans="1:37" x14ac:dyDescent="0.25">
      <c r="A573" s="174" t="s">
        <v>461</v>
      </c>
      <c r="B573" s="174" t="s">
        <v>1882</v>
      </c>
      <c r="C573" s="175"/>
      <c r="D573" s="174" t="s">
        <v>463</v>
      </c>
      <c r="E573" s="174" t="s">
        <v>506</v>
      </c>
      <c r="F573" s="176">
        <v>43164</v>
      </c>
      <c r="G573" s="176">
        <v>43165</v>
      </c>
      <c r="H573" s="174" t="s">
        <v>1863</v>
      </c>
      <c r="I573" s="175" t="e">
        <f>VLOOKUP($H573,Mapping!$A:$A,1,0)</f>
        <v>#N/A</v>
      </c>
      <c r="J573" s="179" t="s">
        <v>486</v>
      </c>
      <c r="K573" s="174" t="s">
        <v>871</v>
      </c>
      <c r="L573" s="178">
        <v>1000000</v>
      </c>
      <c r="M573" s="178">
        <v>100.0625</v>
      </c>
      <c r="N573" s="178">
        <v>2.2175195864999999</v>
      </c>
      <c r="O573" s="178">
        <v>-1000991.8478260899</v>
      </c>
      <c r="P573" s="174" t="s">
        <v>337</v>
      </c>
      <c r="Q573" s="174" t="s">
        <v>872</v>
      </c>
      <c r="R573" s="174" t="s">
        <v>23</v>
      </c>
      <c r="S573" s="174" t="s">
        <v>130</v>
      </c>
      <c r="T573" s="175" t="str">
        <f>VLOOKUP($S573,Mapping!$C:$C,1,0)</f>
        <v>Manual</v>
      </c>
      <c r="U573" s="175"/>
      <c r="V573" s="175"/>
      <c r="W573" s="175"/>
      <c r="X573" s="175"/>
      <c r="Y573" s="174" t="s">
        <v>469</v>
      </c>
      <c r="Z573" s="174" t="s">
        <v>511</v>
      </c>
      <c r="AA573" s="174" t="s">
        <v>24</v>
      </c>
      <c r="AB573" s="174"/>
      <c r="AC573" s="174" t="s">
        <v>794</v>
      </c>
      <c r="AD573" s="174" t="s">
        <v>483</v>
      </c>
      <c r="AE573" s="175"/>
      <c r="AF573" s="175"/>
      <c r="AG573" s="176">
        <v>43164.718414351853</v>
      </c>
      <c r="AH573" s="176">
        <v>43164.718414351853</v>
      </c>
      <c r="AI573" s="174" t="s">
        <v>473</v>
      </c>
      <c r="AJ573" s="175"/>
      <c r="AK573" s="178">
        <v>1</v>
      </c>
    </row>
    <row r="574" spans="1:37" x14ac:dyDescent="0.25">
      <c r="A574" s="174" t="s">
        <v>461</v>
      </c>
      <c r="B574" s="174" t="s">
        <v>1883</v>
      </c>
      <c r="C574" s="175"/>
      <c r="D574" s="174" t="s">
        <v>463</v>
      </c>
      <c r="E574" s="174" t="s">
        <v>506</v>
      </c>
      <c r="F574" s="176">
        <v>43164</v>
      </c>
      <c r="G574" s="176">
        <v>43165</v>
      </c>
      <c r="H574" s="174" t="s">
        <v>1863</v>
      </c>
      <c r="I574" s="175" t="e">
        <f>VLOOKUP($H574,Mapping!$A:$A,1,0)</f>
        <v>#N/A</v>
      </c>
      <c r="J574" s="179" t="s">
        <v>486</v>
      </c>
      <c r="K574" s="174" t="s">
        <v>871</v>
      </c>
      <c r="L574" s="178">
        <v>1000000</v>
      </c>
      <c r="M574" s="178">
        <v>100.0625</v>
      </c>
      <c r="N574" s="178">
        <v>2.2175195864999999</v>
      </c>
      <c r="O574" s="178">
        <v>-1000991.8478260899</v>
      </c>
      <c r="P574" s="174" t="s">
        <v>337</v>
      </c>
      <c r="Q574" s="174" t="s">
        <v>872</v>
      </c>
      <c r="R574" s="174" t="s">
        <v>23</v>
      </c>
      <c r="S574" s="174" t="s">
        <v>130</v>
      </c>
      <c r="T574" s="175" t="str">
        <f>VLOOKUP($S574,Mapping!$C:$C,1,0)</f>
        <v>Manual</v>
      </c>
      <c r="U574" s="175"/>
      <c r="V574" s="175"/>
      <c r="W574" s="175"/>
      <c r="X574" s="175"/>
      <c r="Y574" s="174" t="s">
        <v>469</v>
      </c>
      <c r="Z574" s="174" t="s">
        <v>511</v>
      </c>
      <c r="AA574" s="174" t="s">
        <v>24</v>
      </c>
      <c r="AB574" s="174"/>
      <c r="AC574" s="174" t="s">
        <v>794</v>
      </c>
      <c r="AD574" s="174" t="s">
        <v>483</v>
      </c>
      <c r="AE574" s="175"/>
      <c r="AF574" s="175"/>
      <c r="AG574" s="176">
        <v>43164.718425925923</v>
      </c>
      <c r="AH574" s="176">
        <v>43164.718425925923</v>
      </c>
      <c r="AI574" s="174" t="s">
        <v>473</v>
      </c>
      <c r="AJ574" s="175"/>
      <c r="AK574" s="178">
        <v>1</v>
      </c>
    </row>
    <row r="575" spans="1:37" x14ac:dyDescent="0.25">
      <c r="A575" s="174" t="s">
        <v>461</v>
      </c>
      <c r="B575" s="174" t="s">
        <v>1884</v>
      </c>
      <c r="C575" s="175"/>
      <c r="D575" s="174" t="s">
        <v>463</v>
      </c>
      <c r="E575" s="174" t="s">
        <v>506</v>
      </c>
      <c r="F575" s="176">
        <v>43164</v>
      </c>
      <c r="G575" s="176">
        <v>43165</v>
      </c>
      <c r="H575" s="174" t="s">
        <v>1863</v>
      </c>
      <c r="I575" s="175" t="e">
        <f>VLOOKUP($H575,Mapping!$A:$A,1,0)</f>
        <v>#N/A</v>
      </c>
      <c r="J575" s="179" t="s">
        <v>486</v>
      </c>
      <c r="K575" s="174" t="s">
        <v>871</v>
      </c>
      <c r="L575" s="178">
        <v>1000000</v>
      </c>
      <c r="M575" s="178">
        <v>100.0625</v>
      </c>
      <c r="N575" s="178">
        <v>2.2175195864999999</v>
      </c>
      <c r="O575" s="178">
        <v>-1000991.8478260899</v>
      </c>
      <c r="P575" s="174" t="s">
        <v>337</v>
      </c>
      <c r="Q575" s="174" t="s">
        <v>872</v>
      </c>
      <c r="R575" s="174" t="s">
        <v>23</v>
      </c>
      <c r="S575" s="174" t="s">
        <v>130</v>
      </c>
      <c r="T575" s="175" t="str">
        <f>VLOOKUP($S575,Mapping!$C:$C,1,0)</f>
        <v>Manual</v>
      </c>
      <c r="U575" s="175"/>
      <c r="V575" s="175"/>
      <c r="W575" s="175"/>
      <c r="X575" s="175"/>
      <c r="Y575" s="174" t="s">
        <v>469</v>
      </c>
      <c r="Z575" s="174" t="s">
        <v>511</v>
      </c>
      <c r="AA575" s="174" t="s">
        <v>24</v>
      </c>
      <c r="AB575" s="174"/>
      <c r="AC575" s="174" t="s">
        <v>794</v>
      </c>
      <c r="AD575" s="174" t="s">
        <v>483</v>
      </c>
      <c r="AE575" s="175"/>
      <c r="AF575" s="175"/>
      <c r="AG575" s="176">
        <v>43164.7184375</v>
      </c>
      <c r="AH575" s="176">
        <v>43164.7184375</v>
      </c>
      <c r="AI575" s="174" t="s">
        <v>473</v>
      </c>
      <c r="AJ575" s="175"/>
      <c r="AK575" s="178">
        <v>1</v>
      </c>
    </row>
    <row r="576" spans="1:37" x14ac:dyDescent="0.25">
      <c r="A576" s="174" t="s">
        <v>461</v>
      </c>
      <c r="B576" s="174" t="s">
        <v>1885</v>
      </c>
      <c r="C576" s="175"/>
      <c r="D576" s="174" t="s">
        <v>463</v>
      </c>
      <c r="E576" s="174" t="s">
        <v>506</v>
      </c>
      <c r="F576" s="176">
        <v>43164</v>
      </c>
      <c r="G576" s="176">
        <v>43165</v>
      </c>
      <c r="H576" s="174" t="s">
        <v>1863</v>
      </c>
      <c r="I576" s="175" t="e">
        <f>VLOOKUP($H576,Mapping!$A:$A,1,0)</f>
        <v>#N/A</v>
      </c>
      <c r="J576" s="179" t="s">
        <v>486</v>
      </c>
      <c r="K576" s="174" t="s">
        <v>871</v>
      </c>
      <c r="L576" s="178">
        <v>1000000</v>
      </c>
      <c r="M576" s="178">
        <v>100.0625</v>
      </c>
      <c r="N576" s="178">
        <v>2.2175195864999999</v>
      </c>
      <c r="O576" s="178">
        <v>-1000991.8478260899</v>
      </c>
      <c r="P576" s="174" t="s">
        <v>337</v>
      </c>
      <c r="Q576" s="174" t="s">
        <v>872</v>
      </c>
      <c r="R576" s="174" t="s">
        <v>23</v>
      </c>
      <c r="S576" s="174" t="s">
        <v>130</v>
      </c>
      <c r="T576" s="175" t="str">
        <f>VLOOKUP($S576,Mapping!$C:$C,1,0)</f>
        <v>Manual</v>
      </c>
      <c r="U576" s="175"/>
      <c r="V576" s="175"/>
      <c r="W576" s="175"/>
      <c r="X576" s="175"/>
      <c r="Y576" s="174" t="s">
        <v>469</v>
      </c>
      <c r="Z576" s="174" t="s">
        <v>511</v>
      </c>
      <c r="AA576" s="174" t="s">
        <v>24</v>
      </c>
      <c r="AB576" s="174"/>
      <c r="AC576" s="174" t="s">
        <v>794</v>
      </c>
      <c r="AD576" s="174" t="s">
        <v>483</v>
      </c>
      <c r="AE576" s="175"/>
      <c r="AF576" s="175"/>
      <c r="AG576" s="176">
        <v>43164.7184375</v>
      </c>
      <c r="AH576" s="176">
        <v>43164.7184375</v>
      </c>
      <c r="AI576" s="174" t="s">
        <v>473</v>
      </c>
      <c r="AJ576" s="175"/>
      <c r="AK576" s="178">
        <v>1</v>
      </c>
    </row>
    <row r="577" spans="1:37" x14ac:dyDescent="0.25">
      <c r="A577" s="174" t="s">
        <v>461</v>
      </c>
      <c r="B577" s="174" t="s">
        <v>1886</v>
      </c>
      <c r="C577" s="175"/>
      <c r="D577" s="174" t="s">
        <v>463</v>
      </c>
      <c r="E577" s="174" t="s">
        <v>506</v>
      </c>
      <c r="F577" s="176">
        <v>43164</v>
      </c>
      <c r="G577" s="176">
        <v>43165</v>
      </c>
      <c r="H577" s="174" t="s">
        <v>1863</v>
      </c>
      <c r="I577" s="175" t="e">
        <f>VLOOKUP($H577,Mapping!$A:$A,1,0)</f>
        <v>#N/A</v>
      </c>
      <c r="J577" s="179" t="s">
        <v>486</v>
      </c>
      <c r="K577" s="174" t="s">
        <v>871</v>
      </c>
      <c r="L577" s="178">
        <v>3000000</v>
      </c>
      <c r="M577" s="178">
        <v>100.0625</v>
      </c>
      <c r="N577" s="178">
        <v>2.2175195864999999</v>
      </c>
      <c r="O577" s="178">
        <v>-3002975.5434782603</v>
      </c>
      <c r="P577" s="174" t="s">
        <v>337</v>
      </c>
      <c r="Q577" s="174" t="s">
        <v>872</v>
      </c>
      <c r="R577" s="174" t="s">
        <v>23</v>
      </c>
      <c r="S577" s="174" t="s">
        <v>130</v>
      </c>
      <c r="T577" s="175" t="str">
        <f>VLOOKUP($S577,Mapping!$C:$C,1,0)</f>
        <v>Manual</v>
      </c>
      <c r="U577" s="175"/>
      <c r="V577" s="175"/>
      <c r="W577" s="175"/>
      <c r="X577" s="175"/>
      <c r="Y577" s="174" t="s">
        <v>469</v>
      </c>
      <c r="Z577" s="174" t="s">
        <v>511</v>
      </c>
      <c r="AA577" s="174" t="s">
        <v>24</v>
      </c>
      <c r="AB577" s="174"/>
      <c r="AC577" s="174" t="s">
        <v>794</v>
      </c>
      <c r="AD577" s="174" t="s">
        <v>483</v>
      </c>
      <c r="AE577" s="175"/>
      <c r="AF577" s="175"/>
      <c r="AG577" s="176">
        <v>43164.718449074076</v>
      </c>
      <c r="AH577" s="176">
        <v>43164.718449074076</v>
      </c>
      <c r="AI577" s="174" t="s">
        <v>473</v>
      </c>
      <c r="AJ577" s="175"/>
      <c r="AK577" s="178">
        <v>1</v>
      </c>
    </row>
    <row r="578" spans="1:37" x14ac:dyDescent="0.25">
      <c r="A578" s="174" t="s">
        <v>461</v>
      </c>
      <c r="B578" s="174" t="s">
        <v>1887</v>
      </c>
      <c r="C578" s="175"/>
      <c r="D578" s="174" t="s">
        <v>463</v>
      </c>
      <c r="E578" s="174" t="s">
        <v>506</v>
      </c>
      <c r="F578" s="176">
        <v>43164</v>
      </c>
      <c r="G578" s="176">
        <v>43165</v>
      </c>
      <c r="H578" s="174" t="s">
        <v>1863</v>
      </c>
      <c r="I578" s="175" t="e">
        <f>VLOOKUP($H578,Mapping!$A:$A,1,0)</f>
        <v>#N/A</v>
      </c>
      <c r="J578" s="179" t="s">
        <v>486</v>
      </c>
      <c r="K578" s="174" t="s">
        <v>871</v>
      </c>
      <c r="L578" s="178">
        <v>2000000</v>
      </c>
      <c r="M578" s="178">
        <v>100.0625</v>
      </c>
      <c r="N578" s="178">
        <v>2.2175195864999999</v>
      </c>
      <c r="O578" s="178">
        <v>-2001983.6956521699</v>
      </c>
      <c r="P578" s="174" t="s">
        <v>337</v>
      </c>
      <c r="Q578" s="174" t="s">
        <v>872</v>
      </c>
      <c r="R578" s="174" t="s">
        <v>23</v>
      </c>
      <c r="S578" s="174" t="s">
        <v>130</v>
      </c>
      <c r="T578" s="175" t="str">
        <f>VLOOKUP($S578,Mapping!$C:$C,1,0)</f>
        <v>Manual</v>
      </c>
      <c r="U578" s="175"/>
      <c r="V578" s="175"/>
      <c r="W578" s="175"/>
      <c r="X578" s="175"/>
      <c r="Y578" s="174" t="s">
        <v>469</v>
      </c>
      <c r="Z578" s="174" t="s">
        <v>511</v>
      </c>
      <c r="AA578" s="174" t="s">
        <v>24</v>
      </c>
      <c r="AB578" s="174"/>
      <c r="AC578" s="174" t="s">
        <v>794</v>
      </c>
      <c r="AD578" s="174" t="s">
        <v>483</v>
      </c>
      <c r="AE578" s="175"/>
      <c r="AF578" s="175"/>
      <c r="AG578" s="176">
        <v>43164.718460648146</v>
      </c>
      <c r="AH578" s="176">
        <v>43164.718460648146</v>
      </c>
      <c r="AI578" s="174" t="s">
        <v>473</v>
      </c>
      <c r="AJ578" s="175"/>
      <c r="AK578" s="178">
        <v>1</v>
      </c>
    </row>
    <row r="579" spans="1:37" x14ac:dyDescent="0.25">
      <c r="A579" s="174" t="s">
        <v>461</v>
      </c>
      <c r="B579" s="174" t="s">
        <v>1888</v>
      </c>
      <c r="C579" s="175"/>
      <c r="D579" s="174" t="s">
        <v>463</v>
      </c>
      <c r="E579" s="174" t="s">
        <v>506</v>
      </c>
      <c r="F579" s="176">
        <v>43164</v>
      </c>
      <c r="G579" s="176">
        <v>43165</v>
      </c>
      <c r="H579" s="174" t="s">
        <v>1863</v>
      </c>
      <c r="I579" s="175" t="e">
        <f>VLOOKUP($H579,Mapping!$A:$A,1,0)</f>
        <v>#N/A</v>
      </c>
      <c r="J579" s="179" t="s">
        <v>486</v>
      </c>
      <c r="K579" s="174" t="s">
        <v>871</v>
      </c>
      <c r="L579" s="178">
        <v>5000000</v>
      </c>
      <c r="M579" s="178">
        <v>100.0625</v>
      </c>
      <c r="N579" s="178">
        <v>2.2175195864999999</v>
      </c>
      <c r="O579" s="178">
        <v>-5004959.2391304309</v>
      </c>
      <c r="P579" s="174" t="s">
        <v>337</v>
      </c>
      <c r="Q579" s="174" t="s">
        <v>872</v>
      </c>
      <c r="R579" s="174" t="s">
        <v>23</v>
      </c>
      <c r="S579" s="174" t="s">
        <v>130</v>
      </c>
      <c r="T579" s="175" t="str">
        <f>VLOOKUP($S579,Mapping!$C:$C,1,0)</f>
        <v>Manual</v>
      </c>
      <c r="U579" s="175"/>
      <c r="V579" s="175"/>
      <c r="W579" s="175"/>
      <c r="X579" s="175"/>
      <c r="Y579" s="174" t="s">
        <v>469</v>
      </c>
      <c r="Z579" s="174" t="s">
        <v>511</v>
      </c>
      <c r="AA579" s="174" t="s">
        <v>24</v>
      </c>
      <c r="AB579" s="174"/>
      <c r="AC579" s="174" t="s">
        <v>794</v>
      </c>
      <c r="AD579" s="174" t="s">
        <v>483</v>
      </c>
      <c r="AE579" s="175"/>
      <c r="AF579" s="175"/>
      <c r="AG579" s="176">
        <v>43164.718472222223</v>
      </c>
      <c r="AH579" s="176">
        <v>43164.718472222223</v>
      </c>
      <c r="AI579" s="174" t="s">
        <v>473</v>
      </c>
      <c r="AJ579" s="175"/>
      <c r="AK579" s="178">
        <v>1</v>
      </c>
    </row>
    <row r="580" spans="1:37" x14ac:dyDescent="0.25">
      <c r="A580" s="174" t="s">
        <v>461</v>
      </c>
      <c r="B580" s="174" t="s">
        <v>1889</v>
      </c>
      <c r="C580" s="175"/>
      <c r="D580" s="174" t="s">
        <v>463</v>
      </c>
      <c r="E580" s="174" t="s">
        <v>506</v>
      </c>
      <c r="F580" s="176">
        <v>43164</v>
      </c>
      <c r="G580" s="176">
        <v>43165</v>
      </c>
      <c r="H580" s="174" t="s">
        <v>1863</v>
      </c>
      <c r="I580" s="175" t="e">
        <f>VLOOKUP($H580,Mapping!$A:$A,1,0)</f>
        <v>#N/A</v>
      </c>
      <c r="J580" s="179" t="s">
        <v>486</v>
      </c>
      <c r="K580" s="174" t="s">
        <v>871</v>
      </c>
      <c r="L580" s="178">
        <v>1000000</v>
      </c>
      <c r="M580" s="178">
        <v>100.0625</v>
      </c>
      <c r="N580" s="178">
        <v>2.2175195864999999</v>
      </c>
      <c r="O580" s="178">
        <v>-1000991.8478260899</v>
      </c>
      <c r="P580" s="174" t="s">
        <v>337</v>
      </c>
      <c r="Q580" s="174" t="s">
        <v>872</v>
      </c>
      <c r="R580" s="174" t="s">
        <v>23</v>
      </c>
      <c r="S580" s="174" t="s">
        <v>130</v>
      </c>
      <c r="T580" s="175" t="str">
        <f>VLOOKUP($S580,Mapping!$C:$C,1,0)</f>
        <v>Manual</v>
      </c>
      <c r="U580" s="175"/>
      <c r="V580" s="175"/>
      <c r="W580" s="175"/>
      <c r="X580" s="175"/>
      <c r="Y580" s="174" t="s">
        <v>469</v>
      </c>
      <c r="Z580" s="174" t="s">
        <v>511</v>
      </c>
      <c r="AA580" s="174" t="s">
        <v>24</v>
      </c>
      <c r="AB580" s="174"/>
      <c r="AC580" s="174" t="s">
        <v>794</v>
      </c>
      <c r="AD580" s="174" t="s">
        <v>483</v>
      </c>
      <c r="AE580" s="175"/>
      <c r="AF580" s="175"/>
      <c r="AG580" s="176">
        <v>43164.7184837963</v>
      </c>
      <c r="AH580" s="176">
        <v>43164.7184837963</v>
      </c>
      <c r="AI580" s="174" t="s">
        <v>473</v>
      </c>
      <c r="AJ580" s="175"/>
      <c r="AK580" s="178">
        <v>1</v>
      </c>
    </row>
    <row r="581" spans="1:37" x14ac:dyDescent="0.25">
      <c r="A581" s="174" t="s">
        <v>461</v>
      </c>
      <c r="B581" s="174" t="s">
        <v>1890</v>
      </c>
      <c r="C581" s="175"/>
      <c r="D581" s="174" t="s">
        <v>463</v>
      </c>
      <c r="E581" s="174" t="s">
        <v>506</v>
      </c>
      <c r="F581" s="176">
        <v>43164</v>
      </c>
      <c r="G581" s="176">
        <v>43165</v>
      </c>
      <c r="H581" s="174" t="s">
        <v>1863</v>
      </c>
      <c r="I581" s="175" t="e">
        <f>VLOOKUP($H581,Mapping!$A:$A,1,0)</f>
        <v>#N/A</v>
      </c>
      <c r="J581" s="179" t="s">
        <v>486</v>
      </c>
      <c r="K581" s="174" t="s">
        <v>871</v>
      </c>
      <c r="L581" s="178">
        <v>1000000</v>
      </c>
      <c r="M581" s="178">
        <v>100.0625</v>
      </c>
      <c r="N581" s="178">
        <v>2.2175195864999999</v>
      </c>
      <c r="O581" s="178">
        <v>-1000991.8478260899</v>
      </c>
      <c r="P581" s="174" t="s">
        <v>337</v>
      </c>
      <c r="Q581" s="174" t="s">
        <v>872</v>
      </c>
      <c r="R581" s="174" t="s">
        <v>23</v>
      </c>
      <c r="S581" s="174" t="s">
        <v>130</v>
      </c>
      <c r="T581" s="175" t="str">
        <f>VLOOKUP($S581,Mapping!$C:$C,1,0)</f>
        <v>Manual</v>
      </c>
      <c r="U581" s="175"/>
      <c r="V581" s="175"/>
      <c r="W581" s="175"/>
      <c r="X581" s="175"/>
      <c r="Y581" s="174" t="s">
        <v>469</v>
      </c>
      <c r="Z581" s="174" t="s">
        <v>511</v>
      </c>
      <c r="AA581" s="174" t="s">
        <v>24</v>
      </c>
      <c r="AB581" s="174"/>
      <c r="AC581" s="174" t="s">
        <v>794</v>
      </c>
      <c r="AD581" s="174" t="s">
        <v>483</v>
      </c>
      <c r="AE581" s="175"/>
      <c r="AF581" s="175"/>
      <c r="AG581" s="176">
        <v>43164.718495370369</v>
      </c>
      <c r="AH581" s="176">
        <v>43164.718495370369</v>
      </c>
      <c r="AI581" s="174" t="s">
        <v>473</v>
      </c>
      <c r="AJ581" s="175"/>
      <c r="AK581" s="178">
        <v>1</v>
      </c>
    </row>
    <row r="582" spans="1:37" x14ac:dyDescent="0.25">
      <c r="A582" s="174" t="s">
        <v>461</v>
      </c>
      <c r="B582" s="174" t="s">
        <v>1891</v>
      </c>
      <c r="C582" s="175"/>
      <c r="D582" s="174" t="s">
        <v>463</v>
      </c>
      <c r="E582" s="174" t="s">
        <v>506</v>
      </c>
      <c r="F582" s="176">
        <v>43164</v>
      </c>
      <c r="G582" s="176">
        <v>43165</v>
      </c>
      <c r="H582" s="174" t="s">
        <v>1863</v>
      </c>
      <c r="I582" s="175" t="e">
        <f>VLOOKUP($H582,Mapping!$A:$A,1,0)</f>
        <v>#N/A</v>
      </c>
      <c r="J582" s="179" t="s">
        <v>486</v>
      </c>
      <c r="K582" s="174" t="s">
        <v>871</v>
      </c>
      <c r="L582" s="178">
        <v>1000000</v>
      </c>
      <c r="M582" s="178">
        <v>100.0625</v>
      </c>
      <c r="N582" s="178">
        <v>2.2175195864999999</v>
      </c>
      <c r="O582" s="178">
        <v>-1000991.8478260899</v>
      </c>
      <c r="P582" s="174" t="s">
        <v>337</v>
      </c>
      <c r="Q582" s="174" t="s">
        <v>872</v>
      </c>
      <c r="R582" s="174" t="s">
        <v>23</v>
      </c>
      <c r="S582" s="174" t="s">
        <v>130</v>
      </c>
      <c r="T582" s="175" t="str">
        <f>VLOOKUP($S582,Mapping!$C:$C,1,0)</f>
        <v>Manual</v>
      </c>
      <c r="U582" s="175"/>
      <c r="V582" s="175"/>
      <c r="W582" s="175"/>
      <c r="X582" s="175"/>
      <c r="Y582" s="174" t="s">
        <v>469</v>
      </c>
      <c r="Z582" s="174" t="s">
        <v>511</v>
      </c>
      <c r="AA582" s="174" t="s">
        <v>24</v>
      </c>
      <c r="AB582" s="174"/>
      <c r="AC582" s="174" t="s">
        <v>794</v>
      </c>
      <c r="AD582" s="174" t="s">
        <v>483</v>
      </c>
      <c r="AE582" s="175"/>
      <c r="AF582" s="175"/>
      <c r="AG582" s="176">
        <v>43164.718506944446</v>
      </c>
      <c r="AH582" s="176">
        <v>43164.718506944446</v>
      </c>
      <c r="AI582" s="174" t="s">
        <v>473</v>
      </c>
      <c r="AJ582" s="175"/>
      <c r="AK582" s="178">
        <v>1</v>
      </c>
    </row>
    <row r="583" spans="1:37" x14ac:dyDescent="0.25">
      <c r="A583" s="174" t="s">
        <v>461</v>
      </c>
      <c r="B583" s="174" t="s">
        <v>1892</v>
      </c>
      <c r="C583" s="175"/>
      <c r="D583" s="174" t="s">
        <v>463</v>
      </c>
      <c r="E583" s="174" t="s">
        <v>506</v>
      </c>
      <c r="F583" s="176">
        <v>43164</v>
      </c>
      <c r="G583" s="176">
        <v>43165</v>
      </c>
      <c r="H583" s="174" t="s">
        <v>1863</v>
      </c>
      <c r="I583" s="175" t="e">
        <f>VLOOKUP($H583,Mapping!$A:$A,1,0)</f>
        <v>#N/A</v>
      </c>
      <c r="J583" s="179" t="s">
        <v>486</v>
      </c>
      <c r="K583" s="174" t="s">
        <v>871</v>
      </c>
      <c r="L583" s="178">
        <v>1000000</v>
      </c>
      <c r="M583" s="178">
        <v>100.0625</v>
      </c>
      <c r="N583" s="178">
        <v>2.2175195864999999</v>
      </c>
      <c r="O583" s="178">
        <v>-1000991.8478260899</v>
      </c>
      <c r="P583" s="174" t="s">
        <v>337</v>
      </c>
      <c r="Q583" s="174" t="s">
        <v>872</v>
      </c>
      <c r="R583" s="174" t="s">
        <v>23</v>
      </c>
      <c r="S583" s="174" t="s">
        <v>130</v>
      </c>
      <c r="T583" s="175" t="str">
        <f>VLOOKUP($S583,Mapping!$C:$C,1,0)</f>
        <v>Manual</v>
      </c>
      <c r="U583" s="175"/>
      <c r="V583" s="175"/>
      <c r="W583" s="175"/>
      <c r="X583" s="175"/>
      <c r="Y583" s="174" t="s">
        <v>469</v>
      </c>
      <c r="Z583" s="174" t="s">
        <v>511</v>
      </c>
      <c r="AA583" s="174" t="s">
        <v>24</v>
      </c>
      <c r="AB583" s="174"/>
      <c r="AC583" s="174" t="s">
        <v>794</v>
      </c>
      <c r="AD583" s="174" t="s">
        <v>483</v>
      </c>
      <c r="AE583" s="175"/>
      <c r="AF583" s="175"/>
      <c r="AG583" s="176">
        <v>43164.718506944446</v>
      </c>
      <c r="AH583" s="176">
        <v>43164.718506944446</v>
      </c>
      <c r="AI583" s="174" t="s">
        <v>473</v>
      </c>
      <c r="AJ583" s="175"/>
      <c r="AK583" s="178">
        <v>1</v>
      </c>
    </row>
    <row r="584" spans="1:37" x14ac:dyDescent="0.25">
      <c r="A584" s="174" t="s">
        <v>461</v>
      </c>
      <c r="B584" s="174" t="s">
        <v>1893</v>
      </c>
      <c r="C584" s="175"/>
      <c r="D584" s="174" t="s">
        <v>463</v>
      </c>
      <c r="E584" s="174" t="s">
        <v>506</v>
      </c>
      <c r="F584" s="176">
        <v>43164</v>
      </c>
      <c r="G584" s="176">
        <v>43165</v>
      </c>
      <c r="H584" s="174" t="s">
        <v>1863</v>
      </c>
      <c r="I584" s="175" t="e">
        <f>VLOOKUP($H584,Mapping!$A:$A,1,0)</f>
        <v>#N/A</v>
      </c>
      <c r="J584" s="179" t="s">
        <v>486</v>
      </c>
      <c r="K584" s="174" t="s">
        <v>871</v>
      </c>
      <c r="L584" s="178">
        <v>1000000</v>
      </c>
      <c r="M584" s="178">
        <v>100.06640625</v>
      </c>
      <c r="N584" s="178">
        <v>2.2154968293000001</v>
      </c>
      <c r="O584" s="178">
        <v>-1001030.9103260899</v>
      </c>
      <c r="P584" s="174" t="s">
        <v>337</v>
      </c>
      <c r="Q584" s="174" t="s">
        <v>872</v>
      </c>
      <c r="R584" s="174" t="s">
        <v>23</v>
      </c>
      <c r="S584" s="174" t="s">
        <v>130</v>
      </c>
      <c r="T584" s="175" t="str">
        <f>VLOOKUP($S584,Mapping!$C:$C,1,0)</f>
        <v>Manual</v>
      </c>
      <c r="U584" s="175"/>
      <c r="V584" s="175"/>
      <c r="W584" s="175"/>
      <c r="X584" s="175"/>
      <c r="Y584" s="174" t="s">
        <v>469</v>
      </c>
      <c r="Z584" s="174" t="s">
        <v>511</v>
      </c>
      <c r="AA584" s="174" t="s">
        <v>24</v>
      </c>
      <c r="AB584" s="174"/>
      <c r="AC584" s="174" t="s">
        <v>794</v>
      </c>
      <c r="AD584" s="174" t="s">
        <v>483</v>
      </c>
      <c r="AE584" s="175"/>
      <c r="AF584" s="175"/>
      <c r="AG584" s="176">
        <v>43164.718518518515</v>
      </c>
      <c r="AH584" s="176">
        <v>43164.718518518515</v>
      </c>
      <c r="AI584" s="174" t="s">
        <v>473</v>
      </c>
      <c r="AJ584" s="175"/>
      <c r="AK584" s="178">
        <v>1</v>
      </c>
    </row>
    <row r="585" spans="1:37" x14ac:dyDescent="0.25">
      <c r="A585" s="174" t="s">
        <v>461</v>
      </c>
      <c r="B585" s="174" t="s">
        <v>1894</v>
      </c>
      <c r="C585" s="175"/>
      <c r="D585" s="174" t="s">
        <v>463</v>
      </c>
      <c r="E585" s="174" t="s">
        <v>506</v>
      </c>
      <c r="F585" s="176">
        <v>43164</v>
      </c>
      <c r="G585" s="176">
        <v>43165</v>
      </c>
      <c r="H585" s="174" t="s">
        <v>1863</v>
      </c>
      <c r="I585" s="175" t="e">
        <f>VLOOKUP($H585,Mapping!$A:$A,1,0)</f>
        <v>#N/A</v>
      </c>
      <c r="J585" s="179" t="s">
        <v>486</v>
      </c>
      <c r="K585" s="174" t="s">
        <v>871</v>
      </c>
      <c r="L585" s="178">
        <v>1000000</v>
      </c>
      <c r="M585" s="178">
        <v>100.06640625</v>
      </c>
      <c r="N585" s="178">
        <v>2.2154968293000001</v>
      </c>
      <c r="O585" s="178">
        <v>-1001030.9103260899</v>
      </c>
      <c r="P585" s="174" t="s">
        <v>337</v>
      </c>
      <c r="Q585" s="174" t="s">
        <v>872</v>
      </c>
      <c r="R585" s="174" t="s">
        <v>23</v>
      </c>
      <c r="S585" s="174" t="s">
        <v>130</v>
      </c>
      <c r="T585" s="175" t="str">
        <f>VLOOKUP($S585,Mapping!$C:$C,1,0)</f>
        <v>Manual</v>
      </c>
      <c r="U585" s="175"/>
      <c r="V585" s="175"/>
      <c r="W585" s="175"/>
      <c r="X585" s="175"/>
      <c r="Y585" s="174" t="s">
        <v>469</v>
      </c>
      <c r="Z585" s="174" t="s">
        <v>511</v>
      </c>
      <c r="AA585" s="174" t="s">
        <v>24</v>
      </c>
      <c r="AB585" s="174"/>
      <c r="AC585" s="174" t="s">
        <v>794</v>
      </c>
      <c r="AD585" s="174" t="s">
        <v>483</v>
      </c>
      <c r="AE585" s="175"/>
      <c r="AF585" s="175"/>
      <c r="AG585" s="176">
        <v>43164.718530092592</v>
      </c>
      <c r="AH585" s="176">
        <v>43164.718530092592</v>
      </c>
      <c r="AI585" s="174" t="s">
        <v>473</v>
      </c>
      <c r="AJ585" s="175"/>
      <c r="AK585" s="178">
        <v>1</v>
      </c>
    </row>
    <row r="586" spans="1:37" x14ac:dyDescent="0.25">
      <c r="A586" s="174" t="s">
        <v>461</v>
      </c>
      <c r="B586" s="174" t="s">
        <v>1895</v>
      </c>
      <c r="C586" s="175"/>
      <c r="D586" s="174" t="s">
        <v>463</v>
      </c>
      <c r="E586" s="174" t="s">
        <v>506</v>
      </c>
      <c r="F586" s="176">
        <v>43164</v>
      </c>
      <c r="G586" s="176">
        <v>43165</v>
      </c>
      <c r="H586" s="174" t="s">
        <v>1863</v>
      </c>
      <c r="I586" s="175" t="e">
        <f>VLOOKUP($H586,Mapping!$A:$A,1,0)</f>
        <v>#N/A</v>
      </c>
      <c r="J586" s="179" t="s">
        <v>486</v>
      </c>
      <c r="K586" s="174" t="s">
        <v>871</v>
      </c>
      <c r="L586" s="178">
        <v>1000000</v>
      </c>
      <c r="M586" s="178">
        <v>100.06640625</v>
      </c>
      <c r="N586" s="178">
        <v>2.2154968293000001</v>
      </c>
      <c r="O586" s="178">
        <v>-1001030.9103260899</v>
      </c>
      <c r="P586" s="174" t="s">
        <v>337</v>
      </c>
      <c r="Q586" s="174" t="s">
        <v>872</v>
      </c>
      <c r="R586" s="174" t="s">
        <v>23</v>
      </c>
      <c r="S586" s="174" t="s">
        <v>130</v>
      </c>
      <c r="T586" s="175" t="str">
        <f>VLOOKUP($S586,Mapping!$C:$C,1,0)</f>
        <v>Manual</v>
      </c>
      <c r="U586" s="175"/>
      <c r="V586" s="175"/>
      <c r="W586" s="175"/>
      <c r="X586" s="175"/>
      <c r="Y586" s="174" t="s">
        <v>469</v>
      </c>
      <c r="Z586" s="174" t="s">
        <v>511</v>
      </c>
      <c r="AA586" s="174" t="s">
        <v>24</v>
      </c>
      <c r="AB586" s="174"/>
      <c r="AC586" s="174" t="s">
        <v>794</v>
      </c>
      <c r="AD586" s="174" t="s">
        <v>483</v>
      </c>
      <c r="AE586" s="175"/>
      <c r="AF586" s="175"/>
      <c r="AG586" s="176">
        <v>43164.718541666669</v>
      </c>
      <c r="AH586" s="176">
        <v>43164.718541666669</v>
      </c>
      <c r="AI586" s="174" t="s">
        <v>473</v>
      </c>
      <c r="AJ586" s="175"/>
      <c r="AK586" s="178">
        <v>1</v>
      </c>
    </row>
    <row r="587" spans="1:37" x14ac:dyDescent="0.25">
      <c r="A587" s="174" t="s">
        <v>461</v>
      </c>
      <c r="B587" s="174" t="s">
        <v>1896</v>
      </c>
      <c r="C587" s="175"/>
      <c r="D587" s="174" t="s">
        <v>463</v>
      </c>
      <c r="E587" s="174" t="s">
        <v>506</v>
      </c>
      <c r="F587" s="176">
        <v>43164</v>
      </c>
      <c r="G587" s="176">
        <v>43165</v>
      </c>
      <c r="H587" s="174" t="s">
        <v>1863</v>
      </c>
      <c r="I587" s="175" t="e">
        <f>VLOOKUP($H587,Mapping!$A:$A,1,0)</f>
        <v>#N/A</v>
      </c>
      <c r="J587" s="179" t="s">
        <v>486</v>
      </c>
      <c r="K587" s="174" t="s">
        <v>871</v>
      </c>
      <c r="L587" s="178">
        <v>1000000</v>
      </c>
      <c r="M587" s="178">
        <v>100.06640625</v>
      </c>
      <c r="N587" s="178">
        <v>2.2154968293000001</v>
      </c>
      <c r="O587" s="178">
        <v>-1001030.9103260899</v>
      </c>
      <c r="P587" s="174" t="s">
        <v>337</v>
      </c>
      <c r="Q587" s="174" t="s">
        <v>872</v>
      </c>
      <c r="R587" s="174" t="s">
        <v>23</v>
      </c>
      <c r="S587" s="174" t="s">
        <v>130</v>
      </c>
      <c r="T587" s="175" t="str">
        <f>VLOOKUP($S587,Mapping!$C:$C,1,0)</f>
        <v>Manual</v>
      </c>
      <c r="U587" s="175"/>
      <c r="V587" s="175"/>
      <c r="W587" s="175"/>
      <c r="X587" s="175"/>
      <c r="Y587" s="174" t="s">
        <v>469</v>
      </c>
      <c r="Z587" s="174" t="s">
        <v>511</v>
      </c>
      <c r="AA587" s="174" t="s">
        <v>24</v>
      </c>
      <c r="AB587" s="174"/>
      <c r="AC587" s="174" t="s">
        <v>794</v>
      </c>
      <c r="AD587" s="174" t="s">
        <v>483</v>
      </c>
      <c r="AE587" s="175"/>
      <c r="AF587" s="175"/>
      <c r="AG587" s="176">
        <v>43164.718541666669</v>
      </c>
      <c r="AH587" s="176">
        <v>43164.718541666669</v>
      </c>
      <c r="AI587" s="174" t="s">
        <v>473</v>
      </c>
      <c r="AJ587" s="175"/>
      <c r="AK587" s="178">
        <v>1</v>
      </c>
    </row>
    <row r="588" spans="1:37" x14ac:dyDescent="0.25">
      <c r="A588" s="174" t="s">
        <v>461</v>
      </c>
      <c r="B588" s="174" t="s">
        <v>1897</v>
      </c>
      <c r="C588" s="175"/>
      <c r="D588" s="174" t="s">
        <v>463</v>
      </c>
      <c r="E588" s="174" t="s">
        <v>506</v>
      </c>
      <c r="F588" s="176">
        <v>43164</v>
      </c>
      <c r="G588" s="176">
        <v>43165</v>
      </c>
      <c r="H588" s="174" t="s">
        <v>1863</v>
      </c>
      <c r="I588" s="175" t="e">
        <f>VLOOKUP($H588,Mapping!$A:$A,1,0)</f>
        <v>#N/A</v>
      </c>
      <c r="J588" s="179" t="s">
        <v>486</v>
      </c>
      <c r="K588" s="174" t="s">
        <v>871</v>
      </c>
      <c r="L588" s="178">
        <v>1000000</v>
      </c>
      <c r="M588" s="178">
        <v>100.06640625</v>
      </c>
      <c r="N588" s="178">
        <v>2.2154968293000001</v>
      </c>
      <c r="O588" s="178">
        <v>-1001030.9103260899</v>
      </c>
      <c r="P588" s="174" t="s">
        <v>337</v>
      </c>
      <c r="Q588" s="174" t="s">
        <v>872</v>
      </c>
      <c r="R588" s="174" t="s">
        <v>23</v>
      </c>
      <c r="S588" s="174" t="s">
        <v>130</v>
      </c>
      <c r="T588" s="175" t="str">
        <f>VLOOKUP($S588,Mapping!$C:$C,1,0)</f>
        <v>Manual</v>
      </c>
      <c r="U588" s="175"/>
      <c r="V588" s="175"/>
      <c r="W588" s="175"/>
      <c r="X588" s="175"/>
      <c r="Y588" s="174" t="s">
        <v>469</v>
      </c>
      <c r="Z588" s="174" t="s">
        <v>511</v>
      </c>
      <c r="AA588" s="174" t="s">
        <v>24</v>
      </c>
      <c r="AB588" s="174"/>
      <c r="AC588" s="174" t="s">
        <v>794</v>
      </c>
      <c r="AD588" s="174" t="s">
        <v>483</v>
      </c>
      <c r="AE588" s="175"/>
      <c r="AF588" s="175"/>
      <c r="AG588" s="176">
        <v>43164.718541666669</v>
      </c>
      <c r="AH588" s="176">
        <v>43164.718541666669</v>
      </c>
      <c r="AI588" s="174" t="s">
        <v>473</v>
      </c>
      <c r="AJ588" s="175"/>
      <c r="AK588" s="178">
        <v>1</v>
      </c>
    </row>
    <row r="589" spans="1:37" x14ac:dyDescent="0.25">
      <c r="A589" s="174" t="s">
        <v>461</v>
      </c>
      <c r="B589" s="174" t="s">
        <v>1898</v>
      </c>
      <c r="C589" s="175"/>
      <c r="D589" s="174" t="s">
        <v>463</v>
      </c>
      <c r="E589" s="174" t="s">
        <v>506</v>
      </c>
      <c r="F589" s="176">
        <v>43164</v>
      </c>
      <c r="G589" s="176">
        <v>43165</v>
      </c>
      <c r="H589" s="174" t="s">
        <v>1863</v>
      </c>
      <c r="I589" s="175" t="e">
        <f>VLOOKUP($H589,Mapping!$A:$A,1,0)</f>
        <v>#N/A</v>
      </c>
      <c r="J589" s="179" t="s">
        <v>486</v>
      </c>
      <c r="K589" s="174" t="s">
        <v>871</v>
      </c>
      <c r="L589" s="178">
        <v>1000000</v>
      </c>
      <c r="M589" s="178">
        <v>100.06640625</v>
      </c>
      <c r="N589" s="178">
        <v>2.2154968293000001</v>
      </c>
      <c r="O589" s="178">
        <v>-1001030.9103260899</v>
      </c>
      <c r="P589" s="174" t="s">
        <v>337</v>
      </c>
      <c r="Q589" s="174" t="s">
        <v>872</v>
      </c>
      <c r="R589" s="174" t="s">
        <v>23</v>
      </c>
      <c r="S589" s="174" t="s">
        <v>130</v>
      </c>
      <c r="T589" s="175" t="str">
        <f>VLOOKUP($S589,Mapping!$C:$C,1,0)</f>
        <v>Manual</v>
      </c>
      <c r="U589" s="175"/>
      <c r="V589" s="175"/>
      <c r="W589" s="175"/>
      <c r="X589" s="175"/>
      <c r="Y589" s="174" t="s">
        <v>469</v>
      </c>
      <c r="Z589" s="174" t="s">
        <v>511</v>
      </c>
      <c r="AA589" s="174" t="s">
        <v>24</v>
      </c>
      <c r="AB589" s="174"/>
      <c r="AC589" s="174" t="s">
        <v>794</v>
      </c>
      <c r="AD589" s="174" t="s">
        <v>483</v>
      </c>
      <c r="AE589" s="175"/>
      <c r="AF589" s="175"/>
      <c r="AG589" s="176">
        <v>43164.718553240738</v>
      </c>
      <c r="AH589" s="176">
        <v>43164.718553240738</v>
      </c>
      <c r="AI589" s="174" t="s">
        <v>473</v>
      </c>
      <c r="AJ589" s="175"/>
      <c r="AK589" s="178">
        <v>1</v>
      </c>
    </row>
    <row r="590" spans="1:37" x14ac:dyDescent="0.25">
      <c r="A590" s="174" t="s">
        <v>461</v>
      </c>
      <c r="B590" s="174" t="s">
        <v>1899</v>
      </c>
      <c r="C590" s="175"/>
      <c r="D590" s="174" t="s">
        <v>463</v>
      </c>
      <c r="E590" s="174" t="s">
        <v>506</v>
      </c>
      <c r="F590" s="176">
        <v>43164</v>
      </c>
      <c r="G590" s="176">
        <v>43165</v>
      </c>
      <c r="H590" s="174" t="s">
        <v>1863</v>
      </c>
      <c r="I590" s="175" t="e">
        <f>VLOOKUP($H590,Mapping!$A:$A,1,0)</f>
        <v>#N/A</v>
      </c>
      <c r="J590" s="179" t="s">
        <v>486</v>
      </c>
      <c r="K590" s="174" t="s">
        <v>871</v>
      </c>
      <c r="L590" s="178">
        <v>1000000</v>
      </c>
      <c r="M590" s="178">
        <v>100.0625</v>
      </c>
      <c r="N590" s="178">
        <v>2.2175195864999999</v>
      </c>
      <c r="O590" s="178">
        <v>-1000991.8478260899</v>
      </c>
      <c r="P590" s="174" t="s">
        <v>337</v>
      </c>
      <c r="Q590" s="174" t="s">
        <v>872</v>
      </c>
      <c r="R590" s="174" t="s">
        <v>23</v>
      </c>
      <c r="S590" s="174" t="s">
        <v>130</v>
      </c>
      <c r="T590" s="175" t="str">
        <f>VLOOKUP($S590,Mapping!$C:$C,1,0)</f>
        <v>Manual</v>
      </c>
      <c r="U590" s="175"/>
      <c r="V590" s="175"/>
      <c r="W590" s="175"/>
      <c r="X590" s="175"/>
      <c r="Y590" s="174" t="s">
        <v>469</v>
      </c>
      <c r="Z590" s="174" t="s">
        <v>511</v>
      </c>
      <c r="AA590" s="174" t="s">
        <v>24</v>
      </c>
      <c r="AB590" s="174"/>
      <c r="AC590" s="174" t="s">
        <v>794</v>
      </c>
      <c r="AD590" s="174" t="s">
        <v>483</v>
      </c>
      <c r="AE590" s="175"/>
      <c r="AF590" s="175"/>
      <c r="AG590" s="176">
        <v>43164.718564814815</v>
      </c>
      <c r="AH590" s="176">
        <v>43164.718564814815</v>
      </c>
      <c r="AI590" s="174" t="s">
        <v>473</v>
      </c>
      <c r="AJ590" s="175"/>
      <c r="AK590" s="178">
        <v>1</v>
      </c>
    </row>
    <row r="591" spans="1:37" x14ac:dyDescent="0.25">
      <c r="A591" s="174" t="s">
        <v>461</v>
      </c>
      <c r="B591" s="174" t="s">
        <v>1900</v>
      </c>
      <c r="C591" s="175"/>
      <c r="D591" s="174" t="s">
        <v>463</v>
      </c>
      <c r="E591" s="174" t="s">
        <v>506</v>
      </c>
      <c r="F591" s="176">
        <v>43164</v>
      </c>
      <c r="G591" s="176">
        <v>43165</v>
      </c>
      <c r="H591" s="174" t="s">
        <v>1863</v>
      </c>
      <c r="I591" s="175" t="e">
        <f>VLOOKUP($H591,Mapping!$A:$A,1,0)</f>
        <v>#N/A</v>
      </c>
      <c r="J591" s="179" t="s">
        <v>486</v>
      </c>
      <c r="K591" s="174" t="s">
        <v>871</v>
      </c>
      <c r="L591" s="178">
        <v>2000000</v>
      </c>
      <c r="M591" s="178">
        <v>100.06640625</v>
      </c>
      <c r="N591" s="178">
        <v>2.2154968293000001</v>
      </c>
      <c r="O591" s="178">
        <v>-2002061.8206521699</v>
      </c>
      <c r="P591" s="174" t="s">
        <v>337</v>
      </c>
      <c r="Q591" s="174" t="s">
        <v>872</v>
      </c>
      <c r="R591" s="174" t="s">
        <v>23</v>
      </c>
      <c r="S591" s="174" t="s">
        <v>130</v>
      </c>
      <c r="T591" s="175" t="str">
        <f>VLOOKUP($S591,Mapping!$C:$C,1,0)</f>
        <v>Manual</v>
      </c>
      <c r="U591" s="175"/>
      <c r="V591" s="175"/>
      <c r="W591" s="175"/>
      <c r="X591" s="175"/>
      <c r="Y591" s="174" t="s">
        <v>469</v>
      </c>
      <c r="Z591" s="174" t="s">
        <v>511</v>
      </c>
      <c r="AA591" s="174" t="s">
        <v>24</v>
      </c>
      <c r="AB591" s="174"/>
      <c r="AC591" s="174" t="s">
        <v>794</v>
      </c>
      <c r="AD591" s="174" t="s">
        <v>483</v>
      </c>
      <c r="AE591" s="175"/>
      <c r="AF591" s="175"/>
      <c r="AG591" s="176">
        <v>43164.718576388892</v>
      </c>
      <c r="AH591" s="176">
        <v>43164.718576388892</v>
      </c>
      <c r="AI591" s="174" t="s">
        <v>473</v>
      </c>
      <c r="AJ591" s="175"/>
      <c r="AK591" s="178">
        <v>1</v>
      </c>
    </row>
    <row r="592" spans="1:37" x14ac:dyDescent="0.25">
      <c r="A592" s="174" t="s">
        <v>461</v>
      </c>
      <c r="B592" s="174" t="s">
        <v>1901</v>
      </c>
      <c r="C592" s="175"/>
      <c r="D592" s="174" t="s">
        <v>463</v>
      </c>
      <c r="E592" s="174" t="s">
        <v>506</v>
      </c>
      <c r="F592" s="176">
        <v>43164</v>
      </c>
      <c r="G592" s="176">
        <v>43165</v>
      </c>
      <c r="H592" s="174" t="s">
        <v>1863</v>
      </c>
      <c r="I592" s="175" t="e">
        <f>VLOOKUP($H592,Mapping!$A:$A,1,0)</f>
        <v>#N/A</v>
      </c>
      <c r="J592" s="179" t="s">
        <v>486</v>
      </c>
      <c r="K592" s="174" t="s">
        <v>871</v>
      </c>
      <c r="L592" s="178">
        <v>1000000</v>
      </c>
      <c r="M592" s="178">
        <v>100.06640625</v>
      </c>
      <c r="N592" s="178">
        <v>2.2154968293000001</v>
      </c>
      <c r="O592" s="178">
        <v>-1001030.9103260899</v>
      </c>
      <c r="P592" s="174" t="s">
        <v>337</v>
      </c>
      <c r="Q592" s="174" t="s">
        <v>872</v>
      </c>
      <c r="R592" s="174" t="s">
        <v>23</v>
      </c>
      <c r="S592" s="174" t="s">
        <v>130</v>
      </c>
      <c r="T592" s="175" t="str">
        <f>VLOOKUP($S592,Mapping!$C:$C,1,0)</f>
        <v>Manual</v>
      </c>
      <c r="U592" s="175"/>
      <c r="V592" s="175"/>
      <c r="W592" s="175"/>
      <c r="X592" s="175"/>
      <c r="Y592" s="174" t="s">
        <v>469</v>
      </c>
      <c r="Z592" s="174" t="s">
        <v>511</v>
      </c>
      <c r="AA592" s="174" t="s">
        <v>24</v>
      </c>
      <c r="AB592" s="174"/>
      <c r="AC592" s="174" t="s">
        <v>794</v>
      </c>
      <c r="AD592" s="174" t="s">
        <v>483</v>
      </c>
      <c r="AE592" s="175"/>
      <c r="AF592" s="175"/>
      <c r="AG592" s="176">
        <v>43164.718576388892</v>
      </c>
      <c r="AH592" s="176">
        <v>43164.718576388892</v>
      </c>
      <c r="AI592" s="174" t="s">
        <v>473</v>
      </c>
      <c r="AJ592" s="175"/>
      <c r="AK592" s="178">
        <v>1</v>
      </c>
    </row>
    <row r="593" spans="1:37" x14ac:dyDescent="0.25">
      <c r="A593" s="174" t="s">
        <v>461</v>
      </c>
      <c r="B593" s="174" t="s">
        <v>1902</v>
      </c>
      <c r="C593" s="175"/>
      <c r="D593" s="174" t="s">
        <v>463</v>
      </c>
      <c r="E593" s="174" t="s">
        <v>506</v>
      </c>
      <c r="F593" s="176">
        <v>43164</v>
      </c>
      <c r="G593" s="176">
        <v>43165</v>
      </c>
      <c r="H593" s="174" t="s">
        <v>1863</v>
      </c>
      <c r="I593" s="175" t="e">
        <f>VLOOKUP($H593,Mapping!$A:$A,1,0)</f>
        <v>#N/A</v>
      </c>
      <c r="J593" s="179" t="s">
        <v>486</v>
      </c>
      <c r="K593" s="174" t="s">
        <v>871</v>
      </c>
      <c r="L593" s="178">
        <v>1000000</v>
      </c>
      <c r="M593" s="178">
        <v>100.0625</v>
      </c>
      <c r="N593" s="178">
        <v>2.2175195864999999</v>
      </c>
      <c r="O593" s="178">
        <v>-1000991.8478260899</v>
      </c>
      <c r="P593" s="174" t="s">
        <v>337</v>
      </c>
      <c r="Q593" s="174" t="s">
        <v>872</v>
      </c>
      <c r="R593" s="174" t="s">
        <v>23</v>
      </c>
      <c r="S593" s="174" t="s">
        <v>130</v>
      </c>
      <c r="T593" s="175" t="str">
        <f>VLOOKUP($S593,Mapping!$C:$C,1,0)</f>
        <v>Manual</v>
      </c>
      <c r="U593" s="175"/>
      <c r="V593" s="175"/>
      <c r="W593" s="175"/>
      <c r="X593" s="175"/>
      <c r="Y593" s="174" t="s">
        <v>469</v>
      </c>
      <c r="Z593" s="174" t="s">
        <v>511</v>
      </c>
      <c r="AA593" s="174" t="s">
        <v>24</v>
      </c>
      <c r="AB593" s="174"/>
      <c r="AC593" s="174" t="s">
        <v>794</v>
      </c>
      <c r="AD593" s="174" t="s">
        <v>483</v>
      </c>
      <c r="AE593" s="175"/>
      <c r="AF593" s="175"/>
      <c r="AG593" s="176">
        <v>43164.718587962961</v>
      </c>
      <c r="AH593" s="176">
        <v>43164.718587962961</v>
      </c>
      <c r="AI593" s="174" t="s">
        <v>473</v>
      </c>
      <c r="AJ593" s="175"/>
      <c r="AK593" s="178">
        <v>1</v>
      </c>
    </row>
    <row r="594" spans="1:37" x14ac:dyDescent="0.25">
      <c r="A594" s="174" t="s">
        <v>461</v>
      </c>
      <c r="B594" s="174" t="s">
        <v>1903</v>
      </c>
      <c r="C594" s="175"/>
      <c r="D594" s="174" t="s">
        <v>463</v>
      </c>
      <c r="E594" s="174" t="s">
        <v>506</v>
      </c>
      <c r="F594" s="176">
        <v>43164</v>
      </c>
      <c r="G594" s="176">
        <v>43165</v>
      </c>
      <c r="H594" s="174" t="s">
        <v>1863</v>
      </c>
      <c r="I594" s="175" t="e">
        <f>VLOOKUP($H594,Mapping!$A:$A,1,0)</f>
        <v>#N/A</v>
      </c>
      <c r="J594" s="179" t="s">
        <v>486</v>
      </c>
      <c r="K594" s="174" t="s">
        <v>871</v>
      </c>
      <c r="L594" s="178">
        <v>1000000</v>
      </c>
      <c r="M594" s="178">
        <v>100.0625</v>
      </c>
      <c r="N594" s="178">
        <v>2.2175195864999999</v>
      </c>
      <c r="O594" s="178">
        <v>-1000991.8478260899</v>
      </c>
      <c r="P594" s="174" t="s">
        <v>337</v>
      </c>
      <c r="Q594" s="174" t="s">
        <v>872</v>
      </c>
      <c r="R594" s="174" t="s">
        <v>23</v>
      </c>
      <c r="S594" s="174" t="s">
        <v>130</v>
      </c>
      <c r="T594" s="175" t="str">
        <f>VLOOKUP($S594,Mapping!$C:$C,1,0)</f>
        <v>Manual</v>
      </c>
      <c r="U594" s="175"/>
      <c r="V594" s="175"/>
      <c r="W594" s="175"/>
      <c r="X594" s="175"/>
      <c r="Y594" s="174" t="s">
        <v>469</v>
      </c>
      <c r="Z594" s="174" t="s">
        <v>511</v>
      </c>
      <c r="AA594" s="174" t="s">
        <v>24</v>
      </c>
      <c r="AB594" s="174"/>
      <c r="AC594" s="174" t="s">
        <v>794</v>
      </c>
      <c r="AD594" s="174" t="s">
        <v>483</v>
      </c>
      <c r="AE594" s="175"/>
      <c r="AF594" s="175"/>
      <c r="AG594" s="176">
        <v>43164.718599537038</v>
      </c>
      <c r="AH594" s="176">
        <v>43164.718599537038</v>
      </c>
      <c r="AI594" s="174" t="s">
        <v>473</v>
      </c>
      <c r="AJ594" s="175"/>
      <c r="AK594" s="178">
        <v>1</v>
      </c>
    </row>
    <row r="595" spans="1:37" x14ac:dyDescent="0.25">
      <c r="A595" s="174" t="s">
        <v>461</v>
      </c>
      <c r="B595" s="174" t="s">
        <v>1904</v>
      </c>
      <c r="C595" s="175"/>
      <c r="D595" s="174" t="s">
        <v>463</v>
      </c>
      <c r="E595" s="174" t="s">
        <v>506</v>
      </c>
      <c r="F595" s="176">
        <v>43164</v>
      </c>
      <c r="G595" s="176">
        <v>43165</v>
      </c>
      <c r="H595" s="174" t="s">
        <v>1863</v>
      </c>
      <c r="I595" s="175" t="e">
        <f>VLOOKUP($H595,Mapping!$A:$A,1,0)</f>
        <v>#N/A</v>
      </c>
      <c r="J595" s="179" t="s">
        <v>486</v>
      </c>
      <c r="K595" s="174" t="s">
        <v>871</v>
      </c>
      <c r="L595" s="178">
        <v>16000000</v>
      </c>
      <c r="M595" s="178">
        <v>100.0546875</v>
      </c>
      <c r="N595" s="178">
        <v>2.2215654009999999</v>
      </c>
      <c r="O595" s="178">
        <v>-16014619.565217391</v>
      </c>
      <c r="P595" s="174" t="s">
        <v>337</v>
      </c>
      <c r="Q595" s="174" t="s">
        <v>872</v>
      </c>
      <c r="R595" s="174" t="s">
        <v>23</v>
      </c>
      <c r="S595" s="174" t="s">
        <v>130</v>
      </c>
      <c r="T595" s="175" t="str">
        <f>VLOOKUP($S595,Mapping!$C:$C,1,0)</f>
        <v>Manual</v>
      </c>
      <c r="U595" s="175"/>
      <c r="V595" s="175"/>
      <c r="W595" s="175"/>
      <c r="X595" s="175"/>
      <c r="Y595" s="174" t="s">
        <v>469</v>
      </c>
      <c r="Z595" s="174" t="s">
        <v>511</v>
      </c>
      <c r="AA595" s="174" t="s">
        <v>24</v>
      </c>
      <c r="AB595" s="174"/>
      <c r="AC595" s="174" t="s">
        <v>794</v>
      </c>
      <c r="AD595" s="174" t="s">
        <v>483</v>
      </c>
      <c r="AE595" s="175"/>
      <c r="AF595" s="175"/>
      <c r="AG595" s="176">
        <v>43164.718611111108</v>
      </c>
      <c r="AH595" s="176">
        <v>43164.718611111108</v>
      </c>
      <c r="AI595" s="174" t="s">
        <v>473</v>
      </c>
      <c r="AJ595" s="175"/>
      <c r="AK595" s="178">
        <v>1</v>
      </c>
    </row>
    <row r="596" spans="1:37" x14ac:dyDescent="0.25">
      <c r="A596" s="174" t="s">
        <v>461</v>
      </c>
      <c r="B596" s="174" t="s">
        <v>1905</v>
      </c>
      <c r="C596" s="175"/>
      <c r="D596" s="174" t="s">
        <v>463</v>
      </c>
      <c r="E596" s="174" t="s">
        <v>506</v>
      </c>
      <c r="F596" s="176">
        <v>43164</v>
      </c>
      <c r="G596" s="176">
        <v>43165</v>
      </c>
      <c r="H596" s="174" t="s">
        <v>1863</v>
      </c>
      <c r="I596" s="175" t="e">
        <f>VLOOKUP($H596,Mapping!$A:$A,1,0)</f>
        <v>#N/A</v>
      </c>
      <c r="J596" s="179" t="s">
        <v>486</v>
      </c>
      <c r="K596" s="174" t="s">
        <v>871</v>
      </c>
      <c r="L596" s="178">
        <v>1000000</v>
      </c>
      <c r="M596" s="178">
        <v>100.05078125</v>
      </c>
      <c r="N596" s="178">
        <v>2.2235884581000001</v>
      </c>
      <c r="O596" s="178">
        <v>-1000874.6603260899</v>
      </c>
      <c r="P596" s="174" t="s">
        <v>337</v>
      </c>
      <c r="Q596" s="174" t="s">
        <v>872</v>
      </c>
      <c r="R596" s="174" t="s">
        <v>23</v>
      </c>
      <c r="S596" s="174" t="s">
        <v>130</v>
      </c>
      <c r="T596" s="175" t="str">
        <f>VLOOKUP($S596,Mapping!$C:$C,1,0)</f>
        <v>Manual</v>
      </c>
      <c r="U596" s="175"/>
      <c r="V596" s="175"/>
      <c r="W596" s="175"/>
      <c r="X596" s="175"/>
      <c r="Y596" s="174" t="s">
        <v>469</v>
      </c>
      <c r="Z596" s="174" t="s">
        <v>511</v>
      </c>
      <c r="AA596" s="174" t="s">
        <v>24</v>
      </c>
      <c r="AB596" s="174"/>
      <c r="AC596" s="174" t="s">
        <v>794</v>
      </c>
      <c r="AD596" s="174" t="s">
        <v>483</v>
      </c>
      <c r="AE596" s="175"/>
      <c r="AF596" s="175"/>
      <c r="AG596" s="176">
        <v>43164.718622685185</v>
      </c>
      <c r="AH596" s="176">
        <v>43164.718622685185</v>
      </c>
      <c r="AI596" s="174" t="s">
        <v>473</v>
      </c>
      <c r="AJ596" s="175"/>
      <c r="AK596" s="178">
        <v>1</v>
      </c>
    </row>
    <row r="597" spans="1:37" x14ac:dyDescent="0.25">
      <c r="A597" s="174" t="s">
        <v>461</v>
      </c>
      <c r="B597" s="174" t="s">
        <v>1906</v>
      </c>
      <c r="C597" s="175"/>
      <c r="D597" s="174" t="s">
        <v>463</v>
      </c>
      <c r="E597" s="174" t="s">
        <v>506</v>
      </c>
      <c r="F597" s="176">
        <v>43164</v>
      </c>
      <c r="G597" s="176">
        <v>43165</v>
      </c>
      <c r="H597" s="174" t="s">
        <v>1863</v>
      </c>
      <c r="I597" s="175" t="e">
        <f>VLOOKUP($H597,Mapping!$A:$A,1,0)</f>
        <v>#N/A</v>
      </c>
      <c r="J597" s="179" t="s">
        <v>486</v>
      </c>
      <c r="K597" s="174" t="s">
        <v>871</v>
      </c>
      <c r="L597" s="178">
        <v>16000000</v>
      </c>
      <c r="M597" s="178">
        <v>100.04296875</v>
      </c>
      <c r="N597" s="178">
        <v>2.2276348723999999</v>
      </c>
      <c r="O597" s="178">
        <v>-16012744.565217391</v>
      </c>
      <c r="P597" s="174" t="s">
        <v>337</v>
      </c>
      <c r="Q597" s="174" t="s">
        <v>872</v>
      </c>
      <c r="R597" s="174" t="s">
        <v>23</v>
      </c>
      <c r="S597" s="174" t="s">
        <v>130</v>
      </c>
      <c r="T597" s="175" t="str">
        <f>VLOOKUP($S597,Mapping!$C:$C,1,0)</f>
        <v>Manual</v>
      </c>
      <c r="U597" s="175"/>
      <c r="V597" s="175"/>
      <c r="W597" s="175"/>
      <c r="X597" s="175"/>
      <c r="Y597" s="174" t="s">
        <v>469</v>
      </c>
      <c r="Z597" s="174" t="s">
        <v>511</v>
      </c>
      <c r="AA597" s="174" t="s">
        <v>24</v>
      </c>
      <c r="AB597" s="174"/>
      <c r="AC597" s="174" t="s">
        <v>794</v>
      </c>
      <c r="AD597" s="174" t="s">
        <v>483</v>
      </c>
      <c r="AE597" s="175"/>
      <c r="AF597" s="175"/>
      <c r="AG597" s="176">
        <v>43164.718634259261</v>
      </c>
      <c r="AH597" s="176">
        <v>43164.718634259261</v>
      </c>
      <c r="AI597" s="174" t="s">
        <v>473</v>
      </c>
      <c r="AJ597" s="175"/>
      <c r="AK597" s="178">
        <v>1</v>
      </c>
    </row>
    <row r="598" spans="1:37" x14ac:dyDescent="0.25">
      <c r="A598" s="174" t="s">
        <v>461</v>
      </c>
      <c r="B598" s="174" t="s">
        <v>1907</v>
      </c>
      <c r="C598" s="175"/>
      <c r="D598" s="174" t="s">
        <v>463</v>
      </c>
      <c r="E598" s="174" t="s">
        <v>506</v>
      </c>
      <c r="F598" s="176">
        <v>43164</v>
      </c>
      <c r="G598" s="176">
        <v>43165</v>
      </c>
      <c r="H598" s="174" t="s">
        <v>1863</v>
      </c>
      <c r="I598" s="175" t="e">
        <f>VLOOKUP($H598,Mapping!$A:$A,1,0)</f>
        <v>#N/A</v>
      </c>
      <c r="J598" s="179" t="s">
        <v>486</v>
      </c>
      <c r="K598" s="174" t="s">
        <v>871</v>
      </c>
      <c r="L598" s="178">
        <v>8000000</v>
      </c>
      <c r="M598" s="178">
        <v>100.04296875</v>
      </c>
      <c r="N598" s="178">
        <v>2.2276348723999999</v>
      </c>
      <c r="O598" s="178">
        <v>-8006372.2826087</v>
      </c>
      <c r="P598" s="174" t="s">
        <v>337</v>
      </c>
      <c r="Q598" s="174" t="s">
        <v>872</v>
      </c>
      <c r="R598" s="174" t="s">
        <v>23</v>
      </c>
      <c r="S598" s="174" t="s">
        <v>130</v>
      </c>
      <c r="T598" s="175" t="str">
        <f>VLOOKUP($S598,Mapping!$C:$C,1,0)</f>
        <v>Manual</v>
      </c>
      <c r="U598" s="175"/>
      <c r="V598" s="175"/>
      <c r="W598" s="175"/>
      <c r="X598" s="175"/>
      <c r="Y598" s="174" t="s">
        <v>469</v>
      </c>
      <c r="Z598" s="174" t="s">
        <v>511</v>
      </c>
      <c r="AA598" s="174" t="s">
        <v>24</v>
      </c>
      <c r="AB598" s="174"/>
      <c r="AC598" s="174" t="s">
        <v>794</v>
      </c>
      <c r="AD598" s="174" t="s">
        <v>483</v>
      </c>
      <c r="AE598" s="175"/>
      <c r="AF598" s="175"/>
      <c r="AG598" s="176">
        <v>43164.718645833331</v>
      </c>
      <c r="AH598" s="176">
        <v>43164.718645833331</v>
      </c>
      <c r="AI598" s="174" t="s">
        <v>473</v>
      </c>
      <c r="AJ598" s="175"/>
      <c r="AK598" s="178">
        <v>1</v>
      </c>
    </row>
    <row r="599" spans="1:37" x14ac:dyDescent="0.25">
      <c r="A599" s="174" t="s">
        <v>461</v>
      </c>
      <c r="B599" s="174" t="s">
        <v>1908</v>
      </c>
      <c r="C599" s="175"/>
      <c r="D599" s="174" t="s">
        <v>463</v>
      </c>
      <c r="E599" s="174" t="s">
        <v>506</v>
      </c>
      <c r="F599" s="176">
        <v>43164</v>
      </c>
      <c r="G599" s="176">
        <v>43165</v>
      </c>
      <c r="H599" s="174" t="s">
        <v>1863</v>
      </c>
      <c r="I599" s="175" t="e">
        <f>VLOOKUP($H599,Mapping!$A:$A,1,0)</f>
        <v>#N/A</v>
      </c>
      <c r="J599" s="179" t="s">
        <v>486</v>
      </c>
      <c r="K599" s="174" t="s">
        <v>467</v>
      </c>
      <c r="L599" s="178">
        <v>3000000</v>
      </c>
      <c r="M599" s="178">
        <v>99.91796875</v>
      </c>
      <c r="N599" s="178">
        <v>2.6426175092999999</v>
      </c>
      <c r="O599" s="178">
        <v>-2998823.0298913</v>
      </c>
      <c r="P599" s="174" t="s">
        <v>337</v>
      </c>
      <c r="Q599" s="174" t="s">
        <v>468</v>
      </c>
      <c r="R599" s="174" t="s">
        <v>23</v>
      </c>
      <c r="S599" s="174" t="s">
        <v>130</v>
      </c>
      <c r="T599" s="175" t="str">
        <f>VLOOKUP($S599,Mapping!$C:$C,1,0)</f>
        <v>Manual</v>
      </c>
      <c r="U599" s="175"/>
      <c r="V599" s="175"/>
      <c r="W599" s="175"/>
      <c r="X599" s="175"/>
      <c r="Y599" s="174" t="s">
        <v>469</v>
      </c>
      <c r="Z599" s="174" t="s">
        <v>511</v>
      </c>
      <c r="AA599" s="174" t="s">
        <v>24</v>
      </c>
      <c r="AB599" s="174"/>
      <c r="AC599" s="174" t="s">
        <v>794</v>
      </c>
      <c r="AD599" s="174" t="s">
        <v>483</v>
      </c>
      <c r="AE599" s="175"/>
      <c r="AF599" s="175"/>
      <c r="AG599" s="176">
        <v>43164.718645833331</v>
      </c>
      <c r="AH599" s="176">
        <v>43164.718645833331</v>
      </c>
      <c r="AI599" s="174" t="s">
        <v>473</v>
      </c>
      <c r="AJ599" s="175"/>
      <c r="AK599" s="178">
        <v>1</v>
      </c>
    </row>
    <row r="600" spans="1:37" x14ac:dyDescent="0.25">
      <c r="A600" s="174" t="s">
        <v>461</v>
      </c>
      <c r="B600" s="174" t="s">
        <v>1909</v>
      </c>
      <c r="C600" s="175"/>
      <c r="D600" s="174" t="s">
        <v>463</v>
      </c>
      <c r="E600" s="174" t="s">
        <v>506</v>
      </c>
      <c r="F600" s="176">
        <v>43164</v>
      </c>
      <c r="G600" s="176">
        <v>43165</v>
      </c>
      <c r="H600" s="174" t="s">
        <v>1863</v>
      </c>
      <c r="I600" s="175" t="e">
        <f>VLOOKUP($H600,Mapping!$A:$A,1,0)</f>
        <v>#N/A</v>
      </c>
      <c r="J600" s="179" t="s">
        <v>486</v>
      </c>
      <c r="K600" s="174" t="s">
        <v>467</v>
      </c>
      <c r="L600" s="178">
        <v>3000000</v>
      </c>
      <c r="M600" s="178">
        <v>99.91796875</v>
      </c>
      <c r="N600" s="178">
        <v>2.6426175092999999</v>
      </c>
      <c r="O600" s="178">
        <v>-2998823.0298913</v>
      </c>
      <c r="P600" s="174" t="s">
        <v>337</v>
      </c>
      <c r="Q600" s="174" t="s">
        <v>468</v>
      </c>
      <c r="R600" s="174" t="s">
        <v>23</v>
      </c>
      <c r="S600" s="174" t="s">
        <v>130</v>
      </c>
      <c r="T600" s="175" t="str">
        <f>VLOOKUP($S600,Mapping!$C:$C,1,0)</f>
        <v>Manual</v>
      </c>
      <c r="U600" s="175"/>
      <c r="V600" s="175"/>
      <c r="W600" s="175"/>
      <c r="X600" s="175"/>
      <c r="Y600" s="174" t="s">
        <v>469</v>
      </c>
      <c r="Z600" s="174" t="s">
        <v>511</v>
      </c>
      <c r="AA600" s="174" t="s">
        <v>24</v>
      </c>
      <c r="AB600" s="174"/>
      <c r="AC600" s="174" t="s">
        <v>794</v>
      </c>
      <c r="AD600" s="174" t="s">
        <v>483</v>
      </c>
      <c r="AE600" s="175"/>
      <c r="AF600" s="175"/>
      <c r="AG600" s="176">
        <v>43164.718645833331</v>
      </c>
      <c r="AH600" s="176">
        <v>43164.718645833331</v>
      </c>
      <c r="AI600" s="174" t="s">
        <v>473</v>
      </c>
      <c r="AJ600" s="175"/>
      <c r="AK600" s="178">
        <v>1</v>
      </c>
    </row>
    <row r="601" spans="1:37" x14ac:dyDescent="0.25">
      <c r="A601" s="174" t="s">
        <v>461</v>
      </c>
      <c r="B601" s="174" t="s">
        <v>1910</v>
      </c>
      <c r="C601" s="175"/>
      <c r="D601" s="174" t="s">
        <v>463</v>
      </c>
      <c r="E601" s="174" t="s">
        <v>506</v>
      </c>
      <c r="F601" s="176">
        <v>43164</v>
      </c>
      <c r="G601" s="176">
        <v>43165</v>
      </c>
      <c r="H601" s="174" t="s">
        <v>1863</v>
      </c>
      <c r="I601" s="175" t="e">
        <f>VLOOKUP($H601,Mapping!$A:$A,1,0)</f>
        <v>#N/A</v>
      </c>
      <c r="J601" s="179" t="s">
        <v>486</v>
      </c>
      <c r="K601" s="174" t="s">
        <v>467</v>
      </c>
      <c r="L601" s="178">
        <v>3000000</v>
      </c>
      <c r="M601" s="178">
        <v>99.91796875</v>
      </c>
      <c r="N601" s="178">
        <v>2.6426175092999999</v>
      </c>
      <c r="O601" s="178">
        <v>-2998823.0298913</v>
      </c>
      <c r="P601" s="174" t="s">
        <v>337</v>
      </c>
      <c r="Q601" s="174" t="s">
        <v>468</v>
      </c>
      <c r="R601" s="174" t="s">
        <v>23</v>
      </c>
      <c r="S601" s="174" t="s">
        <v>130</v>
      </c>
      <c r="T601" s="175" t="str">
        <f>VLOOKUP($S601,Mapping!$C:$C,1,0)</f>
        <v>Manual</v>
      </c>
      <c r="U601" s="175"/>
      <c r="V601" s="175"/>
      <c r="W601" s="175"/>
      <c r="X601" s="175"/>
      <c r="Y601" s="174" t="s">
        <v>469</v>
      </c>
      <c r="Z601" s="174" t="s">
        <v>511</v>
      </c>
      <c r="AA601" s="174" t="s">
        <v>24</v>
      </c>
      <c r="AB601" s="174"/>
      <c r="AC601" s="174" t="s">
        <v>794</v>
      </c>
      <c r="AD601" s="174" t="s">
        <v>483</v>
      </c>
      <c r="AE601" s="175"/>
      <c r="AF601" s="175"/>
      <c r="AG601" s="176">
        <v>43164.718645833331</v>
      </c>
      <c r="AH601" s="176">
        <v>43164.718645833331</v>
      </c>
      <c r="AI601" s="174" t="s">
        <v>473</v>
      </c>
      <c r="AJ601" s="175"/>
      <c r="AK601" s="178">
        <v>1</v>
      </c>
    </row>
    <row r="602" spans="1:37" x14ac:dyDescent="0.25">
      <c r="A602" s="174" t="s">
        <v>461</v>
      </c>
      <c r="B602" s="174" t="s">
        <v>1911</v>
      </c>
      <c r="C602" s="175"/>
      <c r="D602" s="174" t="s">
        <v>463</v>
      </c>
      <c r="E602" s="174" t="s">
        <v>506</v>
      </c>
      <c r="F602" s="176">
        <v>43164</v>
      </c>
      <c r="G602" s="176">
        <v>43165</v>
      </c>
      <c r="H602" s="174" t="s">
        <v>1863</v>
      </c>
      <c r="I602" s="175" t="e">
        <f>VLOOKUP($H602,Mapping!$A:$A,1,0)</f>
        <v>#N/A</v>
      </c>
      <c r="J602" s="179" t="s">
        <v>486</v>
      </c>
      <c r="K602" s="174" t="s">
        <v>467</v>
      </c>
      <c r="L602" s="178">
        <v>3000000</v>
      </c>
      <c r="M602" s="178">
        <v>99.91796875</v>
      </c>
      <c r="N602" s="178">
        <v>2.6426175092999999</v>
      </c>
      <c r="O602" s="178">
        <v>-2998823.0298913</v>
      </c>
      <c r="P602" s="174" t="s">
        <v>337</v>
      </c>
      <c r="Q602" s="174" t="s">
        <v>468</v>
      </c>
      <c r="R602" s="174" t="s">
        <v>23</v>
      </c>
      <c r="S602" s="174" t="s">
        <v>130</v>
      </c>
      <c r="T602" s="175" t="str">
        <f>VLOOKUP($S602,Mapping!$C:$C,1,0)</f>
        <v>Manual</v>
      </c>
      <c r="U602" s="175"/>
      <c r="V602" s="175"/>
      <c r="W602" s="175"/>
      <c r="X602" s="175"/>
      <c r="Y602" s="174" t="s">
        <v>469</v>
      </c>
      <c r="Z602" s="174" t="s">
        <v>511</v>
      </c>
      <c r="AA602" s="174" t="s">
        <v>24</v>
      </c>
      <c r="AB602" s="174"/>
      <c r="AC602" s="174" t="s">
        <v>794</v>
      </c>
      <c r="AD602" s="174" t="s">
        <v>483</v>
      </c>
      <c r="AE602" s="175"/>
      <c r="AF602" s="175"/>
      <c r="AG602" s="176">
        <v>43164.718657407408</v>
      </c>
      <c r="AH602" s="176">
        <v>43164.718657407408</v>
      </c>
      <c r="AI602" s="174" t="s">
        <v>473</v>
      </c>
      <c r="AJ602" s="175"/>
      <c r="AK602" s="178">
        <v>1</v>
      </c>
    </row>
    <row r="603" spans="1:37" x14ac:dyDescent="0.25">
      <c r="A603" s="174" t="s">
        <v>461</v>
      </c>
      <c r="B603" s="174" t="s">
        <v>1912</v>
      </c>
      <c r="C603" s="175"/>
      <c r="D603" s="174" t="s">
        <v>463</v>
      </c>
      <c r="E603" s="174" t="s">
        <v>506</v>
      </c>
      <c r="F603" s="176">
        <v>43164</v>
      </c>
      <c r="G603" s="176">
        <v>43165</v>
      </c>
      <c r="H603" s="174" t="s">
        <v>1863</v>
      </c>
      <c r="I603" s="175" t="e">
        <f>VLOOKUP($H603,Mapping!$A:$A,1,0)</f>
        <v>#N/A</v>
      </c>
      <c r="J603" s="179" t="s">
        <v>486</v>
      </c>
      <c r="K603" s="174" t="s">
        <v>467</v>
      </c>
      <c r="L603" s="178">
        <v>3000000</v>
      </c>
      <c r="M603" s="178">
        <v>99.91796875</v>
      </c>
      <c r="N603" s="178">
        <v>2.6426175092999999</v>
      </c>
      <c r="O603" s="178">
        <v>-2998823.0298913</v>
      </c>
      <c r="P603" s="174" t="s">
        <v>337</v>
      </c>
      <c r="Q603" s="174" t="s">
        <v>468</v>
      </c>
      <c r="R603" s="174" t="s">
        <v>23</v>
      </c>
      <c r="S603" s="174" t="s">
        <v>130</v>
      </c>
      <c r="T603" s="175" t="str">
        <f>VLOOKUP($S603,Mapping!$C:$C,1,0)</f>
        <v>Manual</v>
      </c>
      <c r="U603" s="175"/>
      <c r="V603" s="175"/>
      <c r="W603" s="175"/>
      <c r="X603" s="175"/>
      <c r="Y603" s="174" t="s">
        <v>469</v>
      </c>
      <c r="Z603" s="174" t="s">
        <v>511</v>
      </c>
      <c r="AA603" s="174" t="s">
        <v>24</v>
      </c>
      <c r="AB603" s="174"/>
      <c r="AC603" s="174" t="s">
        <v>794</v>
      </c>
      <c r="AD603" s="174" t="s">
        <v>483</v>
      </c>
      <c r="AE603" s="175"/>
      <c r="AF603" s="175"/>
      <c r="AG603" s="176">
        <v>43164.718668981484</v>
      </c>
      <c r="AH603" s="176">
        <v>43164.718668981484</v>
      </c>
      <c r="AI603" s="174" t="s">
        <v>473</v>
      </c>
      <c r="AJ603" s="175"/>
      <c r="AK603" s="178">
        <v>1</v>
      </c>
    </row>
    <row r="604" spans="1:37" x14ac:dyDescent="0.25">
      <c r="A604" s="174" t="s">
        <v>461</v>
      </c>
      <c r="B604" s="174" t="s">
        <v>1913</v>
      </c>
      <c r="C604" s="175"/>
      <c r="D604" s="174" t="s">
        <v>463</v>
      </c>
      <c r="E604" s="174" t="s">
        <v>506</v>
      </c>
      <c r="F604" s="176">
        <v>43164</v>
      </c>
      <c r="G604" s="176">
        <v>43165</v>
      </c>
      <c r="H604" s="174" t="s">
        <v>1863</v>
      </c>
      <c r="I604" s="175" t="e">
        <f>VLOOKUP($H604,Mapping!$A:$A,1,0)</f>
        <v>#N/A</v>
      </c>
      <c r="J604" s="179" t="s">
        <v>486</v>
      </c>
      <c r="K604" s="174" t="s">
        <v>467</v>
      </c>
      <c r="L604" s="178">
        <v>3000000</v>
      </c>
      <c r="M604" s="178">
        <v>99.91796875</v>
      </c>
      <c r="N604" s="178">
        <v>2.6426175092999999</v>
      </c>
      <c r="O604" s="178">
        <v>-2998823.0298913</v>
      </c>
      <c r="P604" s="174" t="s">
        <v>337</v>
      </c>
      <c r="Q604" s="174" t="s">
        <v>468</v>
      </c>
      <c r="R604" s="174" t="s">
        <v>23</v>
      </c>
      <c r="S604" s="174" t="s">
        <v>130</v>
      </c>
      <c r="T604" s="175" t="str">
        <f>VLOOKUP($S604,Mapping!$C:$C,1,0)</f>
        <v>Manual</v>
      </c>
      <c r="U604" s="175"/>
      <c r="V604" s="175"/>
      <c r="W604" s="175"/>
      <c r="X604" s="175"/>
      <c r="Y604" s="174" t="s">
        <v>469</v>
      </c>
      <c r="Z604" s="174" t="s">
        <v>511</v>
      </c>
      <c r="AA604" s="174" t="s">
        <v>24</v>
      </c>
      <c r="AB604" s="174"/>
      <c r="AC604" s="174" t="s">
        <v>794</v>
      </c>
      <c r="AD604" s="174" t="s">
        <v>483</v>
      </c>
      <c r="AE604" s="175"/>
      <c r="AF604" s="175"/>
      <c r="AG604" s="176">
        <v>43164.718680555554</v>
      </c>
      <c r="AH604" s="176">
        <v>43164.718680555554</v>
      </c>
      <c r="AI604" s="174" t="s">
        <v>473</v>
      </c>
      <c r="AJ604" s="175"/>
      <c r="AK604" s="178">
        <v>1</v>
      </c>
    </row>
    <row r="605" spans="1:37" x14ac:dyDescent="0.25">
      <c r="A605" s="174" t="s">
        <v>461</v>
      </c>
      <c r="B605" s="174" t="s">
        <v>1914</v>
      </c>
      <c r="C605" s="175"/>
      <c r="D605" s="174" t="s">
        <v>463</v>
      </c>
      <c r="E605" s="174" t="s">
        <v>506</v>
      </c>
      <c r="F605" s="176">
        <v>43164</v>
      </c>
      <c r="G605" s="176">
        <v>43165</v>
      </c>
      <c r="H605" s="174" t="s">
        <v>1863</v>
      </c>
      <c r="I605" s="175" t="e">
        <f>VLOOKUP($H605,Mapping!$A:$A,1,0)</f>
        <v>#N/A</v>
      </c>
      <c r="J605" s="179" t="s">
        <v>486</v>
      </c>
      <c r="K605" s="174" t="s">
        <v>467</v>
      </c>
      <c r="L605" s="178">
        <v>10000000</v>
      </c>
      <c r="M605" s="178">
        <v>99.91796875</v>
      </c>
      <c r="N605" s="178">
        <v>2.6426175092999999</v>
      </c>
      <c r="O605" s="178">
        <v>-9996076.7663043495</v>
      </c>
      <c r="P605" s="174" t="s">
        <v>337</v>
      </c>
      <c r="Q605" s="174" t="s">
        <v>468</v>
      </c>
      <c r="R605" s="174" t="s">
        <v>23</v>
      </c>
      <c r="S605" s="174" t="s">
        <v>130</v>
      </c>
      <c r="T605" s="175" t="str">
        <f>VLOOKUP($S605,Mapping!$C:$C,1,0)</f>
        <v>Manual</v>
      </c>
      <c r="U605" s="175"/>
      <c r="V605" s="175"/>
      <c r="W605" s="175"/>
      <c r="X605" s="175"/>
      <c r="Y605" s="174" t="s">
        <v>469</v>
      </c>
      <c r="Z605" s="174" t="s">
        <v>511</v>
      </c>
      <c r="AA605" s="174" t="s">
        <v>24</v>
      </c>
      <c r="AB605" s="174"/>
      <c r="AC605" s="174" t="s">
        <v>794</v>
      </c>
      <c r="AD605" s="174" t="s">
        <v>483</v>
      </c>
      <c r="AE605" s="175"/>
      <c r="AF605" s="175"/>
      <c r="AG605" s="176">
        <v>43164.718692129631</v>
      </c>
      <c r="AH605" s="176">
        <v>43164.718692129631</v>
      </c>
      <c r="AI605" s="174" t="s">
        <v>473</v>
      </c>
      <c r="AJ605" s="175"/>
      <c r="AK605" s="178">
        <v>1</v>
      </c>
    </row>
    <row r="606" spans="1:37" x14ac:dyDescent="0.25">
      <c r="A606" s="174" t="s">
        <v>461</v>
      </c>
      <c r="B606" s="174" t="s">
        <v>1915</v>
      </c>
      <c r="C606" s="175"/>
      <c r="D606" s="174" t="s">
        <v>463</v>
      </c>
      <c r="E606" s="174" t="s">
        <v>506</v>
      </c>
      <c r="F606" s="176">
        <v>43164</v>
      </c>
      <c r="G606" s="176">
        <v>43165</v>
      </c>
      <c r="H606" s="174" t="s">
        <v>1863</v>
      </c>
      <c r="I606" s="175" t="e">
        <f>VLOOKUP($H606,Mapping!$A:$A,1,0)</f>
        <v>#N/A</v>
      </c>
      <c r="J606" s="179" t="s">
        <v>486</v>
      </c>
      <c r="K606" s="174" t="s">
        <v>467</v>
      </c>
      <c r="L606" s="178">
        <v>3000000</v>
      </c>
      <c r="M606" s="178">
        <v>99.92578125</v>
      </c>
      <c r="N606" s="178">
        <v>2.6409334109999998</v>
      </c>
      <c r="O606" s="178">
        <v>-2999057.4048913</v>
      </c>
      <c r="P606" s="174" t="s">
        <v>337</v>
      </c>
      <c r="Q606" s="174" t="s">
        <v>468</v>
      </c>
      <c r="R606" s="174" t="s">
        <v>23</v>
      </c>
      <c r="S606" s="174" t="s">
        <v>130</v>
      </c>
      <c r="T606" s="175" t="str">
        <f>VLOOKUP($S606,Mapping!$C:$C,1,0)</f>
        <v>Manual</v>
      </c>
      <c r="U606" s="175"/>
      <c r="V606" s="175"/>
      <c r="W606" s="175"/>
      <c r="X606" s="175"/>
      <c r="Y606" s="174" t="s">
        <v>469</v>
      </c>
      <c r="Z606" s="174" t="s">
        <v>511</v>
      </c>
      <c r="AA606" s="174" t="s">
        <v>24</v>
      </c>
      <c r="AB606" s="174"/>
      <c r="AC606" s="174" t="s">
        <v>794</v>
      </c>
      <c r="AD606" s="174" t="s">
        <v>483</v>
      </c>
      <c r="AE606" s="175"/>
      <c r="AF606" s="175"/>
      <c r="AG606" s="176">
        <v>43164.7187037037</v>
      </c>
      <c r="AH606" s="176">
        <v>43164.7187037037</v>
      </c>
      <c r="AI606" s="174" t="s">
        <v>473</v>
      </c>
      <c r="AJ606" s="175"/>
      <c r="AK606" s="178">
        <v>1</v>
      </c>
    </row>
    <row r="607" spans="1:37" x14ac:dyDescent="0.25">
      <c r="A607" s="174" t="s">
        <v>461</v>
      </c>
      <c r="B607" s="174" t="s">
        <v>1916</v>
      </c>
      <c r="C607" s="175"/>
      <c r="D607" s="174" t="s">
        <v>463</v>
      </c>
      <c r="E607" s="174" t="s">
        <v>506</v>
      </c>
      <c r="F607" s="176">
        <v>43164</v>
      </c>
      <c r="G607" s="176">
        <v>43165</v>
      </c>
      <c r="H607" s="174" t="s">
        <v>1863</v>
      </c>
      <c r="I607" s="175" t="e">
        <f>VLOOKUP($H607,Mapping!$A:$A,1,0)</f>
        <v>#N/A</v>
      </c>
      <c r="J607" s="179" t="s">
        <v>486</v>
      </c>
      <c r="K607" s="174" t="s">
        <v>467</v>
      </c>
      <c r="L607" s="178">
        <v>6000000</v>
      </c>
      <c r="M607" s="178">
        <v>99.92578125</v>
      </c>
      <c r="N607" s="178">
        <v>2.6409334109999998</v>
      </c>
      <c r="O607" s="178">
        <v>-5998114.8097826103</v>
      </c>
      <c r="P607" s="174" t="s">
        <v>337</v>
      </c>
      <c r="Q607" s="174" t="s">
        <v>468</v>
      </c>
      <c r="R607" s="174" t="s">
        <v>23</v>
      </c>
      <c r="S607" s="174" t="s">
        <v>130</v>
      </c>
      <c r="T607" s="175" t="str">
        <f>VLOOKUP($S607,Mapping!$C:$C,1,0)</f>
        <v>Manual</v>
      </c>
      <c r="U607" s="175"/>
      <c r="V607" s="175"/>
      <c r="W607" s="175"/>
      <c r="X607" s="175"/>
      <c r="Y607" s="174" t="s">
        <v>469</v>
      </c>
      <c r="Z607" s="174" t="s">
        <v>511</v>
      </c>
      <c r="AA607" s="174" t="s">
        <v>24</v>
      </c>
      <c r="AB607" s="174"/>
      <c r="AC607" s="174" t="s">
        <v>794</v>
      </c>
      <c r="AD607" s="174" t="s">
        <v>483</v>
      </c>
      <c r="AE607" s="175"/>
      <c r="AF607" s="175"/>
      <c r="AG607" s="176">
        <v>43164.718715277777</v>
      </c>
      <c r="AH607" s="176">
        <v>43164.718715277777</v>
      </c>
      <c r="AI607" s="174" t="s">
        <v>473</v>
      </c>
      <c r="AJ607" s="175"/>
      <c r="AK607" s="178">
        <v>1</v>
      </c>
    </row>
    <row r="608" spans="1:37" x14ac:dyDescent="0.25">
      <c r="A608" s="174" t="s">
        <v>461</v>
      </c>
      <c r="B608" s="174" t="s">
        <v>1917</v>
      </c>
      <c r="C608" s="175"/>
      <c r="D608" s="174" t="s">
        <v>463</v>
      </c>
      <c r="E608" s="174" t="s">
        <v>506</v>
      </c>
      <c r="F608" s="176">
        <v>43164</v>
      </c>
      <c r="G608" s="176">
        <v>43165</v>
      </c>
      <c r="H608" s="174" t="s">
        <v>1863</v>
      </c>
      <c r="I608" s="175" t="e">
        <f>VLOOKUP($H608,Mapping!$A:$A,1,0)</f>
        <v>#N/A</v>
      </c>
      <c r="J608" s="179" t="s">
        <v>486</v>
      </c>
      <c r="K608" s="174" t="s">
        <v>467</v>
      </c>
      <c r="L608" s="178">
        <v>10000000</v>
      </c>
      <c r="M608" s="178">
        <v>99.92578125</v>
      </c>
      <c r="N608" s="178">
        <v>2.6409334109999998</v>
      </c>
      <c r="O608" s="178">
        <v>-9996858.0163043495</v>
      </c>
      <c r="P608" s="174" t="s">
        <v>337</v>
      </c>
      <c r="Q608" s="174" t="s">
        <v>468</v>
      </c>
      <c r="R608" s="174" t="s">
        <v>23</v>
      </c>
      <c r="S608" s="174" t="s">
        <v>130</v>
      </c>
      <c r="T608" s="175" t="str">
        <f>VLOOKUP($S608,Mapping!$C:$C,1,0)</f>
        <v>Manual</v>
      </c>
      <c r="U608" s="175"/>
      <c r="V608" s="175"/>
      <c r="W608" s="175"/>
      <c r="X608" s="175"/>
      <c r="Y608" s="174" t="s">
        <v>469</v>
      </c>
      <c r="Z608" s="174" t="s">
        <v>511</v>
      </c>
      <c r="AA608" s="174" t="s">
        <v>24</v>
      </c>
      <c r="AB608" s="174"/>
      <c r="AC608" s="174" t="s">
        <v>794</v>
      </c>
      <c r="AD608" s="174" t="s">
        <v>483</v>
      </c>
      <c r="AE608" s="175"/>
      <c r="AF608" s="175"/>
      <c r="AG608" s="176">
        <v>43164.718726851854</v>
      </c>
      <c r="AH608" s="176">
        <v>43164.718726851854</v>
      </c>
      <c r="AI608" s="174" t="s">
        <v>473</v>
      </c>
      <c r="AJ608" s="175"/>
      <c r="AK608" s="178">
        <v>1</v>
      </c>
    </row>
    <row r="609" spans="1:37" x14ac:dyDescent="0.25">
      <c r="A609" s="174" t="s">
        <v>461</v>
      </c>
      <c r="B609" s="174" t="s">
        <v>1918</v>
      </c>
      <c r="C609" s="175"/>
      <c r="D609" s="174" t="s">
        <v>463</v>
      </c>
      <c r="E609" s="174" t="s">
        <v>506</v>
      </c>
      <c r="F609" s="176">
        <v>43164</v>
      </c>
      <c r="G609" s="176">
        <v>43165</v>
      </c>
      <c r="H609" s="174" t="s">
        <v>1863</v>
      </c>
      <c r="I609" s="175" t="e">
        <f>VLOOKUP($H609,Mapping!$A:$A,1,0)</f>
        <v>#N/A</v>
      </c>
      <c r="J609" s="179" t="s">
        <v>486</v>
      </c>
      <c r="K609" s="174" t="s">
        <v>467</v>
      </c>
      <c r="L609" s="178">
        <v>6000000</v>
      </c>
      <c r="M609" s="178">
        <v>99.92578125</v>
      </c>
      <c r="N609" s="178">
        <v>2.6409334109999998</v>
      </c>
      <c r="O609" s="178">
        <v>-5998114.8097826103</v>
      </c>
      <c r="P609" s="174" t="s">
        <v>337</v>
      </c>
      <c r="Q609" s="174" t="s">
        <v>468</v>
      </c>
      <c r="R609" s="174" t="s">
        <v>23</v>
      </c>
      <c r="S609" s="174" t="s">
        <v>130</v>
      </c>
      <c r="T609" s="175" t="str">
        <f>VLOOKUP($S609,Mapping!$C:$C,1,0)</f>
        <v>Manual</v>
      </c>
      <c r="U609" s="175"/>
      <c r="V609" s="175"/>
      <c r="W609" s="175"/>
      <c r="X609" s="175"/>
      <c r="Y609" s="174" t="s">
        <v>469</v>
      </c>
      <c r="Z609" s="174" t="s">
        <v>511</v>
      </c>
      <c r="AA609" s="174" t="s">
        <v>24</v>
      </c>
      <c r="AB609" s="174"/>
      <c r="AC609" s="174" t="s">
        <v>794</v>
      </c>
      <c r="AD609" s="174" t="s">
        <v>483</v>
      </c>
      <c r="AE609" s="175"/>
      <c r="AF609" s="175"/>
      <c r="AG609" s="176">
        <v>43164.718726851854</v>
      </c>
      <c r="AH609" s="176">
        <v>43164.718726851854</v>
      </c>
      <c r="AI609" s="174" t="s">
        <v>473</v>
      </c>
      <c r="AJ609" s="175"/>
      <c r="AK609" s="178">
        <v>1</v>
      </c>
    </row>
    <row r="610" spans="1:37" x14ac:dyDescent="0.25">
      <c r="A610" s="174" t="s">
        <v>461</v>
      </c>
      <c r="B610" s="174" t="s">
        <v>1919</v>
      </c>
      <c r="C610" s="175"/>
      <c r="D610" s="174" t="s">
        <v>463</v>
      </c>
      <c r="E610" s="174" t="s">
        <v>506</v>
      </c>
      <c r="F610" s="176">
        <v>43164</v>
      </c>
      <c r="G610" s="176">
        <v>43165</v>
      </c>
      <c r="H610" s="174" t="s">
        <v>1863</v>
      </c>
      <c r="I610" s="175" t="e">
        <f>VLOOKUP($H610,Mapping!$A:$A,1,0)</f>
        <v>#N/A</v>
      </c>
      <c r="J610" s="179" t="s">
        <v>486</v>
      </c>
      <c r="K610" s="174" t="s">
        <v>467</v>
      </c>
      <c r="L610" s="178">
        <v>10000000</v>
      </c>
      <c r="M610" s="178">
        <v>99.92578125</v>
      </c>
      <c r="N610" s="178">
        <v>2.6409334109999998</v>
      </c>
      <c r="O610" s="178">
        <v>-9996858.0163043495</v>
      </c>
      <c r="P610" s="174" t="s">
        <v>337</v>
      </c>
      <c r="Q610" s="174" t="s">
        <v>468</v>
      </c>
      <c r="R610" s="174" t="s">
        <v>23</v>
      </c>
      <c r="S610" s="174" t="s">
        <v>130</v>
      </c>
      <c r="T610" s="175" t="str">
        <f>VLOOKUP($S610,Mapping!$C:$C,1,0)</f>
        <v>Manual</v>
      </c>
      <c r="U610" s="175"/>
      <c r="V610" s="175"/>
      <c r="W610" s="175"/>
      <c r="X610" s="175"/>
      <c r="Y610" s="174" t="s">
        <v>469</v>
      </c>
      <c r="Z610" s="174" t="s">
        <v>511</v>
      </c>
      <c r="AA610" s="174" t="s">
        <v>24</v>
      </c>
      <c r="AB610" s="174"/>
      <c r="AC610" s="174" t="s">
        <v>794</v>
      </c>
      <c r="AD610" s="174" t="s">
        <v>483</v>
      </c>
      <c r="AE610" s="175"/>
      <c r="AF610" s="175"/>
      <c r="AG610" s="176">
        <v>43164.718726851854</v>
      </c>
      <c r="AH610" s="176">
        <v>43164.718726851854</v>
      </c>
      <c r="AI610" s="174" t="s">
        <v>473</v>
      </c>
      <c r="AJ610" s="175"/>
      <c r="AK610" s="178">
        <v>1</v>
      </c>
    </row>
    <row r="611" spans="1:37" x14ac:dyDescent="0.25">
      <c r="A611" s="174" t="s">
        <v>461</v>
      </c>
      <c r="B611" s="174" t="s">
        <v>1920</v>
      </c>
      <c r="C611" s="175"/>
      <c r="D611" s="174" t="s">
        <v>463</v>
      </c>
      <c r="E611" s="174" t="s">
        <v>506</v>
      </c>
      <c r="F611" s="176">
        <v>43164</v>
      </c>
      <c r="G611" s="176">
        <v>43165</v>
      </c>
      <c r="H611" s="174" t="s">
        <v>1863</v>
      </c>
      <c r="I611" s="175" t="e">
        <f>VLOOKUP($H611,Mapping!$A:$A,1,0)</f>
        <v>#N/A</v>
      </c>
      <c r="J611" s="179" t="s">
        <v>486</v>
      </c>
      <c r="K611" s="174" t="s">
        <v>467</v>
      </c>
      <c r="L611" s="178">
        <v>3000000</v>
      </c>
      <c r="M611" s="178">
        <v>99.92578125</v>
      </c>
      <c r="N611" s="178">
        <v>2.6409334109999998</v>
      </c>
      <c r="O611" s="178">
        <v>-2999057.4048913</v>
      </c>
      <c r="P611" s="174" t="s">
        <v>337</v>
      </c>
      <c r="Q611" s="174" t="s">
        <v>468</v>
      </c>
      <c r="R611" s="174" t="s">
        <v>23</v>
      </c>
      <c r="S611" s="174" t="s">
        <v>130</v>
      </c>
      <c r="T611" s="175" t="str">
        <f>VLOOKUP($S611,Mapping!$C:$C,1,0)</f>
        <v>Manual</v>
      </c>
      <c r="U611" s="175"/>
      <c r="V611" s="175"/>
      <c r="W611" s="175"/>
      <c r="X611" s="175"/>
      <c r="Y611" s="174" t="s">
        <v>469</v>
      </c>
      <c r="Z611" s="174" t="s">
        <v>511</v>
      </c>
      <c r="AA611" s="174" t="s">
        <v>24</v>
      </c>
      <c r="AB611" s="174"/>
      <c r="AC611" s="174" t="s">
        <v>794</v>
      </c>
      <c r="AD611" s="174" t="s">
        <v>483</v>
      </c>
      <c r="AE611" s="175"/>
      <c r="AF611" s="175"/>
      <c r="AG611" s="176">
        <v>43164.718726851854</v>
      </c>
      <c r="AH611" s="176">
        <v>43164.718726851854</v>
      </c>
      <c r="AI611" s="174" t="s">
        <v>473</v>
      </c>
      <c r="AJ611" s="175"/>
      <c r="AK611" s="178">
        <v>1</v>
      </c>
    </row>
    <row r="612" spans="1:37" x14ac:dyDescent="0.25">
      <c r="A612" s="174" t="s">
        <v>461</v>
      </c>
      <c r="B612" s="174" t="s">
        <v>1921</v>
      </c>
      <c r="C612" s="175"/>
      <c r="D612" s="174" t="s">
        <v>463</v>
      </c>
      <c r="E612" s="174" t="s">
        <v>506</v>
      </c>
      <c r="F612" s="176">
        <v>43164</v>
      </c>
      <c r="G612" s="176">
        <v>43165</v>
      </c>
      <c r="H612" s="174" t="s">
        <v>1863</v>
      </c>
      <c r="I612" s="175" t="e">
        <f>VLOOKUP($H612,Mapping!$A:$A,1,0)</f>
        <v>#N/A</v>
      </c>
      <c r="J612" s="179" t="s">
        <v>486</v>
      </c>
      <c r="K612" s="174" t="s">
        <v>467</v>
      </c>
      <c r="L612" s="178">
        <v>3000000</v>
      </c>
      <c r="M612" s="178">
        <v>99.92578125</v>
      </c>
      <c r="N612" s="178">
        <v>2.6409334109999998</v>
      </c>
      <c r="O612" s="178">
        <v>-2999057.4048913</v>
      </c>
      <c r="P612" s="174" t="s">
        <v>337</v>
      </c>
      <c r="Q612" s="174" t="s">
        <v>468</v>
      </c>
      <c r="R612" s="174" t="s">
        <v>23</v>
      </c>
      <c r="S612" s="174" t="s">
        <v>130</v>
      </c>
      <c r="T612" s="175" t="str">
        <f>VLOOKUP($S612,Mapping!$C:$C,1,0)</f>
        <v>Manual</v>
      </c>
      <c r="U612" s="175"/>
      <c r="V612" s="175"/>
      <c r="W612" s="175"/>
      <c r="X612" s="175"/>
      <c r="Y612" s="174" t="s">
        <v>469</v>
      </c>
      <c r="Z612" s="174" t="s">
        <v>511</v>
      </c>
      <c r="AA612" s="174" t="s">
        <v>24</v>
      </c>
      <c r="AB612" s="174"/>
      <c r="AC612" s="174" t="s">
        <v>794</v>
      </c>
      <c r="AD612" s="174" t="s">
        <v>483</v>
      </c>
      <c r="AE612" s="175"/>
      <c r="AF612" s="175"/>
      <c r="AG612" s="176">
        <v>43164.718738425923</v>
      </c>
      <c r="AH612" s="176">
        <v>43164.718738425923</v>
      </c>
      <c r="AI612" s="174" t="s">
        <v>473</v>
      </c>
      <c r="AJ612" s="175"/>
      <c r="AK612" s="178">
        <v>1</v>
      </c>
    </row>
    <row r="613" spans="1:37" x14ac:dyDescent="0.25">
      <c r="A613" s="174" t="s">
        <v>461</v>
      </c>
      <c r="B613" s="174" t="s">
        <v>1922</v>
      </c>
      <c r="C613" s="175"/>
      <c r="D613" s="174" t="s">
        <v>463</v>
      </c>
      <c r="E613" s="174" t="s">
        <v>506</v>
      </c>
      <c r="F613" s="176">
        <v>43164</v>
      </c>
      <c r="G613" s="176">
        <v>43165</v>
      </c>
      <c r="H613" s="174" t="s">
        <v>1863</v>
      </c>
      <c r="I613" s="175" t="e">
        <f>VLOOKUP($H613,Mapping!$A:$A,1,0)</f>
        <v>#N/A</v>
      </c>
      <c r="J613" s="179" t="s">
        <v>486</v>
      </c>
      <c r="K613" s="174" t="s">
        <v>467</v>
      </c>
      <c r="L613" s="178">
        <v>5000000</v>
      </c>
      <c r="M613" s="178">
        <v>99.9296875</v>
      </c>
      <c r="N613" s="178">
        <v>2.6400914183999999</v>
      </c>
      <c r="O613" s="178">
        <v>-4998624.3206521701</v>
      </c>
      <c r="P613" s="174" t="s">
        <v>337</v>
      </c>
      <c r="Q613" s="174" t="s">
        <v>468</v>
      </c>
      <c r="R613" s="174" t="s">
        <v>23</v>
      </c>
      <c r="S613" s="174" t="s">
        <v>130</v>
      </c>
      <c r="T613" s="175" t="str">
        <f>VLOOKUP($S613,Mapping!$C:$C,1,0)</f>
        <v>Manual</v>
      </c>
      <c r="U613" s="175"/>
      <c r="V613" s="175"/>
      <c r="W613" s="175"/>
      <c r="X613" s="175"/>
      <c r="Y613" s="174" t="s">
        <v>469</v>
      </c>
      <c r="Z613" s="174" t="s">
        <v>511</v>
      </c>
      <c r="AA613" s="174" t="s">
        <v>24</v>
      </c>
      <c r="AB613" s="174"/>
      <c r="AC613" s="174" t="s">
        <v>794</v>
      </c>
      <c r="AD613" s="174" t="s">
        <v>483</v>
      </c>
      <c r="AE613" s="175"/>
      <c r="AF613" s="175"/>
      <c r="AG613" s="176">
        <v>43164.71875</v>
      </c>
      <c r="AH613" s="176">
        <v>43164.71875</v>
      </c>
      <c r="AI613" s="174" t="s">
        <v>473</v>
      </c>
      <c r="AJ613" s="175"/>
      <c r="AK613" s="178">
        <v>1</v>
      </c>
    </row>
    <row r="614" spans="1:37" x14ac:dyDescent="0.25">
      <c r="A614" s="174" t="s">
        <v>461</v>
      </c>
      <c r="B614" s="174" t="s">
        <v>1923</v>
      </c>
      <c r="C614" s="175"/>
      <c r="D614" s="174" t="s">
        <v>463</v>
      </c>
      <c r="E614" s="174" t="s">
        <v>506</v>
      </c>
      <c r="F614" s="176">
        <v>43164</v>
      </c>
      <c r="G614" s="176">
        <v>43165</v>
      </c>
      <c r="H614" s="174" t="s">
        <v>1863</v>
      </c>
      <c r="I614" s="175" t="e">
        <f>VLOOKUP($H614,Mapping!$A:$A,1,0)</f>
        <v>#N/A</v>
      </c>
      <c r="J614" s="179" t="s">
        <v>486</v>
      </c>
      <c r="K614" s="174" t="s">
        <v>467</v>
      </c>
      <c r="L614" s="178">
        <v>10000000</v>
      </c>
      <c r="M614" s="178">
        <v>99.9296875</v>
      </c>
      <c r="N614" s="178">
        <v>2.6400914183999999</v>
      </c>
      <c r="O614" s="178">
        <v>-9997248.6413043514</v>
      </c>
      <c r="P614" s="174" t="s">
        <v>337</v>
      </c>
      <c r="Q614" s="174" t="s">
        <v>468</v>
      </c>
      <c r="R614" s="174" t="s">
        <v>23</v>
      </c>
      <c r="S614" s="174" t="s">
        <v>130</v>
      </c>
      <c r="T614" s="175" t="str">
        <f>VLOOKUP($S614,Mapping!$C:$C,1,0)</f>
        <v>Manual</v>
      </c>
      <c r="U614" s="175"/>
      <c r="V614" s="175"/>
      <c r="W614" s="175"/>
      <c r="X614" s="175"/>
      <c r="Y614" s="174" t="s">
        <v>469</v>
      </c>
      <c r="Z614" s="174" t="s">
        <v>511</v>
      </c>
      <c r="AA614" s="174" t="s">
        <v>24</v>
      </c>
      <c r="AB614" s="174"/>
      <c r="AC614" s="174" t="s">
        <v>794</v>
      </c>
      <c r="AD614" s="174" t="s">
        <v>483</v>
      </c>
      <c r="AE614" s="175"/>
      <c r="AF614" s="175"/>
      <c r="AG614" s="176">
        <v>43164.718761574077</v>
      </c>
      <c r="AH614" s="176">
        <v>43164.718761574077</v>
      </c>
      <c r="AI614" s="174" t="s">
        <v>473</v>
      </c>
      <c r="AJ614" s="175"/>
      <c r="AK614" s="178">
        <v>1</v>
      </c>
    </row>
    <row r="615" spans="1:37" x14ac:dyDescent="0.25">
      <c r="A615" s="174" t="s">
        <v>461</v>
      </c>
      <c r="B615" s="174" t="s">
        <v>1924</v>
      </c>
      <c r="C615" s="175"/>
      <c r="D615" s="174" t="s">
        <v>463</v>
      </c>
      <c r="E615" s="174" t="s">
        <v>506</v>
      </c>
      <c r="F615" s="176">
        <v>43164</v>
      </c>
      <c r="G615" s="176">
        <v>43165</v>
      </c>
      <c r="H615" s="174" t="s">
        <v>1863</v>
      </c>
      <c r="I615" s="175" t="e">
        <f>VLOOKUP($H615,Mapping!$A:$A,1,0)</f>
        <v>#N/A</v>
      </c>
      <c r="J615" s="179" t="s">
        <v>486</v>
      </c>
      <c r="K615" s="174" t="s">
        <v>467</v>
      </c>
      <c r="L615" s="178">
        <v>3000000</v>
      </c>
      <c r="M615" s="178">
        <v>99.9296875</v>
      </c>
      <c r="N615" s="178">
        <v>2.6400914183999999</v>
      </c>
      <c r="O615" s="178">
        <v>-2999174.5923913</v>
      </c>
      <c r="P615" s="174" t="s">
        <v>337</v>
      </c>
      <c r="Q615" s="174" t="s">
        <v>468</v>
      </c>
      <c r="R615" s="174" t="s">
        <v>23</v>
      </c>
      <c r="S615" s="174" t="s">
        <v>130</v>
      </c>
      <c r="T615" s="175" t="str">
        <f>VLOOKUP($S615,Mapping!$C:$C,1,0)</f>
        <v>Manual</v>
      </c>
      <c r="U615" s="175"/>
      <c r="V615" s="175"/>
      <c r="W615" s="175"/>
      <c r="X615" s="175"/>
      <c r="Y615" s="174" t="s">
        <v>469</v>
      </c>
      <c r="Z615" s="174" t="s">
        <v>511</v>
      </c>
      <c r="AA615" s="174" t="s">
        <v>24</v>
      </c>
      <c r="AB615" s="174"/>
      <c r="AC615" s="174" t="s">
        <v>794</v>
      </c>
      <c r="AD615" s="174" t="s">
        <v>483</v>
      </c>
      <c r="AE615" s="175"/>
      <c r="AF615" s="175"/>
      <c r="AG615" s="176">
        <v>43164.718761574077</v>
      </c>
      <c r="AH615" s="176">
        <v>43164.718761574077</v>
      </c>
      <c r="AI615" s="174" t="s">
        <v>473</v>
      </c>
      <c r="AJ615" s="175"/>
      <c r="AK615" s="178">
        <v>1</v>
      </c>
    </row>
    <row r="616" spans="1:37" x14ac:dyDescent="0.25">
      <c r="A616" s="174" t="s">
        <v>461</v>
      </c>
      <c r="B616" s="174" t="s">
        <v>1925</v>
      </c>
      <c r="C616" s="175"/>
      <c r="D616" s="174" t="s">
        <v>463</v>
      </c>
      <c r="E616" s="174" t="s">
        <v>506</v>
      </c>
      <c r="F616" s="176">
        <v>43164</v>
      </c>
      <c r="G616" s="176">
        <v>43165</v>
      </c>
      <c r="H616" s="174" t="s">
        <v>1863</v>
      </c>
      <c r="I616" s="175" t="e">
        <f>VLOOKUP($H616,Mapping!$A:$A,1,0)</f>
        <v>#N/A</v>
      </c>
      <c r="J616" s="179" t="s">
        <v>486</v>
      </c>
      <c r="K616" s="174" t="s">
        <v>467</v>
      </c>
      <c r="L616" s="178">
        <v>10000000</v>
      </c>
      <c r="M616" s="178">
        <v>99.9296875</v>
      </c>
      <c r="N616" s="178">
        <v>2.6400914183999999</v>
      </c>
      <c r="O616" s="178">
        <v>-9997248.6413043514</v>
      </c>
      <c r="P616" s="174" t="s">
        <v>337</v>
      </c>
      <c r="Q616" s="174" t="s">
        <v>468</v>
      </c>
      <c r="R616" s="174" t="s">
        <v>23</v>
      </c>
      <c r="S616" s="174" t="s">
        <v>130</v>
      </c>
      <c r="T616" s="175" t="str">
        <f>VLOOKUP($S616,Mapping!$C:$C,1,0)</f>
        <v>Manual</v>
      </c>
      <c r="U616" s="175"/>
      <c r="V616" s="175"/>
      <c r="W616" s="175"/>
      <c r="X616" s="175"/>
      <c r="Y616" s="174" t="s">
        <v>469</v>
      </c>
      <c r="Z616" s="174" t="s">
        <v>511</v>
      </c>
      <c r="AA616" s="174" t="s">
        <v>24</v>
      </c>
      <c r="AB616" s="174"/>
      <c r="AC616" s="174" t="s">
        <v>794</v>
      </c>
      <c r="AD616" s="174" t="s">
        <v>483</v>
      </c>
      <c r="AE616" s="175"/>
      <c r="AF616" s="175"/>
      <c r="AG616" s="176">
        <v>43164.718773148146</v>
      </c>
      <c r="AH616" s="176">
        <v>43164.718773148146</v>
      </c>
      <c r="AI616" s="174" t="s">
        <v>473</v>
      </c>
      <c r="AJ616" s="175"/>
      <c r="AK616" s="178">
        <v>1</v>
      </c>
    </row>
    <row r="617" spans="1:37" x14ac:dyDescent="0.25">
      <c r="A617" s="174" t="s">
        <v>461</v>
      </c>
      <c r="B617" s="174" t="s">
        <v>1926</v>
      </c>
      <c r="C617" s="175"/>
      <c r="D617" s="174" t="s">
        <v>463</v>
      </c>
      <c r="E617" s="174" t="s">
        <v>506</v>
      </c>
      <c r="F617" s="176">
        <v>43164</v>
      </c>
      <c r="G617" s="176">
        <v>43165</v>
      </c>
      <c r="H617" s="174" t="s">
        <v>1863</v>
      </c>
      <c r="I617" s="175" t="e">
        <f>VLOOKUP($H617,Mapping!$A:$A,1,0)</f>
        <v>#N/A</v>
      </c>
      <c r="J617" s="179" t="s">
        <v>486</v>
      </c>
      <c r="K617" s="174" t="s">
        <v>467</v>
      </c>
      <c r="L617" s="178">
        <v>3000000</v>
      </c>
      <c r="M617" s="178">
        <v>99.9296875</v>
      </c>
      <c r="N617" s="178">
        <v>2.6400914183999999</v>
      </c>
      <c r="O617" s="178">
        <v>-2999174.5923913</v>
      </c>
      <c r="P617" s="174" t="s">
        <v>337</v>
      </c>
      <c r="Q617" s="174" t="s">
        <v>468</v>
      </c>
      <c r="R617" s="174" t="s">
        <v>23</v>
      </c>
      <c r="S617" s="174" t="s">
        <v>130</v>
      </c>
      <c r="T617" s="175" t="str">
        <f>VLOOKUP($S617,Mapping!$C:$C,1,0)</f>
        <v>Manual</v>
      </c>
      <c r="U617" s="175"/>
      <c r="V617" s="175"/>
      <c r="W617" s="175"/>
      <c r="X617" s="175"/>
      <c r="Y617" s="174" t="s">
        <v>469</v>
      </c>
      <c r="Z617" s="174" t="s">
        <v>511</v>
      </c>
      <c r="AA617" s="174" t="s">
        <v>24</v>
      </c>
      <c r="AB617" s="174"/>
      <c r="AC617" s="174" t="s">
        <v>794</v>
      </c>
      <c r="AD617" s="174" t="s">
        <v>483</v>
      </c>
      <c r="AE617" s="175"/>
      <c r="AF617" s="175"/>
      <c r="AG617" s="176">
        <v>43164.718784722223</v>
      </c>
      <c r="AH617" s="176">
        <v>43164.718784722223</v>
      </c>
      <c r="AI617" s="174" t="s">
        <v>473</v>
      </c>
      <c r="AJ617" s="175"/>
      <c r="AK617" s="178">
        <v>1</v>
      </c>
    </row>
    <row r="618" spans="1:37" x14ac:dyDescent="0.25">
      <c r="A618" s="174" t="s">
        <v>461</v>
      </c>
      <c r="B618" s="174" t="s">
        <v>1927</v>
      </c>
      <c r="C618" s="175"/>
      <c r="D618" s="174" t="s">
        <v>463</v>
      </c>
      <c r="E618" s="174" t="s">
        <v>506</v>
      </c>
      <c r="F618" s="176">
        <v>43164</v>
      </c>
      <c r="G618" s="176">
        <v>43165</v>
      </c>
      <c r="H618" s="174" t="s">
        <v>1863</v>
      </c>
      <c r="I618" s="175" t="e">
        <f>VLOOKUP($H618,Mapping!$A:$A,1,0)</f>
        <v>#N/A</v>
      </c>
      <c r="J618" s="179" t="s">
        <v>486</v>
      </c>
      <c r="K618" s="174" t="s">
        <v>467</v>
      </c>
      <c r="L618" s="178">
        <v>5000000</v>
      </c>
      <c r="M618" s="178">
        <v>99.9296875</v>
      </c>
      <c r="N618" s="178">
        <v>2.6400914183999999</v>
      </c>
      <c r="O618" s="178">
        <v>-4998624.3206521701</v>
      </c>
      <c r="P618" s="174" t="s">
        <v>337</v>
      </c>
      <c r="Q618" s="174" t="s">
        <v>468</v>
      </c>
      <c r="R618" s="174" t="s">
        <v>23</v>
      </c>
      <c r="S618" s="174" t="s">
        <v>130</v>
      </c>
      <c r="T618" s="175" t="str">
        <f>VLOOKUP($S618,Mapping!$C:$C,1,0)</f>
        <v>Manual</v>
      </c>
      <c r="U618" s="175"/>
      <c r="V618" s="175"/>
      <c r="W618" s="175"/>
      <c r="X618" s="175"/>
      <c r="Y618" s="174" t="s">
        <v>469</v>
      </c>
      <c r="Z618" s="174" t="s">
        <v>511</v>
      </c>
      <c r="AA618" s="174" t="s">
        <v>24</v>
      </c>
      <c r="AB618" s="174"/>
      <c r="AC618" s="174" t="s">
        <v>794</v>
      </c>
      <c r="AD618" s="174" t="s">
        <v>483</v>
      </c>
      <c r="AE618" s="175"/>
      <c r="AF618" s="175"/>
      <c r="AG618" s="176">
        <v>43164.7187962963</v>
      </c>
      <c r="AH618" s="176">
        <v>43164.7187962963</v>
      </c>
      <c r="AI618" s="174" t="s">
        <v>473</v>
      </c>
      <c r="AJ618" s="175"/>
      <c r="AK618" s="178">
        <v>1</v>
      </c>
    </row>
    <row r="619" spans="1:37" x14ac:dyDescent="0.25">
      <c r="A619" s="174" t="s">
        <v>461</v>
      </c>
      <c r="B619" s="174" t="s">
        <v>1928</v>
      </c>
      <c r="C619" s="175"/>
      <c r="D619" s="174" t="s">
        <v>463</v>
      </c>
      <c r="E619" s="174" t="s">
        <v>506</v>
      </c>
      <c r="F619" s="176">
        <v>43164</v>
      </c>
      <c r="G619" s="176">
        <v>43165</v>
      </c>
      <c r="H619" s="174" t="s">
        <v>1863</v>
      </c>
      <c r="I619" s="175" t="e">
        <f>VLOOKUP($H619,Mapping!$A:$A,1,0)</f>
        <v>#N/A</v>
      </c>
      <c r="J619" s="179" t="s">
        <v>486</v>
      </c>
      <c r="K619" s="174" t="s">
        <v>467</v>
      </c>
      <c r="L619" s="178">
        <v>10000000</v>
      </c>
      <c r="M619" s="178">
        <v>99.9296875</v>
      </c>
      <c r="N619" s="178">
        <v>2.6400914183999999</v>
      </c>
      <c r="O619" s="178">
        <v>-9997248.6413043514</v>
      </c>
      <c r="P619" s="174" t="s">
        <v>337</v>
      </c>
      <c r="Q619" s="174" t="s">
        <v>468</v>
      </c>
      <c r="R619" s="174" t="s">
        <v>23</v>
      </c>
      <c r="S619" s="174" t="s">
        <v>130</v>
      </c>
      <c r="T619" s="175" t="str">
        <f>VLOOKUP($S619,Mapping!$C:$C,1,0)</f>
        <v>Manual</v>
      </c>
      <c r="U619" s="175"/>
      <c r="V619" s="175"/>
      <c r="W619" s="175"/>
      <c r="X619" s="175"/>
      <c r="Y619" s="174" t="s">
        <v>469</v>
      </c>
      <c r="Z619" s="174" t="s">
        <v>511</v>
      </c>
      <c r="AA619" s="174" t="s">
        <v>24</v>
      </c>
      <c r="AB619" s="174"/>
      <c r="AC619" s="174" t="s">
        <v>794</v>
      </c>
      <c r="AD619" s="174" t="s">
        <v>483</v>
      </c>
      <c r="AE619" s="175"/>
      <c r="AF619" s="175"/>
      <c r="AG619" s="176">
        <v>43164.718807870369</v>
      </c>
      <c r="AH619" s="176">
        <v>43164.718807870369</v>
      </c>
      <c r="AI619" s="174" t="s">
        <v>473</v>
      </c>
      <c r="AJ619" s="175"/>
      <c r="AK619" s="178">
        <v>1</v>
      </c>
    </row>
    <row r="620" spans="1:37" x14ac:dyDescent="0.25">
      <c r="A620" s="174" t="s">
        <v>651</v>
      </c>
      <c r="B620" s="174" t="s">
        <v>1929</v>
      </c>
      <c r="C620" s="175"/>
      <c r="D620" s="174" t="s">
        <v>653</v>
      </c>
      <c r="E620" s="174" t="s">
        <v>647</v>
      </c>
      <c r="F620" s="176">
        <v>43164</v>
      </c>
      <c r="G620" s="176">
        <v>43172</v>
      </c>
      <c r="H620" s="174" t="s">
        <v>1930</v>
      </c>
      <c r="I620" s="175" t="e">
        <f>VLOOKUP($H620,Mapping!$A:$A,1,0)</f>
        <v>#N/A</v>
      </c>
      <c r="J620" s="179" t="s">
        <v>486</v>
      </c>
      <c r="K620" s="174" t="s">
        <v>1931</v>
      </c>
      <c r="L620" s="178">
        <v>14000000</v>
      </c>
      <c r="M620" s="178">
        <v>97</v>
      </c>
      <c r="N620" s="178">
        <v>3.1484226622000002</v>
      </c>
      <c r="O620" s="178">
        <v>-13580000</v>
      </c>
      <c r="P620" s="174" t="s">
        <v>337</v>
      </c>
      <c r="Q620" s="174" t="s">
        <v>1932</v>
      </c>
      <c r="R620" s="174" t="s">
        <v>23</v>
      </c>
      <c r="S620" s="174" t="s">
        <v>133</v>
      </c>
      <c r="T620" s="175" t="str">
        <f>VLOOKUP($S620,Mapping!$C:$C,1,0)</f>
        <v>Oasys</v>
      </c>
      <c r="U620" s="175"/>
      <c r="V620" s="175"/>
      <c r="W620" s="175"/>
      <c r="X620" s="175"/>
      <c r="Y620" s="174" t="s">
        <v>651</v>
      </c>
      <c r="Z620" s="174" t="s">
        <v>650</v>
      </c>
      <c r="AA620" s="174" t="s">
        <v>24</v>
      </c>
      <c r="AB620" s="174"/>
      <c r="AC620" s="174" t="s">
        <v>1933</v>
      </c>
      <c r="AD620" s="174" t="s">
        <v>483</v>
      </c>
      <c r="AE620" s="176">
        <v>43164.40216435185</v>
      </c>
      <c r="AF620" s="175"/>
      <c r="AG620" s="176">
        <v>43164.400833333333</v>
      </c>
      <c r="AH620" s="176">
        <v>43164.647743055553</v>
      </c>
      <c r="AI620" s="175"/>
      <c r="AJ620" s="175"/>
      <c r="AK620" s="178">
        <v>1</v>
      </c>
    </row>
    <row r="621" spans="1:37" x14ac:dyDescent="0.25">
      <c r="A621" s="174" t="s">
        <v>651</v>
      </c>
      <c r="B621" s="174" t="s">
        <v>1934</v>
      </c>
      <c r="C621" s="175"/>
      <c r="D621" s="174" t="s">
        <v>653</v>
      </c>
      <c r="E621" s="174" t="s">
        <v>647</v>
      </c>
      <c r="F621" s="176">
        <v>43164</v>
      </c>
      <c r="G621" s="176">
        <v>43172</v>
      </c>
      <c r="H621" s="174" t="s">
        <v>1930</v>
      </c>
      <c r="I621" s="175" t="e">
        <f>VLOOKUP($H621,Mapping!$A:$A,1,0)</f>
        <v>#N/A</v>
      </c>
      <c r="J621" s="177" t="s">
        <v>466</v>
      </c>
      <c r="K621" s="174" t="s">
        <v>1935</v>
      </c>
      <c r="L621" s="178">
        <v>8570382</v>
      </c>
      <c r="M621" s="178">
        <v>97.328125</v>
      </c>
      <c r="N621" s="178">
        <v>3.1448277207999999</v>
      </c>
      <c r="O621" s="178">
        <v>7324809.8714179499</v>
      </c>
      <c r="P621" s="174" t="s">
        <v>337</v>
      </c>
      <c r="Q621" s="174" t="s">
        <v>1936</v>
      </c>
      <c r="R621" s="174" t="s">
        <v>23</v>
      </c>
      <c r="S621" s="174" t="s">
        <v>133</v>
      </c>
      <c r="T621" s="175" t="str">
        <f>VLOOKUP($S621,Mapping!$C:$C,1,0)</f>
        <v>Oasys</v>
      </c>
      <c r="U621" s="175"/>
      <c r="V621" s="175"/>
      <c r="W621" s="175"/>
      <c r="X621" s="175"/>
      <c r="Y621" s="174" t="s">
        <v>651</v>
      </c>
      <c r="Z621" s="174" t="s">
        <v>650</v>
      </c>
      <c r="AA621" s="174" t="s">
        <v>24</v>
      </c>
      <c r="AB621" s="174"/>
      <c r="AC621" s="174" t="s">
        <v>1933</v>
      </c>
      <c r="AD621" s="174" t="s">
        <v>483</v>
      </c>
      <c r="AE621" s="176">
        <v>43164.40216435185</v>
      </c>
      <c r="AF621" s="175"/>
      <c r="AG621" s="176">
        <v>43164.400509259256</v>
      </c>
      <c r="AH621" s="176">
        <v>43164.64775462963</v>
      </c>
      <c r="AI621" s="175"/>
      <c r="AJ621" s="175"/>
      <c r="AK621" s="178">
        <v>0.87722668000000004</v>
      </c>
    </row>
    <row r="622" spans="1:37" x14ac:dyDescent="0.25">
      <c r="A622" s="174" t="s">
        <v>651</v>
      </c>
      <c r="B622" s="174" t="s">
        <v>1937</v>
      </c>
      <c r="C622" s="175"/>
      <c r="D622" s="174" t="s">
        <v>653</v>
      </c>
      <c r="E622" s="174" t="s">
        <v>647</v>
      </c>
      <c r="F622" s="176">
        <v>43164</v>
      </c>
      <c r="G622" s="176">
        <v>43172</v>
      </c>
      <c r="H622" s="174" t="s">
        <v>1930</v>
      </c>
      <c r="I622" s="175" t="e">
        <f>VLOOKUP($H622,Mapping!$A:$A,1,0)</f>
        <v>#N/A</v>
      </c>
      <c r="J622" s="177" t="s">
        <v>466</v>
      </c>
      <c r="K622" s="174" t="s">
        <v>1938</v>
      </c>
      <c r="L622" s="178">
        <v>8560000</v>
      </c>
      <c r="M622" s="178">
        <v>97.453125</v>
      </c>
      <c r="N622" s="178">
        <v>3.1374108634</v>
      </c>
      <c r="O622" s="178">
        <v>6833610.5896939496</v>
      </c>
      <c r="P622" s="174" t="s">
        <v>337</v>
      </c>
      <c r="Q622" s="174" t="s">
        <v>1939</v>
      </c>
      <c r="R622" s="174" t="s">
        <v>23</v>
      </c>
      <c r="S622" s="174" t="s">
        <v>133</v>
      </c>
      <c r="T622" s="175" t="str">
        <f>VLOOKUP($S622,Mapping!$C:$C,1,0)</f>
        <v>Oasys</v>
      </c>
      <c r="U622" s="175"/>
      <c r="V622" s="175"/>
      <c r="W622" s="175"/>
      <c r="X622" s="175"/>
      <c r="Y622" s="174" t="s">
        <v>651</v>
      </c>
      <c r="Z622" s="174" t="s">
        <v>650</v>
      </c>
      <c r="AA622" s="174" t="s">
        <v>24</v>
      </c>
      <c r="AB622" s="174"/>
      <c r="AC622" s="174" t="s">
        <v>1933</v>
      </c>
      <c r="AD622" s="174" t="s">
        <v>483</v>
      </c>
      <c r="AE622" s="176">
        <v>43164.40216435185</v>
      </c>
      <c r="AF622" s="175"/>
      <c r="AG622" s="176">
        <v>43164.400497685187</v>
      </c>
      <c r="AH622" s="176">
        <v>43164.647766203707</v>
      </c>
      <c r="AI622" s="175"/>
      <c r="AJ622" s="175"/>
      <c r="AK622" s="178">
        <v>0.81834282000000003</v>
      </c>
    </row>
    <row r="623" spans="1:37" x14ac:dyDescent="0.25">
      <c r="A623" s="174" t="s">
        <v>461</v>
      </c>
      <c r="B623" s="174" t="s">
        <v>1940</v>
      </c>
      <c r="C623" s="175"/>
      <c r="D623" s="174" t="s">
        <v>478</v>
      </c>
      <c r="E623" s="174" t="s">
        <v>1201</v>
      </c>
      <c r="F623" s="176">
        <v>43164</v>
      </c>
      <c r="G623" s="176">
        <v>43165</v>
      </c>
      <c r="H623" s="174" t="s">
        <v>1941</v>
      </c>
      <c r="I623" s="175" t="e">
        <f>VLOOKUP($H623,Mapping!$A:$A,1,0)</f>
        <v>#N/A</v>
      </c>
      <c r="J623" s="177" t="s">
        <v>466</v>
      </c>
      <c r="K623" s="174" t="s">
        <v>475</v>
      </c>
      <c r="L623" s="178">
        <v>13800000</v>
      </c>
      <c r="M623" s="178">
        <v>99.328125</v>
      </c>
      <c r="N623" s="178">
        <v>2.8278548634999998</v>
      </c>
      <c r="O623" s="178">
        <v>13727199.75828729</v>
      </c>
      <c r="P623" s="174" t="s">
        <v>337</v>
      </c>
      <c r="Q623" s="174" t="s">
        <v>476</v>
      </c>
      <c r="R623" s="174" t="s">
        <v>23</v>
      </c>
      <c r="S623" s="174" t="s">
        <v>133</v>
      </c>
      <c r="T623" s="175" t="str">
        <f>VLOOKUP($S623,Mapping!$C:$C,1,0)</f>
        <v>Oasys</v>
      </c>
      <c r="U623" s="175"/>
      <c r="V623" s="175"/>
      <c r="W623" s="175"/>
      <c r="X623" s="175"/>
      <c r="Y623" s="174" t="s">
        <v>469</v>
      </c>
      <c r="Z623" s="174" t="s">
        <v>1206</v>
      </c>
      <c r="AA623" s="174" t="s">
        <v>24</v>
      </c>
      <c r="AB623" s="174"/>
      <c r="AC623" s="174" t="s">
        <v>1942</v>
      </c>
      <c r="AD623" s="174" t="s">
        <v>483</v>
      </c>
      <c r="AE623" s="176">
        <v>43164.386944444443</v>
      </c>
      <c r="AF623" s="175"/>
      <c r="AG623" s="176">
        <v>43164.6562962963</v>
      </c>
      <c r="AH623" s="176">
        <v>43164.6562962963</v>
      </c>
      <c r="AI623" s="175"/>
      <c r="AJ623" s="175"/>
      <c r="AK623" s="178">
        <v>1</v>
      </c>
    </row>
    <row r="624" spans="1:37" x14ac:dyDescent="0.25">
      <c r="A624" s="174" t="s">
        <v>484</v>
      </c>
      <c r="B624" s="174" t="s">
        <v>1943</v>
      </c>
      <c r="C624" s="175"/>
      <c r="D624" s="174" t="s">
        <v>478</v>
      </c>
      <c r="E624" s="174" t="s">
        <v>1201</v>
      </c>
      <c r="F624" s="176">
        <v>43164</v>
      </c>
      <c r="G624" s="176">
        <v>43166</v>
      </c>
      <c r="H624" s="174" t="s">
        <v>1941</v>
      </c>
      <c r="I624" s="175" t="e">
        <f>VLOOKUP($H624,Mapping!$A:$A,1,0)</f>
        <v>#N/A</v>
      </c>
      <c r="J624" s="179" t="s">
        <v>486</v>
      </c>
      <c r="K624" s="174" t="s">
        <v>1944</v>
      </c>
      <c r="L624" s="178">
        <v>18070000</v>
      </c>
      <c r="M624" s="178">
        <v>98.691000000000003</v>
      </c>
      <c r="N624" s="178">
        <v>3.3480616188000001</v>
      </c>
      <c r="O624" s="178">
        <v>-18102254.949999999</v>
      </c>
      <c r="P624" s="174" t="s">
        <v>337</v>
      </c>
      <c r="Q624" s="174" t="s">
        <v>1945</v>
      </c>
      <c r="R624" s="174" t="s">
        <v>23</v>
      </c>
      <c r="S624" s="174" t="s">
        <v>133</v>
      </c>
      <c r="T624" s="175" t="str">
        <f>VLOOKUP($S624,Mapping!$C:$C,1,0)</f>
        <v>Oasys</v>
      </c>
      <c r="U624" s="175"/>
      <c r="V624" s="175"/>
      <c r="W624" s="175"/>
      <c r="X624" s="175"/>
      <c r="Y624" s="174" t="s">
        <v>489</v>
      </c>
      <c r="Z624" s="174" t="s">
        <v>1206</v>
      </c>
      <c r="AA624" s="174" t="s">
        <v>24</v>
      </c>
      <c r="AB624" s="174"/>
      <c r="AC624" s="174" t="s">
        <v>1942</v>
      </c>
      <c r="AD624" s="174" t="s">
        <v>483</v>
      </c>
      <c r="AE624" s="176">
        <v>43164.385277777779</v>
      </c>
      <c r="AF624" s="175"/>
      <c r="AG624" s="176">
        <v>43164.656307870369</v>
      </c>
      <c r="AH624" s="176">
        <v>43164.656307870369</v>
      </c>
      <c r="AI624" s="175"/>
      <c r="AJ624" s="175"/>
      <c r="AK624" s="178">
        <v>1</v>
      </c>
    </row>
    <row r="625" spans="1:37" x14ac:dyDescent="0.25">
      <c r="A625" s="174" t="s">
        <v>461</v>
      </c>
      <c r="B625" s="174" t="s">
        <v>1946</v>
      </c>
      <c r="C625" s="175"/>
      <c r="D625" s="174" t="s">
        <v>478</v>
      </c>
      <c r="E625" s="174" t="s">
        <v>600</v>
      </c>
      <c r="F625" s="176">
        <v>43164</v>
      </c>
      <c r="G625" s="176">
        <v>43165</v>
      </c>
      <c r="H625" s="174" t="s">
        <v>1941</v>
      </c>
      <c r="I625" s="175" t="e">
        <f>VLOOKUP($H625,Mapping!$A:$A,1,0)</f>
        <v>#N/A</v>
      </c>
      <c r="J625" s="177" t="s">
        <v>466</v>
      </c>
      <c r="K625" s="174" t="s">
        <v>475</v>
      </c>
      <c r="L625" s="178">
        <v>4550000</v>
      </c>
      <c r="M625" s="178">
        <v>98.875</v>
      </c>
      <c r="N625" s="178">
        <v>2.8807705845</v>
      </c>
      <c r="O625" s="178">
        <v>4505379.83425414</v>
      </c>
      <c r="P625" s="174" t="s">
        <v>337</v>
      </c>
      <c r="Q625" s="174" t="s">
        <v>476</v>
      </c>
      <c r="R625" s="174" t="s">
        <v>23</v>
      </c>
      <c r="S625" s="174" t="s">
        <v>133</v>
      </c>
      <c r="T625" s="175" t="str">
        <f>VLOOKUP($S625,Mapping!$C:$C,1,0)</f>
        <v>Oasys</v>
      </c>
      <c r="U625" s="175"/>
      <c r="V625" s="175"/>
      <c r="W625" s="175"/>
      <c r="X625" s="175"/>
      <c r="Y625" s="174" t="s">
        <v>469</v>
      </c>
      <c r="Z625" s="174" t="s">
        <v>604</v>
      </c>
      <c r="AA625" s="174" t="s">
        <v>24</v>
      </c>
      <c r="AB625" s="174"/>
      <c r="AC625" s="174" t="s">
        <v>1947</v>
      </c>
      <c r="AD625" s="174" t="s">
        <v>483</v>
      </c>
      <c r="AE625" s="176">
        <v>43164.670104166667</v>
      </c>
      <c r="AF625" s="175"/>
      <c r="AG625" s="176">
        <v>43164.686793981484</v>
      </c>
      <c r="AH625" s="176">
        <v>43164.686793981484</v>
      </c>
      <c r="AI625" s="175"/>
      <c r="AJ625" s="175"/>
      <c r="AK625" s="178">
        <v>1</v>
      </c>
    </row>
    <row r="626" spans="1:37" x14ac:dyDescent="0.25">
      <c r="A626" s="174" t="s">
        <v>461</v>
      </c>
      <c r="B626" s="174" t="s">
        <v>1948</v>
      </c>
      <c r="C626" s="175"/>
      <c r="D626" s="174" t="s">
        <v>478</v>
      </c>
      <c r="E626" s="174" t="s">
        <v>582</v>
      </c>
      <c r="F626" s="176">
        <v>43164</v>
      </c>
      <c r="G626" s="176">
        <v>43165</v>
      </c>
      <c r="H626" s="174" t="s">
        <v>1941</v>
      </c>
      <c r="I626" s="175" t="e">
        <f>VLOOKUP($H626,Mapping!$A:$A,1,0)</f>
        <v>#N/A</v>
      </c>
      <c r="J626" s="177" t="s">
        <v>466</v>
      </c>
      <c r="K626" s="174" t="s">
        <v>543</v>
      </c>
      <c r="L626" s="178">
        <v>2512000</v>
      </c>
      <c r="M626" s="178">
        <v>92.21875</v>
      </c>
      <c r="N626" s="178">
        <v>3.1555047966999998</v>
      </c>
      <c r="O626" s="178">
        <v>2337716.98895028</v>
      </c>
      <c r="P626" s="174" t="s">
        <v>337</v>
      </c>
      <c r="Q626" s="174" t="s">
        <v>544</v>
      </c>
      <c r="R626" s="174" t="s">
        <v>23</v>
      </c>
      <c r="S626" s="174" t="s">
        <v>133</v>
      </c>
      <c r="T626" s="175" t="str">
        <f>VLOOKUP($S626,Mapping!$C:$C,1,0)</f>
        <v>Oasys</v>
      </c>
      <c r="U626" s="175"/>
      <c r="V626" s="175"/>
      <c r="W626" s="175"/>
      <c r="X626" s="175"/>
      <c r="Y626" s="174" t="s">
        <v>469</v>
      </c>
      <c r="Z626" s="174" t="s">
        <v>586</v>
      </c>
      <c r="AA626" s="174" t="s">
        <v>24</v>
      </c>
      <c r="AB626" s="174"/>
      <c r="AC626" s="174" t="s">
        <v>1947</v>
      </c>
      <c r="AD626" s="174" t="s">
        <v>483</v>
      </c>
      <c r="AE626" s="176">
        <v>43164.676759259259</v>
      </c>
      <c r="AF626" s="175"/>
      <c r="AG626" s="176">
        <v>43164.686805555553</v>
      </c>
      <c r="AH626" s="176">
        <v>43164.686805555553</v>
      </c>
      <c r="AI626" s="175"/>
      <c r="AJ626" s="175"/>
      <c r="AK626" s="178">
        <v>1</v>
      </c>
    </row>
    <row r="627" spans="1:37" x14ac:dyDescent="0.25">
      <c r="A627" s="174" t="s">
        <v>484</v>
      </c>
      <c r="B627" s="174" t="s">
        <v>1949</v>
      </c>
      <c r="C627" s="175"/>
      <c r="D627" s="174" t="s">
        <v>478</v>
      </c>
      <c r="E627" s="174" t="s">
        <v>582</v>
      </c>
      <c r="F627" s="176">
        <v>43164</v>
      </c>
      <c r="G627" s="176">
        <v>43166</v>
      </c>
      <c r="H627" s="174" t="s">
        <v>1941</v>
      </c>
      <c r="I627" s="175" t="e">
        <f>VLOOKUP($H627,Mapping!$A:$A,1,0)</f>
        <v>#N/A</v>
      </c>
      <c r="J627" s="179" t="s">
        <v>486</v>
      </c>
      <c r="K627" s="174" t="s">
        <v>1950</v>
      </c>
      <c r="L627" s="178">
        <v>2730000</v>
      </c>
      <c r="M627" s="178">
        <v>98.885999999999996</v>
      </c>
      <c r="N627" s="178">
        <v>4.266015801</v>
      </c>
      <c r="O627" s="178">
        <v>-2701180.3</v>
      </c>
      <c r="P627" s="174" t="s">
        <v>337</v>
      </c>
      <c r="Q627" s="174" t="s">
        <v>1951</v>
      </c>
      <c r="R627" s="174" t="s">
        <v>23</v>
      </c>
      <c r="S627" s="174" t="s">
        <v>133</v>
      </c>
      <c r="T627" s="175" t="str">
        <f>VLOOKUP($S627,Mapping!$C:$C,1,0)</f>
        <v>Oasys</v>
      </c>
      <c r="U627" s="175"/>
      <c r="V627" s="175"/>
      <c r="W627" s="175"/>
      <c r="X627" s="175"/>
      <c r="Y627" s="174" t="s">
        <v>489</v>
      </c>
      <c r="Z627" s="174" t="s">
        <v>586</v>
      </c>
      <c r="AA627" s="174" t="s">
        <v>24</v>
      </c>
      <c r="AB627" s="174"/>
      <c r="AC627" s="174" t="s">
        <v>1947</v>
      </c>
      <c r="AD627" s="174" t="s">
        <v>483</v>
      </c>
      <c r="AE627" s="176">
        <v>43164.676759259259</v>
      </c>
      <c r="AF627" s="175"/>
      <c r="AG627" s="176">
        <v>43164.68681712963</v>
      </c>
      <c r="AH627" s="176">
        <v>43164.68681712963</v>
      </c>
      <c r="AI627" s="175"/>
      <c r="AJ627" s="175"/>
      <c r="AK627" s="178">
        <v>1</v>
      </c>
    </row>
    <row r="628" spans="1:37" x14ac:dyDescent="0.25">
      <c r="A628" s="174" t="s">
        <v>484</v>
      </c>
      <c r="B628" s="174" t="s">
        <v>1952</v>
      </c>
      <c r="C628" s="175"/>
      <c r="D628" s="174" t="s">
        <v>478</v>
      </c>
      <c r="E628" s="174" t="s">
        <v>600</v>
      </c>
      <c r="F628" s="176">
        <v>43164</v>
      </c>
      <c r="G628" s="176">
        <v>43166</v>
      </c>
      <c r="H628" s="174" t="s">
        <v>1941</v>
      </c>
      <c r="I628" s="175" t="e">
        <f>VLOOKUP($H628,Mapping!$A:$A,1,0)</f>
        <v>#N/A</v>
      </c>
      <c r="J628" s="179" t="s">
        <v>486</v>
      </c>
      <c r="K628" s="174" t="s">
        <v>1953</v>
      </c>
      <c r="L628" s="178">
        <v>5000000</v>
      </c>
      <c r="M628" s="178">
        <v>95.105999999999995</v>
      </c>
      <c r="N628" s="178">
        <v>4.0110495549999996</v>
      </c>
      <c r="O628" s="178">
        <v>-4798272.2222222202</v>
      </c>
      <c r="P628" s="174" t="s">
        <v>337</v>
      </c>
      <c r="Q628" s="174" t="s">
        <v>1954</v>
      </c>
      <c r="R628" s="174" t="s">
        <v>23</v>
      </c>
      <c r="S628" s="174" t="s">
        <v>130</v>
      </c>
      <c r="T628" s="175" t="str">
        <f>VLOOKUP($S628,Mapping!$C:$C,1,0)</f>
        <v>Manual</v>
      </c>
      <c r="U628" s="175"/>
      <c r="V628" s="175"/>
      <c r="W628" s="175"/>
      <c r="X628" s="175"/>
      <c r="Y628" s="174" t="s">
        <v>633</v>
      </c>
      <c r="Z628" s="174" t="s">
        <v>604</v>
      </c>
      <c r="AA628" s="174" t="s">
        <v>24</v>
      </c>
      <c r="AB628" s="174"/>
      <c r="AC628" s="174" t="s">
        <v>1955</v>
      </c>
      <c r="AD628" s="174" t="s">
        <v>483</v>
      </c>
      <c r="AE628" s="175"/>
      <c r="AF628" s="175"/>
      <c r="AG628" s="176">
        <v>43164.687384259261</v>
      </c>
      <c r="AH628" s="176">
        <v>43164.687384259261</v>
      </c>
      <c r="AI628" s="175"/>
      <c r="AJ628" s="175"/>
      <c r="AK628" s="178">
        <v>1</v>
      </c>
    </row>
    <row r="629" spans="1:37" x14ac:dyDescent="0.25">
      <c r="A629" s="174" t="s">
        <v>461</v>
      </c>
      <c r="B629" s="174" t="s">
        <v>1956</v>
      </c>
      <c r="C629" s="175"/>
      <c r="D629" s="174" t="s">
        <v>478</v>
      </c>
      <c r="E629" s="174" t="s">
        <v>582</v>
      </c>
      <c r="F629" s="176">
        <v>43164</v>
      </c>
      <c r="G629" s="176">
        <v>43165</v>
      </c>
      <c r="H629" s="174" t="s">
        <v>1941</v>
      </c>
      <c r="I629" s="175" t="e">
        <f>VLOOKUP($H629,Mapping!$A:$A,1,0)</f>
        <v>#N/A</v>
      </c>
      <c r="J629" s="177" t="s">
        <v>466</v>
      </c>
      <c r="K629" s="174" t="s">
        <v>543</v>
      </c>
      <c r="L629" s="178">
        <v>837000</v>
      </c>
      <c r="M629" s="178">
        <v>92.21875</v>
      </c>
      <c r="N629" s="178">
        <v>3.1555047966999998</v>
      </c>
      <c r="O629" s="178">
        <v>778928.78970993997</v>
      </c>
      <c r="P629" s="174" t="s">
        <v>337</v>
      </c>
      <c r="Q629" s="174" t="s">
        <v>544</v>
      </c>
      <c r="R629" s="174" t="s">
        <v>23</v>
      </c>
      <c r="S629" s="174" t="s">
        <v>133</v>
      </c>
      <c r="T629" s="175" t="str">
        <f>VLOOKUP($S629,Mapping!$C:$C,1,0)</f>
        <v>Oasys</v>
      </c>
      <c r="U629" s="175"/>
      <c r="V629" s="175"/>
      <c r="W629" s="175"/>
      <c r="X629" s="175"/>
      <c r="Y629" s="174" t="s">
        <v>469</v>
      </c>
      <c r="Z629" s="174" t="s">
        <v>586</v>
      </c>
      <c r="AA629" s="174" t="s">
        <v>24</v>
      </c>
      <c r="AB629" s="174"/>
      <c r="AC629" s="174" t="s">
        <v>1942</v>
      </c>
      <c r="AD629" s="174" t="s">
        <v>483</v>
      </c>
      <c r="AE629" s="176">
        <v>43164.683495370373</v>
      </c>
      <c r="AF629" s="175"/>
      <c r="AG629" s="176">
        <v>43164.703229166669</v>
      </c>
      <c r="AH629" s="176">
        <v>43164.703229166669</v>
      </c>
      <c r="AI629" s="175"/>
      <c r="AJ629" s="175"/>
      <c r="AK629" s="178">
        <v>1</v>
      </c>
    </row>
    <row r="630" spans="1:37" x14ac:dyDescent="0.25">
      <c r="A630" s="174" t="s">
        <v>484</v>
      </c>
      <c r="B630" s="174" t="s">
        <v>1957</v>
      </c>
      <c r="C630" s="175"/>
      <c r="D630" s="174" t="s">
        <v>478</v>
      </c>
      <c r="E630" s="174" t="s">
        <v>582</v>
      </c>
      <c r="F630" s="176">
        <v>43164</v>
      </c>
      <c r="G630" s="176">
        <v>43166</v>
      </c>
      <c r="H630" s="174" t="s">
        <v>1941</v>
      </c>
      <c r="I630" s="175" t="e">
        <f>VLOOKUP($H630,Mapping!$A:$A,1,0)</f>
        <v>#N/A</v>
      </c>
      <c r="J630" s="179" t="s">
        <v>486</v>
      </c>
      <c r="K630" s="174" t="s">
        <v>1950</v>
      </c>
      <c r="L630" s="178">
        <v>910000</v>
      </c>
      <c r="M630" s="178">
        <v>98.885999999999996</v>
      </c>
      <c r="N630" s="178">
        <v>4.266015801</v>
      </c>
      <c r="O630" s="178">
        <v>-900393.43333333009</v>
      </c>
      <c r="P630" s="174" t="s">
        <v>337</v>
      </c>
      <c r="Q630" s="174" t="s">
        <v>1951</v>
      </c>
      <c r="R630" s="174" t="s">
        <v>23</v>
      </c>
      <c r="S630" s="174" t="s">
        <v>133</v>
      </c>
      <c r="T630" s="175" t="str">
        <f>VLOOKUP($S630,Mapping!$C:$C,1,0)</f>
        <v>Oasys</v>
      </c>
      <c r="U630" s="175"/>
      <c r="V630" s="175"/>
      <c r="W630" s="175"/>
      <c r="X630" s="175"/>
      <c r="Y630" s="174" t="s">
        <v>489</v>
      </c>
      <c r="Z630" s="174" t="s">
        <v>586</v>
      </c>
      <c r="AA630" s="174" t="s">
        <v>24</v>
      </c>
      <c r="AB630" s="174"/>
      <c r="AC630" s="174" t="s">
        <v>1942</v>
      </c>
      <c r="AD630" s="174" t="s">
        <v>483</v>
      </c>
      <c r="AE630" s="176">
        <v>43164.683495370373</v>
      </c>
      <c r="AF630" s="175"/>
      <c r="AG630" s="176">
        <v>43164.703240740739</v>
      </c>
      <c r="AH630" s="176">
        <v>43164.703240740739</v>
      </c>
      <c r="AI630" s="175"/>
      <c r="AJ630" s="175"/>
      <c r="AK630" s="178">
        <v>1</v>
      </c>
    </row>
    <row r="631" spans="1:37" x14ac:dyDescent="0.25">
      <c r="A631" s="174" t="s">
        <v>461</v>
      </c>
      <c r="B631" s="174" t="s">
        <v>1958</v>
      </c>
      <c r="C631" s="175"/>
      <c r="D631" s="174" t="s">
        <v>478</v>
      </c>
      <c r="E631" s="174" t="s">
        <v>768</v>
      </c>
      <c r="F631" s="176">
        <v>43164</v>
      </c>
      <c r="G631" s="176">
        <v>43165</v>
      </c>
      <c r="H631" s="174" t="s">
        <v>1959</v>
      </c>
      <c r="I631" s="175" t="e">
        <f>VLOOKUP($H631,Mapping!$A:$A,1,0)</f>
        <v>#N/A</v>
      </c>
      <c r="J631" s="177" t="s">
        <v>466</v>
      </c>
      <c r="K631" s="174" t="s">
        <v>475</v>
      </c>
      <c r="L631" s="178">
        <v>5300000</v>
      </c>
      <c r="M631" s="178">
        <v>98.84375</v>
      </c>
      <c r="N631" s="178">
        <v>2.8844301362999998</v>
      </c>
      <c r="O631" s="178">
        <v>5246368.61187845</v>
      </c>
      <c r="P631" s="174" t="s">
        <v>337</v>
      </c>
      <c r="Q631" s="174" t="s">
        <v>476</v>
      </c>
      <c r="R631" s="174" t="s">
        <v>23</v>
      </c>
      <c r="S631" s="174" t="s">
        <v>133</v>
      </c>
      <c r="T631" s="175" t="str">
        <f>VLOOKUP($S631,Mapping!$C:$C,1,0)</f>
        <v>Oasys</v>
      </c>
      <c r="U631" s="175"/>
      <c r="V631" s="175"/>
      <c r="W631" s="175"/>
      <c r="X631" s="175"/>
      <c r="Y631" s="174" t="s">
        <v>469</v>
      </c>
      <c r="Z631" s="174" t="s">
        <v>770</v>
      </c>
      <c r="AA631" s="174" t="s">
        <v>24</v>
      </c>
      <c r="AB631" s="174"/>
      <c r="AC631" s="174" t="s">
        <v>1960</v>
      </c>
      <c r="AD631" s="174" t="s">
        <v>483</v>
      </c>
      <c r="AE631" s="176">
        <v>43164.626689814817</v>
      </c>
      <c r="AF631" s="175"/>
      <c r="AG631" s="176">
        <v>43164.719953703701</v>
      </c>
      <c r="AH631" s="176">
        <v>43164.719953703701</v>
      </c>
      <c r="AI631" s="175"/>
      <c r="AJ631" s="175"/>
      <c r="AK631" s="178">
        <v>1</v>
      </c>
    </row>
    <row r="632" spans="1:37" x14ac:dyDescent="0.25">
      <c r="A632" s="174" t="s">
        <v>484</v>
      </c>
      <c r="B632" s="174" t="s">
        <v>1961</v>
      </c>
      <c r="C632" s="175"/>
      <c r="D632" s="174" t="s">
        <v>478</v>
      </c>
      <c r="E632" s="174" t="s">
        <v>768</v>
      </c>
      <c r="F632" s="176">
        <v>43164</v>
      </c>
      <c r="G632" s="176">
        <v>43166</v>
      </c>
      <c r="H632" s="174" t="s">
        <v>1959</v>
      </c>
      <c r="I632" s="175" t="e">
        <f>VLOOKUP($H632,Mapping!$A:$A,1,0)</f>
        <v>#N/A</v>
      </c>
      <c r="J632" s="179" t="s">
        <v>486</v>
      </c>
      <c r="K632" s="174" t="s">
        <v>1962</v>
      </c>
      <c r="L632" s="178">
        <v>6050000</v>
      </c>
      <c r="M632" s="178">
        <v>92.418000000000006</v>
      </c>
      <c r="N632" s="178">
        <v>4.7139703298000004</v>
      </c>
      <c r="O632" s="178">
        <v>-5605153.5833333302</v>
      </c>
      <c r="P632" s="174" t="s">
        <v>337</v>
      </c>
      <c r="Q632" s="174" t="s">
        <v>1963</v>
      </c>
      <c r="R632" s="174" t="s">
        <v>23</v>
      </c>
      <c r="S632" s="174" t="s">
        <v>133</v>
      </c>
      <c r="T632" s="175" t="str">
        <f>VLOOKUP($S632,Mapping!$C:$C,1,0)</f>
        <v>Oasys</v>
      </c>
      <c r="U632" s="175"/>
      <c r="V632" s="175"/>
      <c r="W632" s="175"/>
      <c r="X632" s="175"/>
      <c r="Y632" s="174" t="s">
        <v>489</v>
      </c>
      <c r="Z632" s="174" t="s">
        <v>770</v>
      </c>
      <c r="AA632" s="174" t="s">
        <v>24</v>
      </c>
      <c r="AB632" s="174"/>
      <c r="AC632" s="174" t="s">
        <v>1960</v>
      </c>
      <c r="AD632" s="174" t="s">
        <v>483</v>
      </c>
      <c r="AE632" s="176">
        <v>43164.626689814817</v>
      </c>
      <c r="AF632" s="175"/>
      <c r="AG632" s="176">
        <v>43164.719965277778</v>
      </c>
      <c r="AH632" s="176">
        <v>43164.719965277778</v>
      </c>
      <c r="AI632" s="175"/>
      <c r="AJ632" s="175"/>
      <c r="AK632" s="178">
        <v>1</v>
      </c>
    </row>
    <row r="633" spans="1:37" x14ac:dyDescent="0.25">
      <c r="A633" s="174" t="s">
        <v>461</v>
      </c>
      <c r="B633" s="174" t="s">
        <v>1964</v>
      </c>
      <c r="C633" s="175"/>
      <c r="D633" s="174" t="s">
        <v>566</v>
      </c>
      <c r="E633" s="174" t="s">
        <v>1362</v>
      </c>
      <c r="F633" s="176">
        <v>43164</v>
      </c>
      <c r="G633" s="176">
        <v>43166</v>
      </c>
      <c r="H633" s="174" t="s">
        <v>1965</v>
      </c>
      <c r="I633" s="175" t="e">
        <f>VLOOKUP($H633,Mapping!$A:$A,1,0)</f>
        <v>#N/A</v>
      </c>
      <c r="J633" s="177" t="s">
        <v>466</v>
      </c>
      <c r="K633" s="174" t="s">
        <v>1469</v>
      </c>
      <c r="L633" s="178">
        <v>7200000</v>
      </c>
      <c r="M633" s="178">
        <v>100.0134</v>
      </c>
      <c r="N633" s="178">
        <v>-2.6251250999999999E-3</v>
      </c>
      <c r="O633" s="178">
        <v>7200964.7999999998</v>
      </c>
      <c r="P633" s="174" t="s">
        <v>386</v>
      </c>
      <c r="Q633" s="174" t="s">
        <v>1470</v>
      </c>
      <c r="R633" s="174" t="s">
        <v>23</v>
      </c>
      <c r="S633" s="174" t="s">
        <v>130</v>
      </c>
      <c r="T633" s="175" t="str">
        <f>VLOOKUP($S633,Mapping!$C:$C,1,0)</f>
        <v>Manual</v>
      </c>
      <c r="U633" s="175"/>
      <c r="V633" s="175"/>
      <c r="W633" s="175"/>
      <c r="X633" s="175"/>
      <c r="Y633" s="174" t="s">
        <v>575</v>
      </c>
      <c r="Z633" s="174" t="s">
        <v>1367</v>
      </c>
      <c r="AA633" s="174" t="s">
        <v>24</v>
      </c>
      <c r="AB633" s="174"/>
      <c r="AC633" s="174" t="s">
        <v>794</v>
      </c>
      <c r="AD633" s="174" t="s">
        <v>795</v>
      </c>
      <c r="AE633" s="175"/>
      <c r="AF633" s="175"/>
      <c r="AG633" s="176">
        <v>43164.38559027778</v>
      </c>
      <c r="AH633" s="176">
        <v>43164.38559027778</v>
      </c>
      <c r="AI633" s="175"/>
      <c r="AJ633" s="175"/>
      <c r="AK633" s="178">
        <v>1</v>
      </c>
    </row>
    <row r="634" spans="1:37" x14ac:dyDescent="0.25">
      <c r="A634" s="174" t="s">
        <v>461</v>
      </c>
      <c r="B634" s="174" t="s">
        <v>1966</v>
      </c>
      <c r="C634" s="175"/>
      <c r="D634" s="174" t="s">
        <v>566</v>
      </c>
      <c r="E634" s="174" t="s">
        <v>1362</v>
      </c>
      <c r="F634" s="176">
        <v>43164</v>
      </c>
      <c r="G634" s="176">
        <v>43166</v>
      </c>
      <c r="H634" s="174" t="s">
        <v>1965</v>
      </c>
      <c r="I634" s="175" t="e">
        <f>VLOOKUP($H634,Mapping!$A:$A,1,0)</f>
        <v>#N/A</v>
      </c>
      <c r="J634" s="177" t="s">
        <v>466</v>
      </c>
      <c r="K634" s="174" t="s">
        <v>1364</v>
      </c>
      <c r="L634" s="178">
        <v>7200000</v>
      </c>
      <c r="M634" s="178">
        <v>107.7004</v>
      </c>
      <c r="N634" s="178">
        <v>-5.4613296800000002E-2</v>
      </c>
      <c r="O634" s="178">
        <v>7760346.6082191803</v>
      </c>
      <c r="P634" s="174" t="s">
        <v>386</v>
      </c>
      <c r="Q634" s="174" t="s">
        <v>1365</v>
      </c>
      <c r="R634" s="174" t="s">
        <v>23</v>
      </c>
      <c r="S634" s="174" t="s">
        <v>130</v>
      </c>
      <c r="T634" s="175" t="str">
        <f>VLOOKUP($S634,Mapping!$C:$C,1,0)</f>
        <v>Manual</v>
      </c>
      <c r="U634" s="175"/>
      <c r="V634" s="175"/>
      <c r="W634" s="175"/>
      <c r="X634" s="175"/>
      <c r="Y634" s="174" t="s">
        <v>575</v>
      </c>
      <c r="Z634" s="174" t="s">
        <v>1367</v>
      </c>
      <c r="AA634" s="174" t="s">
        <v>24</v>
      </c>
      <c r="AB634" s="174"/>
      <c r="AC634" s="174" t="s">
        <v>794</v>
      </c>
      <c r="AD634" s="174" t="s">
        <v>816</v>
      </c>
      <c r="AE634" s="175"/>
      <c r="AF634" s="175"/>
      <c r="AG634" s="176">
        <v>43165.175312500003</v>
      </c>
      <c r="AH634" s="176">
        <v>43165.175312500003</v>
      </c>
      <c r="AI634" s="175"/>
      <c r="AJ634" s="175"/>
      <c r="AK634" s="178">
        <v>1</v>
      </c>
    </row>
    <row r="635" spans="1:37" x14ac:dyDescent="0.25">
      <c r="A635" s="174" t="s">
        <v>484</v>
      </c>
      <c r="B635" s="174" t="s">
        <v>1967</v>
      </c>
      <c r="C635" s="175"/>
      <c r="D635" s="174" t="s">
        <v>566</v>
      </c>
      <c r="E635" s="174" t="s">
        <v>698</v>
      </c>
      <c r="F635" s="176">
        <v>43164</v>
      </c>
      <c r="G635" s="176">
        <v>43166</v>
      </c>
      <c r="H635" s="174" t="s">
        <v>1968</v>
      </c>
      <c r="I635" s="175" t="e">
        <f>VLOOKUP($H635,Mapping!$A:$A,1,0)</f>
        <v>#N/A</v>
      </c>
      <c r="J635" s="179" t="s">
        <v>486</v>
      </c>
      <c r="K635" s="174" t="s">
        <v>1825</v>
      </c>
      <c r="L635" s="178">
        <v>2000000</v>
      </c>
      <c r="M635" s="178">
        <v>103.25</v>
      </c>
      <c r="N635" s="178">
        <v>2.6727695303000001</v>
      </c>
      <c r="O635" s="178">
        <v>-2087930.5555555599</v>
      </c>
      <c r="P635" s="174" t="s">
        <v>386</v>
      </c>
      <c r="Q635" s="174" t="s">
        <v>1826</v>
      </c>
      <c r="R635" s="174" t="s">
        <v>22</v>
      </c>
      <c r="S635" s="174" t="s">
        <v>129</v>
      </c>
      <c r="T635" s="175" t="str">
        <f>VLOOKUP($S635,Mapping!$C:$C,1,0)</f>
        <v>Omgeo</v>
      </c>
      <c r="U635" s="174" t="s">
        <v>1969</v>
      </c>
      <c r="V635" s="174" t="s">
        <v>132</v>
      </c>
      <c r="W635" s="175"/>
      <c r="X635" s="175"/>
      <c r="Y635" s="174" t="s">
        <v>1828</v>
      </c>
      <c r="Z635" s="174" t="s">
        <v>703</v>
      </c>
      <c r="AA635" s="174" t="s">
        <v>22</v>
      </c>
      <c r="AB635" s="174"/>
      <c r="AC635" s="175"/>
      <c r="AD635" s="174" t="s">
        <v>512</v>
      </c>
      <c r="AE635" s="176">
        <v>43164.268252314818</v>
      </c>
      <c r="AF635" s="174" t="s">
        <v>1969</v>
      </c>
      <c r="AG635" s="176">
        <v>43164.261412037034</v>
      </c>
      <c r="AH635" s="176">
        <v>43164.261493055557</v>
      </c>
      <c r="AI635" s="175"/>
      <c r="AJ635" s="175"/>
      <c r="AK635" s="178">
        <v>1</v>
      </c>
    </row>
    <row r="636" spans="1:37" x14ac:dyDescent="0.25">
      <c r="A636" s="174" t="s">
        <v>484</v>
      </c>
      <c r="B636" s="174" t="s">
        <v>1970</v>
      </c>
      <c r="C636" s="175"/>
      <c r="D636" s="174" t="s">
        <v>478</v>
      </c>
      <c r="E636" s="174" t="s">
        <v>535</v>
      </c>
      <c r="F636" s="176">
        <v>43164</v>
      </c>
      <c r="G636" s="176">
        <v>43166</v>
      </c>
      <c r="H636" s="174" t="s">
        <v>1968</v>
      </c>
      <c r="I636" s="175" t="e">
        <f>VLOOKUP($H636,Mapping!$A:$A,1,0)</f>
        <v>#N/A</v>
      </c>
      <c r="J636" s="179" t="s">
        <v>486</v>
      </c>
      <c r="K636" s="174" t="s">
        <v>1971</v>
      </c>
      <c r="L636" s="178">
        <v>5000000</v>
      </c>
      <c r="M636" s="178">
        <v>96.590999999999994</v>
      </c>
      <c r="N636" s="178">
        <v>4.9170075635000003</v>
      </c>
      <c r="O636" s="178">
        <v>-4848480.5555555606</v>
      </c>
      <c r="P636" s="174" t="s">
        <v>337</v>
      </c>
      <c r="Q636" s="174" t="s">
        <v>1972</v>
      </c>
      <c r="R636" s="174" t="s">
        <v>22</v>
      </c>
      <c r="S636" s="174" t="s">
        <v>129</v>
      </c>
      <c r="T636" s="175" t="str">
        <f>VLOOKUP($S636,Mapping!$C:$C,1,0)</f>
        <v>Omgeo</v>
      </c>
      <c r="U636" s="174" t="s">
        <v>1973</v>
      </c>
      <c r="V636" s="174" t="s">
        <v>132</v>
      </c>
      <c r="W636" s="175"/>
      <c r="X636" s="175"/>
      <c r="Y636" s="174" t="s">
        <v>489</v>
      </c>
      <c r="Z636" s="174" t="s">
        <v>540</v>
      </c>
      <c r="AA636" s="174" t="s">
        <v>22</v>
      </c>
      <c r="AB636" s="174"/>
      <c r="AC636" s="175"/>
      <c r="AD636" s="174" t="s">
        <v>541</v>
      </c>
      <c r="AE636" s="176">
        <v>43164.428738425922</v>
      </c>
      <c r="AF636" s="174" t="s">
        <v>1973</v>
      </c>
      <c r="AG636" s="176">
        <v>43164.423125000001</v>
      </c>
      <c r="AH636" s="176">
        <v>43164.423125000001</v>
      </c>
      <c r="AI636" s="175"/>
      <c r="AJ636" s="175"/>
      <c r="AK636" s="178">
        <v>1</v>
      </c>
    </row>
    <row r="637" spans="1:37" x14ac:dyDescent="0.25">
      <c r="A637" s="174" t="s">
        <v>461</v>
      </c>
      <c r="B637" s="174" t="s">
        <v>1974</v>
      </c>
      <c r="C637" s="175"/>
      <c r="D637" s="174" t="s">
        <v>478</v>
      </c>
      <c r="E637" s="174" t="s">
        <v>535</v>
      </c>
      <c r="F637" s="176">
        <v>43164</v>
      </c>
      <c r="G637" s="176">
        <v>43165</v>
      </c>
      <c r="H637" s="174" t="s">
        <v>1968</v>
      </c>
      <c r="I637" s="175" t="e">
        <f>VLOOKUP($H637,Mapping!$A:$A,1,0)</f>
        <v>#N/A</v>
      </c>
      <c r="J637" s="177" t="s">
        <v>466</v>
      </c>
      <c r="K637" s="174" t="s">
        <v>543</v>
      </c>
      <c r="L637" s="178">
        <v>4100000</v>
      </c>
      <c r="M637" s="178">
        <v>92.734375</v>
      </c>
      <c r="N637" s="178">
        <v>3.1272777968000001</v>
      </c>
      <c r="O637" s="178">
        <v>3836681.8888121499</v>
      </c>
      <c r="P637" s="174" t="s">
        <v>337</v>
      </c>
      <c r="Q637" s="174" t="s">
        <v>544</v>
      </c>
      <c r="R637" s="174" t="s">
        <v>22</v>
      </c>
      <c r="S637" s="174" t="s">
        <v>129</v>
      </c>
      <c r="T637" s="175" t="str">
        <f>VLOOKUP($S637,Mapping!$C:$C,1,0)</f>
        <v>Omgeo</v>
      </c>
      <c r="U637" s="174" t="s">
        <v>1975</v>
      </c>
      <c r="V637" s="174" t="s">
        <v>132</v>
      </c>
      <c r="W637" s="175"/>
      <c r="X637" s="175"/>
      <c r="Y637" s="174" t="s">
        <v>469</v>
      </c>
      <c r="Z637" s="174" t="s">
        <v>540</v>
      </c>
      <c r="AA637" s="174" t="s">
        <v>22</v>
      </c>
      <c r="AB637" s="174"/>
      <c r="AC637" s="175"/>
      <c r="AD637" s="174" t="s">
        <v>541</v>
      </c>
      <c r="AE637" s="176">
        <v>43164.428738425922</v>
      </c>
      <c r="AF637" s="174" t="s">
        <v>1975</v>
      </c>
      <c r="AG637" s="176">
        <v>43164.42324074074</v>
      </c>
      <c r="AH637" s="176">
        <v>43164.42324074074</v>
      </c>
      <c r="AI637" s="175"/>
      <c r="AJ637" s="175"/>
      <c r="AK637" s="178">
        <v>1</v>
      </c>
    </row>
    <row r="638" spans="1:37" x14ac:dyDescent="0.25">
      <c r="A638" s="174" t="s">
        <v>484</v>
      </c>
      <c r="B638" s="174" t="s">
        <v>1976</v>
      </c>
      <c r="C638" s="175"/>
      <c r="D638" s="174" t="s">
        <v>478</v>
      </c>
      <c r="E638" s="174" t="s">
        <v>479</v>
      </c>
      <c r="F638" s="176">
        <v>43164</v>
      </c>
      <c r="G638" s="176">
        <v>43166</v>
      </c>
      <c r="H638" s="174" t="s">
        <v>1968</v>
      </c>
      <c r="I638" s="175" t="e">
        <f>VLOOKUP($H638,Mapping!$A:$A,1,0)</f>
        <v>#N/A</v>
      </c>
      <c r="J638" s="179" t="s">
        <v>486</v>
      </c>
      <c r="K638" s="174" t="s">
        <v>637</v>
      </c>
      <c r="L638" s="178">
        <v>1820000</v>
      </c>
      <c r="M638" s="178">
        <v>96.814999999999998</v>
      </c>
      <c r="N638" s="178">
        <v>3.9239591496999999</v>
      </c>
      <c r="O638" s="178">
        <v>-1762917.7222222199</v>
      </c>
      <c r="P638" s="174" t="s">
        <v>337</v>
      </c>
      <c r="Q638" s="174" t="s">
        <v>638</v>
      </c>
      <c r="R638" s="174" t="s">
        <v>23</v>
      </c>
      <c r="S638" s="174" t="s">
        <v>129</v>
      </c>
      <c r="T638" s="175" t="str">
        <f>VLOOKUP($S638,Mapping!$C:$C,1,0)</f>
        <v>Omgeo</v>
      </c>
      <c r="U638" s="175"/>
      <c r="V638" s="175"/>
      <c r="W638" s="175"/>
      <c r="X638" s="175"/>
      <c r="Y638" s="174" t="s">
        <v>640</v>
      </c>
      <c r="Z638" s="174" t="s">
        <v>481</v>
      </c>
      <c r="AA638" s="174" t="s">
        <v>24</v>
      </c>
      <c r="AB638" s="174"/>
      <c r="AC638" s="174" t="s">
        <v>1977</v>
      </c>
      <c r="AD638" s="174" t="s">
        <v>483</v>
      </c>
      <c r="AE638" s="176">
        <v>43164.695775462962</v>
      </c>
      <c r="AF638" s="175"/>
      <c r="AG638" s="176">
        <v>43164.730474537035</v>
      </c>
      <c r="AH638" s="176">
        <v>43164.730474537035</v>
      </c>
      <c r="AI638" s="175"/>
      <c r="AJ638" s="175"/>
      <c r="AK638" s="178">
        <v>1</v>
      </c>
    </row>
    <row r="639" spans="1:37" x14ac:dyDescent="0.25">
      <c r="A639" s="174" t="s">
        <v>461</v>
      </c>
      <c r="B639" s="174" t="s">
        <v>1978</v>
      </c>
      <c r="C639" s="175"/>
      <c r="D639" s="174" t="s">
        <v>478</v>
      </c>
      <c r="E639" s="174" t="s">
        <v>479</v>
      </c>
      <c r="F639" s="176">
        <v>43164</v>
      </c>
      <c r="G639" s="176">
        <v>43165</v>
      </c>
      <c r="H639" s="174" t="s">
        <v>1968</v>
      </c>
      <c r="I639" s="175" t="e">
        <f>VLOOKUP($H639,Mapping!$A:$A,1,0)</f>
        <v>#N/A</v>
      </c>
      <c r="J639" s="177" t="s">
        <v>466</v>
      </c>
      <c r="K639" s="174" t="s">
        <v>475</v>
      </c>
      <c r="L639" s="178">
        <v>1547000</v>
      </c>
      <c r="M639" s="178">
        <v>98.84375</v>
      </c>
      <c r="N639" s="178">
        <v>2.8844301362999998</v>
      </c>
      <c r="O639" s="178">
        <v>1531345.70614641</v>
      </c>
      <c r="P639" s="174" t="s">
        <v>337</v>
      </c>
      <c r="Q639" s="174" t="s">
        <v>476</v>
      </c>
      <c r="R639" s="174" t="s">
        <v>23</v>
      </c>
      <c r="S639" s="174" t="s">
        <v>129</v>
      </c>
      <c r="T639" s="175" t="str">
        <f>VLOOKUP($S639,Mapping!$C:$C,1,0)</f>
        <v>Omgeo</v>
      </c>
      <c r="U639" s="175"/>
      <c r="V639" s="175"/>
      <c r="W639" s="175"/>
      <c r="X639" s="175"/>
      <c r="Y639" s="174" t="s">
        <v>469</v>
      </c>
      <c r="Z639" s="174" t="s">
        <v>481</v>
      </c>
      <c r="AA639" s="174" t="s">
        <v>24</v>
      </c>
      <c r="AB639" s="174"/>
      <c r="AC639" s="174" t="s">
        <v>1977</v>
      </c>
      <c r="AD639" s="174" t="s">
        <v>483</v>
      </c>
      <c r="AE639" s="176">
        <v>43164.695775462962</v>
      </c>
      <c r="AF639" s="175"/>
      <c r="AG639" s="176">
        <v>43164.730474537035</v>
      </c>
      <c r="AH639" s="176">
        <v>43164.730474537035</v>
      </c>
      <c r="AI639" s="175"/>
      <c r="AJ639" s="175"/>
      <c r="AK639" s="178">
        <v>1</v>
      </c>
    </row>
    <row r="640" spans="1:37" x14ac:dyDescent="0.25">
      <c r="A640" s="174" t="s">
        <v>484</v>
      </c>
      <c r="B640" s="174" t="s">
        <v>1979</v>
      </c>
      <c r="C640" s="175"/>
      <c r="D640" s="174" t="s">
        <v>478</v>
      </c>
      <c r="E640" s="174" t="s">
        <v>491</v>
      </c>
      <c r="F640" s="176">
        <v>43164</v>
      </c>
      <c r="G640" s="176">
        <v>43166</v>
      </c>
      <c r="H640" s="174" t="s">
        <v>1968</v>
      </c>
      <c r="I640" s="175" t="e">
        <f>VLOOKUP($H640,Mapping!$A:$A,1,0)</f>
        <v>#N/A</v>
      </c>
      <c r="J640" s="177" t="s">
        <v>466</v>
      </c>
      <c r="K640" s="174" t="s">
        <v>763</v>
      </c>
      <c r="L640" s="178">
        <v>4550000</v>
      </c>
      <c r="M640" s="178">
        <v>100.25</v>
      </c>
      <c r="N640" s="178">
        <v>6.2104153841</v>
      </c>
      <c r="O640" s="178">
        <v>4566114.5833333302</v>
      </c>
      <c r="P640" s="174" t="s">
        <v>337</v>
      </c>
      <c r="Q640" s="174" t="s">
        <v>764</v>
      </c>
      <c r="R640" s="174" t="s">
        <v>23</v>
      </c>
      <c r="S640" s="174" t="s">
        <v>129</v>
      </c>
      <c r="T640" s="175" t="str">
        <f>VLOOKUP($S640,Mapping!$C:$C,1,0)</f>
        <v>Omgeo</v>
      </c>
      <c r="U640" s="175"/>
      <c r="V640" s="175"/>
      <c r="W640" s="175"/>
      <c r="X640" s="175"/>
      <c r="Y640" s="174" t="s">
        <v>766</v>
      </c>
      <c r="Z640" s="174" t="s">
        <v>494</v>
      </c>
      <c r="AA640" s="174" t="s">
        <v>24</v>
      </c>
      <c r="AB640" s="174"/>
      <c r="AC640" s="174" t="s">
        <v>1977</v>
      </c>
      <c r="AD640" s="174" t="s">
        <v>483</v>
      </c>
      <c r="AE640" s="176">
        <v>43164.695775462962</v>
      </c>
      <c r="AF640" s="175"/>
      <c r="AG640" s="176">
        <v>43164.730486111112</v>
      </c>
      <c r="AH640" s="176">
        <v>43164.730486111112</v>
      </c>
      <c r="AI640" s="175"/>
      <c r="AJ640" s="175"/>
      <c r="AK640" s="178">
        <v>1</v>
      </c>
    </row>
    <row r="641" spans="1:37" x14ac:dyDescent="0.25">
      <c r="A641" s="174" t="s">
        <v>461</v>
      </c>
      <c r="B641" s="174" t="s">
        <v>1980</v>
      </c>
      <c r="C641" s="175"/>
      <c r="D641" s="174" t="s">
        <v>497</v>
      </c>
      <c r="E641" s="174" t="s">
        <v>1057</v>
      </c>
      <c r="F641" s="176">
        <v>43164</v>
      </c>
      <c r="G641" s="176">
        <v>43166</v>
      </c>
      <c r="H641" s="174" t="s">
        <v>1981</v>
      </c>
      <c r="I641" s="175" t="e">
        <f>VLOOKUP($H641,Mapping!$A:$A,1,0)</f>
        <v>#N/A</v>
      </c>
      <c r="J641" s="177" t="s">
        <v>466</v>
      </c>
      <c r="K641" s="174" t="s">
        <v>1982</v>
      </c>
      <c r="L641" s="178">
        <v>18000000</v>
      </c>
      <c r="M641" s="178">
        <v>100.39042999999999</v>
      </c>
      <c r="N641" s="178">
        <v>-0.40696362629999999</v>
      </c>
      <c r="O641" s="178">
        <v>18070277.399999999</v>
      </c>
      <c r="P641" s="174" t="s">
        <v>386</v>
      </c>
      <c r="Q641" s="174" t="s">
        <v>1983</v>
      </c>
      <c r="R641" s="174" t="s">
        <v>22</v>
      </c>
      <c r="S641" s="174" t="s">
        <v>129</v>
      </c>
      <c r="T641" s="175" t="str">
        <f>VLOOKUP($S641,Mapping!$C:$C,1,0)</f>
        <v>Omgeo</v>
      </c>
      <c r="U641" s="174" t="s">
        <v>1984</v>
      </c>
      <c r="V641" s="174" t="s">
        <v>132</v>
      </c>
      <c r="W641" s="175"/>
      <c r="X641" s="175"/>
      <c r="Y641" s="174" t="s">
        <v>1062</v>
      </c>
      <c r="Z641" s="174" t="s">
        <v>1063</v>
      </c>
      <c r="AA641" s="174" t="s">
        <v>22</v>
      </c>
      <c r="AB641" s="174"/>
      <c r="AC641" s="175"/>
      <c r="AD641" s="174" t="s">
        <v>512</v>
      </c>
      <c r="AE641" s="176">
        <v>43164.281215277777</v>
      </c>
      <c r="AF641" s="174" t="s">
        <v>1984</v>
      </c>
      <c r="AG641" s="176">
        <v>43164.279942129629</v>
      </c>
      <c r="AH641" s="176">
        <v>43164.279988425929</v>
      </c>
      <c r="AI641" s="175"/>
      <c r="AJ641" s="175"/>
      <c r="AK641" s="178">
        <v>1</v>
      </c>
    </row>
    <row r="642" spans="1:37" x14ac:dyDescent="0.25">
      <c r="A642" s="174" t="s">
        <v>461</v>
      </c>
      <c r="B642" s="174" t="s">
        <v>1985</v>
      </c>
      <c r="C642" s="175"/>
      <c r="D642" s="174" t="s">
        <v>853</v>
      </c>
      <c r="E642" s="174" t="s">
        <v>837</v>
      </c>
      <c r="F642" s="176">
        <v>43164</v>
      </c>
      <c r="G642" s="176">
        <v>43166</v>
      </c>
      <c r="H642" s="174" t="s">
        <v>1981</v>
      </c>
      <c r="I642" s="175" t="e">
        <f>VLOOKUP($H642,Mapping!$A:$A,1,0)</f>
        <v>#N/A</v>
      </c>
      <c r="J642" s="179" t="s">
        <v>486</v>
      </c>
      <c r="K642" s="174" t="s">
        <v>1986</v>
      </c>
      <c r="L642" s="178">
        <v>10000000</v>
      </c>
      <c r="M642" s="178">
        <v>93.15</v>
      </c>
      <c r="N642" s="178">
        <v>11.7150351425</v>
      </c>
      <c r="O642" s="178">
        <v>-9355384.6153846215</v>
      </c>
      <c r="P642" s="174" t="s">
        <v>1987</v>
      </c>
      <c r="Q642" s="174" t="s">
        <v>1988</v>
      </c>
      <c r="R642" s="174" t="s">
        <v>22</v>
      </c>
      <c r="S642" s="174" t="s">
        <v>129</v>
      </c>
      <c r="T642" s="175" t="str">
        <f>VLOOKUP($S642,Mapping!$C:$C,1,0)</f>
        <v>Omgeo</v>
      </c>
      <c r="U642" s="174" t="s">
        <v>1989</v>
      </c>
      <c r="V642" s="174" t="s">
        <v>132</v>
      </c>
      <c r="W642" s="175"/>
      <c r="X642" s="175"/>
      <c r="Y642" s="174" t="s">
        <v>1990</v>
      </c>
      <c r="Z642" s="174" t="s">
        <v>1991</v>
      </c>
      <c r="AA642" s="174" t="s">
        <v>22</v>
      </c>
      <c r="AB642" s="174"/>
      <c r="AC642" s="175"/>
      <c r="AD642" s="174" t="s">
        <v>1992</v>
      </c>
      <c r="AE642" s="176">
        <v>43164.351307870369</v>
      </c>
      <c r="AF642" s="174" t="s">
        <v>1989</v>
      </c>
      <c r="AG642" s="176">
        <v>43164.345659722225</v>
      </c>
      <c r="AH642" s="176">
        <v>43164.345659722225</v>
      </c>
      <c r="AI642" s="175"/>
      <c r="AJ642" s="175"/>
      <c r="AK642" s="178">
        <v>1</v>
      </c>
    </row>
    <row r="643" spans="1:37" x14ac:dyDescent="0.25">
      <c r="A643" s="174" t="s">
        <v>461</v>
      </c>
      <c r="B643" s="174" t="s">
        <v>1993</v>
      </c>
      <c r="C643" s="175"/>
      <c r="D643" s="174" t="s">
        <v>497</v>
      </c>
      <c r="E643" s="174" t="s">
        <v>1057</v>
      </c>
      <c r="F643" s="176">
        <v>43164</v>
      </c>
      <c r="G643" s="176">
        <v>43166</v>
      </c>
      <c r="H643" s="174" t="s">
        <v>1981</v>
      </c>
      <c r="I643" s="175" t="e">
        <f>VLOOKUP($H643,Mapping!$A:$A,1,0)</f>
        <v>#N/A</v>
      </c>
      <c r="J643" s="177" t="s">
        <v>466</v>
      </c>
      <c r="K643" s="174" t="s">
        <v>1982</v>
      </c>
      <c r="L643" s="178">
        <v>14400000</v>
      </c>
      <c r="M643" s="178">
        <v>100.39331871</v>
      </c>
      <c r="N643" s="178">
        <v>-0.41</v>
      </c>
      <c r="O643" s="178">
        <v>14456637.894239999</v>
      </c>
      <c r="P643" s="174" t="s">
        <v>386</v>
      </c>
      <c r="Q643" s="174" t="s">
        <v>1983</v>
      </c>
      <c r="R643" s="174" t="s">
        <v>22</v>
      </c>
      <c r="S643" s="174" t="s">
        <v>129</v>
      </c>
      <c r="T643" s="175" t="str">
        <f>VLOOKUP($S643,Mapping!$C:$C,1,0)</f>
        <v>Omgeo</v>
      </c>
      <c r="U643" s="174" t="s">
        <v>1994</v>
      </c>
      <c r="V643" s="174" t="s">
        <v>132</v>
      </c>
      <c r="W643" s="175"/>
      <c r="X643" s="175"/>
      <c r="Y643" s="174" t="s">
        <v>1062</v>
      </c>
      <c r="Z643" s="174" t="s">
        <v>1063</v>
      </c>
      <c r="AA643" s="174" t="s">
        <v>22</v>
      </c>
      <c r="AB643" s="174"/>
      <c r="AC643" s="175"/>
      <c r="AD643" s="174" t="s">
        <v>1378</v>
      </c>
      <c r="AE643" s="176">
        <v>43164.287175925929</v>
      </c>
      <c r="AF643" s="174" t="s">
        <v>1994</v>
      </c>
      <c r="AG643" s="176">
        <v>43164.414409722223</v>
      </c>
      <c r="AH643" s="176">
        <v>43164.414409722223</v>
      </c>
      <c r="AI643" s="175"/>
      <c r="AJ643" s="175"/>
      <c r="AK643" s="178">
        <v>1</v>
      </c>
    </row>
    <row r="644" spans="1:37" x14ac:dyDescent="0.25">
      <c r="A644" s="174" t="s">
        <v>461</v>
      </c>
      <c r="B644" s="174" t="s">
        <v>1995</v>
      </c>
      <c r="C644" s="175"/>
      <c r="D644" s="174" t="s">
        <v>463</v>
      </c>
      <c r="E644" s="174" t="s">
        <v>806</v>
      </c>
      <c r="F644" s="176">
        <v>43164</v>
      </c>
      <c r="G644" s="176">
        <v>43165</v>
      </c>
      <c r="H644" s="174" t="s">
        <v>1996</v>
      </c>
      <c r="I644" s="175" t="e">
        <f>VLOOKUP($H644,Mapping!$A:$A,1,0)</f>
        <v>#N/A</v>
      </c>
      <c r="J644" s="177" t="s">
        <v>466</v>
      </c>
      <c r="K644" s="174" t="s">
        <v>524</v>
      </c>
      <c r="L644" s="178">
        <v>54325000</v>
      </c>
      <c r="M644" s="178">
        <v>99.5</v>
      </c>
      <c r="N644" s="178">
        <v>2.4265748014000001</v>
      </c>
      <c r="O644" s="178">
        <v>54117529.523480661</v>
      </c>
      <c r="P644" s="174" t="s">
        <v>337</v>
      </c>
      <c r="Q644" s="174" t="s">
        <v>525</v>
      </c>
      <c r="R644" s="174" t="s">
        <v>22</v>
      </c>
      <c r="S644" s="174" t="s">
        <v>129</v>
      </c>
      <c r="T644" s="175" t="str">
        <f>VLOOKUP($S644,Mapping!$C:$C,1,0)</f>
        <v>Omgeo</v>
      </c>
      <c r="U644" s="174" t="s">
        <v>1997</v>
      </c>
      <c r="V644" s="174" t="s">
        <v>132</v>
      </c>
      <c r="W644" s="175"/>
      <c r="X644" s="175"/>
      <c r="Y644" s="174" t="s">
        <v>469</v>
      </c>
      <c r="Z644" s="174" t="s">
        <v>809</v>
      </c>
      <c r="AA644" s="174" t="s">
        <v>22</v>
      </c>
      <c r="AB644" s="174"/>
      <c r="AC644" s="175"/>
      <c r="AD644" s="174" t="s">
        <v>512</v>
      </c>
      <c r="AE644" s="176">
        <v>43164.512592592589</v>
      </c>
      <c r="AF644" s="174" t="s">
        <v>1997</v>
      </c>
      <c r="AG644" s="176">
        <v>43164.508622685185</v>
      </c>
      <c r="AH644" s="176">
        <v>43164.508715277778</v>
      </c>
      <c r="AI644" s="174" t="s">
        <v>473</v>
      </c>
      <c r="AJ644" s="175"/>
      <c r="AK644" s="178">
        <v>1</v>
      </c>
    </row>
    <row r="645" spans="1:37" x14ac:dyDescent="0.25">
      <c r="A645" s="174" t="s">
        <v>461</v>
      </c>
      <c r="B645" s="174" t="s">
        <v>1998</v>
      </c>
      <c r="C645" s="175"/>
      <c r="D645" s="174" t="s">
        <v>463</v>
      </c>
      <c r="E645" s="174" t="s">
        <v>806</v>
      </c>
      <c r="F645" s="176">
        <v>43164</v>
      </c>
      <c r="G645" s="176">
        <v>43165</v>
      </c>
      <c r="H645" s="174" t="s">
        <v>1996</v>
      </c>
      <c r="I645" s="175" t="e">
        <f>VLOOKUP($H645,Mapping!$A:$A,1,0)</f>
        <v>#N/A</v>
      </c>
      <c r="J645" s="179" t="s">
        <v>486</v>
      </c>
      <c r="K645" s="174" t="s">
        <v>1303</v>
      </c>
      <c r="L645" s="178">
        <v>50000000</v>
      </c>
      <c r="M645" s="178">
        <v>98.484375</v>
      </c>
      <c r="N645" s="178">
        <v>2.4898560397999998</v>
      </c>
      <c r="O645" s="178">
        <v>-49505923.763736263</v>
      </c>
      <c r="P645" s="174" t="s">
        <v>337</v>
      </c>
      <c r="Q645" s="174" t="s">
        <v>1304</v>
      </c>
      <c r="R645" s="174" t="s">
        <v>22</v>
      </c>
      <c r="S645" s="174" t="s">
        <v>129</v>
      </c>
      <c r="T645" s="175" t="str">
        <f>VLOOKUP($S645,Mapping!$C:$C,1,0)</f>
        <v>Omgeo</v>
      </c>
      <c r="U645" s="174" t="s">
        <v>1999</v>
      </c>
      <c r="V645" s="174" t="s">
        <v>132</v>
      </c>
      <c r="W645" s="175"/>
      <c r="X645" s="175"/>
      <c r="Y645" s="174" t="s">
        <v>469</v>
      </c>
      <c r="Z645" s="174" t="s">
        <v>809</v>
      </c>
      <c r="AA645" s="174" t="s">
        <v>22</v>
      </c>
      <c r="AB645" s="174"/>
      <c r="AC645" s="175"/>
      <c r="AD645" s="174" t="s">
        <v>512</v>
      </c>
      <c r="AE645" s="176">
        <v>43164.512592592589</v>
      </c>
      <c r="AF645" s="174" t="s">
        <v>1999</v>
      </c>
      <c r="AG645" s="176">
        <v>43164.509097222224</v>
      </c>
      <c r="AH645" s="176">
        <v>43164.509155092594</v>
      </c>
      <c r="AI645" s="174" t="s">
        <v>473</v>
      </c>
      <c r="AJ645" s="175"/>
      <c r="AK645" s="178">
        <v>1</v>
      </c>
    </row>
    <row r="646" spans="1:37" x14ac:dyDescent="0.25">
      <c r="A646" s="174" t="s">
        <v>484</v>
      </c>
      <c r="B646" s="174" t="s">
        <v>2000</v>
      </c>
      <c r="C646" s="175"/>
      <c r="D646" s="174" t="s">
        <v>478</v>
      </c>
      <c r="E646" s="174" t="s">
        <v>600</v>
      </c>
      <c r="F646" s="176">
        <v>43164</v>
      </c>
      <c r="G646" s="176">
        <v>43166</v>
      </c>
      <c r="H646" s="174" t="s">
        <v>1996</v>
      </c>
      <c r="I646" s="175" t="e">
        <f>VLOOKUP($H646,Mapping!$A:$A,1,0)</f>
        <v>#N/A</v>
      </c>
      <c r="J646" s="179" t="s">
        <v>486</v>
      </c>
      <c r="K646" s="174" t="s">
        <v>601</v>
      </c>
      <c r="L646" s="178">
        <v>3400000</v>
      </c>
      <c r="M646" s="178">
        <v>100.61799999999999</v>
      </c>
      <c r="N646" s="178">
        <v>4.3369978003999998</v>
      </c>
      <c r="O646" s="178">
        <v>-3439605.75</v>
      </c>
      <c r="P646" s="174" t="s">
        <v>337</v>
      </c>
      <c r="Q646" s="174" t="s">
        <v>602</v>
      </c>
      <c r="R646" s="174" t="s">
        <v>22</v>
      </c>
      <c r="S646" s="174" t="s">
        <v>129</v>
      </c>
      <c r="T646" s="175" t="str">
        <f>VLOOKUP($S646,Mapping!$C:$C,1,0)</f>
        <v>Omgeo</v>
      </c>
      <c r="U646" s="174" t="s">
        <v>2001</v>
      </c>
      <c r="V646" s="174" t="s">
        <v>132</v>
      </c>
      <c r="W646" s="175"/>
      <c r="X646" s="175"/>
      <c r="Y646" s="174" t="s">
        <v>489</v>
      </c>
      <c r="Z646" s="174" t="s">
        <v>604</v>
      </c>
      <c r="AA646" s="174" t="s">
        <v>22</v>
      </c>
      <c r="AB646" s="174"/>
      <c r="AC646" s="175"/>
      <c r="AD646" s="174" t="s">
        <v>512</v>
      </c>
      <c r="AE646" s="176">
        <v>43164.584733796299</v>
      </c>
      <c r="AF646" s="174" t="s">
        <v>2001</v>
      </c>
      <c r="AG646" s="176">
        <v>43164.580868055556</v>
      </c>
      <c r="AH646" s="176">
        <v>43164.58090277778</v>
      </c>
      <c r="AI646" s="175"/>
      <c r="AJ646" s="175"/>
      <c r="AK646" s="178">
        <v>1</v>
      </c>
    </row>
    <row r="647" spans="1:37" x14ac:dyDescent="0.25">
      <c r="A647" s="174" t="s">
        <v>461</v>
      </c>
      <c r="B647" s="174" t="s">
        <v>2002</v>
      </c>
      <c r="C647" s="175"/>
      <c r="D647" s="174" t="s">
        <v>478</v>
      </c>
      <c r="E647" s="174" t="s">
        <v>600</v>
      </c>
      <c r="F647" s="176">
        <v>43164</v>
      </c>
      <c r="G647" s="176">
        <v>43165</v>
      </c>
      <c r="H647" s="174" t="s">
        <v>1996</v>
      </c>
      <c r="I647" s="175" t="e">
        <f>VLOOKUP($H647,Mapping!$A:$A,1,0)</f>
        <v>#N/A</v>
      </c>
      <c r="J647" s="177" t="s">
        <v>466</v>
      </c>
      <c r="K647" s="174" t="s">
        <v>543</v>
      </c>
      <c r="L647" s="178">
        <v>3100000</v>
      </c>
      <c r="M647" s="178">
        <v>92.015625</v>
      </c>
      <c r="N647" s="178">
        <v>3.1666808273</v>
      </c>
      <c r="O647" s="178">
        <v>2878624.56837017</v>
      </c>
      <c r="P647" s="174" t="s">
        <v>337</v>
      </c>
      <c r="Q647" s="174" t="s">
        <v>544</v>
      </c>
      <c r="R647" s="174" t="s">
        <v>22</v>
      </c>
      <c r="S647" s="174" t="s">
        <v>129</v>
      </c>
      <c r="T647" s="175" t="str">
        <f>VLOOKUP($S647,Mapping!$C:$C,1,0)</f>
        <v>Omgeo</v>
      </c>
      <c r="U647" s="174" t="s">
        <v>2003</v>
      </c>
      <c r="V647" s="174" t="s">
        <v>132</v>
      </c>
      <c r="W647" s="175"/>
      <c r="X647" s="175"/>
      <c r="Y647" s="174" t="s">
        <v>469</v>
      </c>
      <c r="Z647" s="174" t="s">
        <v>604</v>
      </c>
      <c r="AA647" s="174" t="s">
        <v>22</v>
      </c>
      <c r="AB647" s="174"/>
      <c r="AC647" s="175"/>
      <c r="AD647" s="174" t="s">
        <v>512</v>
      </c>
      <c r="AE647" s="176">
        <v>43164.584733796299</v>
      </c>
      <c r="AF647" s="174" t="s">
        <v>2003</v>
      </c>
      <c r="AG647" s="176">
        <v>43164.580891203703</v>
      </c>
      <c r="AH647" s="176">
        <v>43164.580949074072</v>
      </c>
      <c r="AI647" s="175"/>
      <c r="AJ647" s="175"/>
      <c r="AK647" s="178">
        <v>1</v>
      </c>
    </row>
    <row r="648" spans="1:37" x14ac:dyDescent="0.25">
      <c r="A648" s="174" t="s">
        <v>461</v>
      </c>
      <c r="B648" s="174" t="s">
        <v>2004</v>
      </c>
      <c r="C648" s="175"/>
      <c r="D648" s="174" t="s">
        <v>463</v>
      </c>
      <c r="E648" s="174" t="s">
        <v>806</v>
      </c>
      <c r="F648" s="176">
        <v>43164</v>
      </c>
      <c r="G648" s="176">
        <v>43165</v>
      </c>
      <c r="H648" s="174" t="s">
        <v>1996</v>
      </c>
      <c r="I648" s="175" t="e">
        <f>VLOOKUP($H648,Mapping!$A:$A,1,0)</f>
        <v>#N/A</v>
      </c>
      <c r="J648" s="177" t="s">
        <v>466</v>
      </c>
      <c r="K648" s="174" t="s">
        <v>1310</v>
      </c>
      <c r="L648" s="178">
        <v>97500000</v>
      </c>
      <c r="M648" s="178">
        <v>96.22265625</v>
      </c>
      <c r="N648" s="178">
        <v>2.4454257015</v>
      </c>
      <c r="O648" s="178">
        <v>93834973.675271735</v>
      </c>
      <c r="P648" s="174" t="s">
        <v>337</v>
      </c>
      <c r="Q648" s="174" t="s">
        <v>1311</v>
      </c>
      <c r="R648" s="174" t="s">
        <v>22</v>
      </c>
      <c r="S648" s="174" t="s">
        <v>129</v>
      </c>
      <c r="T648" s="175" t="str">
        <f>VLOOKUP($S648,Mapping!$C:$C,1,0)</f>
        <v>Omgeo</v>
      </c>
      <c r="U648" s="174" t="s">
        <v>2005</v>
      </c>
      <c r="V648" s="174" t="s">
        <v>132</v>
      </c>
      <c r="W648" s="175"/>
      <c r="X648" s="175"/>
      <c r="Y648" s="174" t="s">
        <v>469</v>
      </c>
      <c r="Z648" s="174" t="s">
        <v>809</v>
      </c>
      <c r="AA648" s="174" t="s">
        <v>22</v>
      </c>
      <c r="AB648" s="174"/>
      <c r="AC648" s="175"/>
      <c r="AD648" s="174" t="s">
        <v>512</v>
      </c>
      <c r="AE648" s="176">
        <v>43164.6172337963</v>
      </c>
      <c r="AF648" s="174" t="s">
        <v>2005</v>
      </c>
      <c r="AG648" s="176">
        <v>43164.614189814813</v>
      </c>
      <c r="AH648" s="176">
        <v>43164.614247685182</v>
      </c>
      <c r="AI648" s="174" t="s">
        <v>473</v>
      </c>
      <c r="AJ648" s="175"/>
      <c r="AK648" s="178">
        <v>1</v>
      </c>
    </row>
    <row r="649" spans="1:37" x14ac:dyDescent="0.25">
      <c r="A649" s="174" t="s">
        <v>461</v>
      </c>
      <c r="B649" s="174" t="s">
        <v>2006</v>
      </c>
      <c r="C649" s="175"/>
      <c r="D649" s="174" t="s">
        <v>463</v>
      </c>
      <c r="E649" s="174" t="s">
        <v>806</v>
      </c>
      <c r="F649" s="176">
        <v>43164</v>
      </c>
      <c r="G649" s="176">
        <v>43165</v>
      </c>
      <c r="H649" s="174" t="s">
        <v>1996</v>
      </c>
      <c r="I649" s="175" t="e">
        <f>VLOOKUP($H649,Mapping!$A:$A,1,0)</f>
        <v>#N/A</v>
      </c>
      <c r="J649" s="179" t="s">
        <v>486</v>
      </c>
      <c r="K649" s="174" t="s">
        <v>1303</v>
      </c>
      <c r="L649" s="178">
        <v>89000000</v>
      </c>
      <c r="M649" s="178">
        <v>98.484375</v>
      </c>
      <c r="N649" s="178">
        <v>2.4898560397999998</v>
      </c>
      <c r="O649" s="178">
        <v>-88120544.299450547</v>
      </c>
      <c r="P649" s="174" t="s">
        <v>337</v>
      </c>
      <c r="Q649" s="174" t="s">
        <v>1304</v>
      </c>
      <c r="R649" s="174" t="s">
        <v>22</v>
      </c>
      <c r="S649" s="174" t="s">
        <v>129</v>
      </c>
      <c r="T649" s="175" t="str">
        <f>VLOOKUP($S649,Mapping!$C:$C,1,0)</f>
        <v>Omgeo</v>
      </c>
      <c r="U649" s="174" t="s">
        <v>2007</v>
      </c>
      <c r="V649" s="174" t="s">
        <v>132</v>
      </c>
      <c r="W649" s="175"/>
      <c r="X649" s="175"/>
      <c r="Y649" s="174" t="s">
        <v>469</v>
      </c>
      <c r="Z649" s="174" t="s">
        <v>809</v>
      </c>
      <c r="AA649" s="174" t="s">
        <v>22</v>
      </c>
      <c r="AB649" s="174"/>
      <c r="AC649" s="175"/>
      <c r="AD649" s="174" t="s">
        <v>512</v>
      </c>
      <c r="AE649" s="176">
        <v>43164.6172337963</v>
      </c>
      <c r="AF649" s="174" t="s">
        <v>2007</v>
      </c>
      <c r="AG649" s="176">
        <v>43164.614340277774</v>
      </c>
      <c r="AH649" s="176">
        <v>43164.614386574074</v>
      </c>
      <c r="AI649" s="174" t="s">
        <v>473</v>
      </c>
      <c r="AJ649" s="175"/>
      <c r="AK649" s="178">
        <v>1</v>
      </c>
    </row>
    <row r="650" spans="1:37" x14ac:dyDescent="0.25">
      <c r="A650" s="174" t="s">
        <v>484</v>
      </c>
      <c r="B650" s="174" t="s">
        <v>2008</v>
      </c>
      <c r="C650" s="175"/>
      <c r="D650" s="174" t="s">
        <v>478</v>
      </c>
      <c r="E650" s="174" t="s">
        <v>590</v>
      </c>
      <c r="F650" s="176">
        <v>43164</v>
      </c>
      <c r="G650" s="176">
        <v>43166</v>
      </c>
      <c r="H650" s="174" t="s">
        <v>1996</v>
      </c>
      <c r="I650" s="175" t="e">
        <f>VLOOKUP($H650,Mapping!$A:$A,1,0)</f>
        <v>#N/A</v>
      </c>
      <c r="J650" s="179" t="s">
        <v>486</v>
      </c>
      <c r="K650" s="174" t="s">
        <v>1235</v>
      </c>
      <c r="L650" s="178">
        <v>1500000</v>
      </c>
      <c r="M650" s="178">
        <v>65.875</v>
      </c>
      <c r="N650" s="178">
        <v>17.934222390199999</v>
      </c>
      <c r="O650" s="178">
        <v>-1003562.5</v>
      </c>
      <c r="P650" s="174" t="s">
        <v>337</v>
      </c>
      <c r="Q650" s="174" t="s">
        <v>1236</v>
      </c>
      <c r="R650" s="174" t="s">
        <v>22</v>
      </c>
      <c r="S650" s="174" t="s">
        <v>129</v>
      </c>
      <c r="T650" s="175" t="str">
        <f>VLOOKUP($S650,Mapping!$C:$C,1,0)</f>
        <v>Omgeo</v>
      </c>
      <c r="U650" s="174" t="s">
        <v>2009</v>
      </c>
      <c r="V650" s="174" t="s">
        <v>132</v>
      </c>
      <c r="W650" s="175"/>
      <c r="X650" s="175"/>
      <c r="Y650" s="174" t="s">
        <v>489</v>
      </c>
      <c r="Z650" s="174" t="s">
        <v>594</v>
      </c>
      <c r="AA650" s="174" t="s">
        <v>22</v>
      </c>
      <c r="AB650" s="174"/>
      <c r="AC650" s="175"/>
      <c r="AD650" s="174" t="s">
        <v>512</v>
      </c>
      <c r="AE650" s="176">
        <v>43164.675798611112</v>
      </c>
      <c r="AF650" s="174" t="s">
        <v>2009</v>
      </c>
      <c r="AG650" s="176">
        <v>43164.668611111112</v>
      </c>
      <c r="AH650" s="176">
        <v>43164.668657407405</v>
      </c>
      <c r="AI650" s="175"/>
      <c r="AJ650" s="175"/>
      <c r="AK650" s="178">
        <v>1</v>
      </c>
    </row>
    <row r="651" spans="1:37" x14ac:dyDescent="0.25">
      <c r="A651" s="174" t="s">
        <v>484</v>
      </c>
      <c r="B651" s="174" t="s">
        <v>2010</v>
      </c>
      <c r="C651" s="175"/>
      <c r="D651" s="174" t="s">
        <v>478</v>
      </c>
      <c r="E651" s="174" t="s">
        <v>590</v>
      </c>
      <c r="F651" s="176">
        <v>43164</v>
      </c>
      <c r="G651" s="176">
        <v>43166</v>
      </c>
      <c r="H651" s="174" t="s">
        <v>1996</v>
      </c>
      <c r="I651" s="175" t="e">
        <f>VLOOKUP($H651,Mapping!$A:$A,1,0)</f>
        <v>#N/A</v>
      </c>
      <c r="J651" s="179" t="s">
        <v>486</v>
      </c>
      <c r="K651" s="174" t="s">
        <v>1235</v>
      </c>
      <c r="L651" s="178">
        <v>1500000</v>
      </c>
      <c r="M651" s="178">
        <v>65.5</v>
      </c>
      <c r="N651" s="178">
        <v>18.089656685000001</v>
      </c>
      <c r="O651" s="178">
        <v>-997937.5</v>
      </c>
      <c r="P651" s="174" t="s">
        <v>337</v>
      </c>
      <c r="Q651" s="174" t="s">
        <v>1236</v>
      </c>
      <c r="R651" s="174" t="s">
        <v>22</v>
      </c>
      <c r="S651" s="174" t="s">
        <v>129</v>
      </c>
      <c r="T651" s="175" t="str">
        <f>VLOOKUP($S651,Mapping!$C:$C,1,0)</f>
        <v>Omgeo</v>
      </c>
      <c r="U651" s="174" t="s">
        <v>2011</v>
      </c>
      <c r="V651" s="174" t="s">
        <v>132</v>
      </c>
      <c r="W651" s="175"/>
      <c r="X651" s="175"/>
      <c r="Y651" s="174" t="s">
        <v>489</v>
      </c>
      <c r="Z651" s="174" t="s">
        <v>594</v>
      </c>
      <c r="AA651" s="174" t="s">
        <v>22</v>
      </c>
      <c r="AB651" s="174"/>
      <c r="AC651" s="175"/>
      <c r="AD651" s="174" t="s">
        <v>512</v>
      </c>
      <c r="AE651" s="176">
        <v>43164.675798611112</v>
      </c>
      <c r="AF651" s="174" t="s">
        <v>2011</v>
      </c>
      <c r="AG651" s="176">
        <v>43164.669282407405</v>
      </c>
      <c r="AH651" s="176">
        <v>43164.669340277775</v>
      </c>
      <c r="AI651" s="175"/>
      <c r="AJ651" s="175"/>
      <c r="AK651" s="178">
        <v>1</v>
      </c>
    </row>
    <row r="652" spans="1:37" x14ac:dyDescent="0.25">
      <c r="A652" s="174" t="s">
        <v>461</v>
      </c>
      <c r="B652" s="174" t="s">
        <v>2012</v>
      </c>
      <c r="C652" s="175"/>
      <c r="D652" s="174" t="s">
        <v>478</v>
      </c>
      <c r="E652" s="174" t="s">
        <v>582</v>
      </c>
      <c r="F652" s="176">
        <v>43164</v>
      </c>
      <c r="G652" s="176">
        <v>43165</v>
      </c>
      <c r="H652" s="174" t="s">
        <v>1996</v>
      </c>
      <c r="I652" s="175" t="e">
        <f>VLOOKUP($H652,Mapping!$A:$A,1,0)</f>
        <v>#N/A</v>
      </c>
      <c r="J652" s="179" t="s">
        <v>486</v>
      </c>
      <c r="K652" s="174" t="s">
        <v>644</v>
      </c>
      <c r="L652" s="178">
        <v>4550000</v>
      </c>
      <c r="M652" s="178">
        <v>97.01953125</v>
      </c>
      <c r="N652" s="178">
        <v>3.154496703</v>
      </c>
      <c r="O652" s="178">
        <v>-4421553.0365158804</v>
      </c>
      <c r="P652" s="174" t="s">
        <v>337</v>
      </c>
      <c r="Q652" s="174" t="s">
        <v>645</v>
      </c>
      <c r="R652" s="174" t="s">
        <v>23</v>
      </c>
      <c r="S652" s="174" t="s">
        <v>129</v>
      </c>
      <c r="T652" s="175" t="str">
        <f>VLOOKUP($S652,Mapping!$C:$C,1,0)</f>
        <v>Omgeo</v>
      </c>
      <c r="U652" s="175"/>
      <c r="V652" s="175"/>
      <c r="W652" s="175"/>
      <c r="X652" s="175"/>
      <c r="Y652" s="174" t="s">
        <v>469</v>
      </c>
      <c r="Z652" s="174" t="s">
        <v>586</v>
      </c>
      <c r="AA652" s="174" t="s">
        <v>24</v>
      </c>
      <c r="AB652" s="174"/>
      <c r="AC652" s="174" t="s">
        <v>2013</v>
      </c>
      <c r="AD652" s="174" t="s">
        <v>483</v>
      </c>
      <c r="AE652" s="176">
        <v>43164.519016203703</v>
      </c>
      <c r="AF652" s="175"/>
      <c r="AG652" s="176">
        <v>43164.613645833335</v>
      </c>
      <c r="AH652" s="176">
        <v>43164.613645833335</v>
      </c>
      <c r="AI652" s="175"/>
      <c r="AJ652" s="175"/>
      <c r="AK652" s="178">
        <v>1</v>
      </c>
    </row>
    <row r="653" spans="1:37" x14ac:dyDescent="0.25">
      <c r="A653" s="174" t="s">
        <v>461</v>
      </c>
      <c r="B653" s="174" t="s">
        <v>2014</v>
      </c>
      <c r="C653" s="175"/>
      <c r="D653" s="174" t="s">
        <v>478</v>
      </c>
      <c r="E653" s="174" t="s">
        <v>582</v>
      </c>
      <c r="F653" s="176">
        <v>43164</v>
      </c>
      <c r="G653" s="176">
        <v>43165</v>
      </c>
      <c r="H653" s="174" t="s">
        <v>1996</v>
      </c>
      <c r="I653" s="175" t="e">
        <f>VLOOKUP($H653,Mapping!$A:$A,1,0)</f>
        <v>#N/A</v>
      </c>
      <c r="J653" s="177" t="s">
        <v>466</v>
      </c>
      <c r="K653" s="174" t="s">
        <v>644</v>
      </c>
      <c r="L653" s="178">
        <v>9100000</v>
      </c>
      <c r="M653" s="178">
        <v>96.78515625</v>
      </c>
      <c r="N653" s="178">
        <v>3.1669133993999998</v>
      </c>
      <c r="O653" s="178">
        <v>8821777.9480317701</v>
      </c>
      <c r="P653" s="174" t="s">
        <v>337</v>
      </c>
      <c r="Q653" s="174" t="s">
        <v>645</v>
      </c>
      <c r="R653" s="174" t="s">
        <v>23</v>
      </c>
      <c r="S653" s="174" t="s">
        <v>129</v>
      </c>
      <c r="T653" s="175" t="str">
        <f>VLOOKUP($S653,Mapping!$C:$C,1,0)</f>
        <v>Omgeo</v>
      </c>
      <c r="U653" s="175"/>
      <c r="V653" s="175"/>
      <c r="W653" s="175"/>
      <c r="X653" s="175"/>
      <c r="Y653" s="174" t="s">
        <v>469</v>
      </c>
      <c r="Z653" s="174" t="s">
        <v>586</v>
      </c>
      <c r="AA653" s="174" t="s">
        <v>24</v>
      </c>
      <c r="AB653" s="174"/>
      <c r="AC653" s="174" t="s">
        <v>2013</v>
      </c>
      <c r="AD653" s="174" t="s">
        <v>483</v>
      </c>
      <c r="AE653" s="176">
        <v>43164.564699074072</v>
      </c>
      <c r="AF653" s="175"/>
      <c r="AG653" s="176">
        <v>43164.613645833335</v>
      </c>
      <c r="AH653" s="176">
        <v>43164.613645833335</v>
      </c>
      <c r="AI653" s="175"/>
      <c r="AJ653" s="175"/>
      <c r="AK653" s="178">
        <v>1</v>
      </c>
    </row>
    <row r="654" spans="1:37" x14ac:dyDescent="0.25">
      <c r="A654" s="174" t="s">
        <v>461</v>
      </c>
      <c r="B654" s="174" t="s">
        <v>2015</v>
      </c>
      <c r="C654" s="175"/>
      <c r="D654" s="174" t="s">
        <v>478</v>
      </c>
      <c r="E654" s="174" t="s">
        <v>582</v>
      </c>
      <c r="F654" s="176">
        <v>43164</v>
      </c>
      <c r="G654" s="176">
        <v>43165</v>
      </c>
      <c r="H654" s="174" t="s">
        <v>1996</v>
      </c>
      <c r="I654" s="175" t="e">
        <f>VLOOKUP($H654,Mapping!$A:$A,1,0)</f>
        <v>#N/A</v>
      </c>
      <c r="J654" s="179" t="s">
        <v>486</v>
      </c>
      <c r="K654" s="174" t="s">
        <v>644</v>
      </c>
      <c r="L654" s="178">
        <v>4550000</v>
      </c>
      <c r="M654" s="178">
        <v>96.79296875</v>
      </c>
      <c r="N654" s="178">
        <v>3.1664988738000002</v>
      </c>
      <c r="O654" s="178">
        <v>-4411244.4427658794</v>
      </c>
      <c r="P654" s="174" t="s">
        <v>337</v>
      </c>
      <c r="Q654" s="174" t="s">
        <v>645</v>
      </c>
      <c r="R654" s="174" t="s">
        <v>23</v>
      </c>
      <c r="S654" s="174" t="s">
        <v>129</v>
      </c>
      <c r="T654" s="175" t="str">
        <f>VLOOKUP($S654,Mapping!$C:$C,1,0)</f>
        <v>Omgeo</v>
      </c>
      <c r="U654" s="175"/>
      <c r="V654" s="175"/>
      <c r="W654" s="175"/>
      <c r="X654" s="175"/>
      <c r="Y654" s="174" t="s">
        <v>469</v>
      </c>
      <c r="Z654" s="174" t="s">
        <v>586</v>
      </c>
      <c r="AA654" s="174" t="s">
        <v>24</v>
      </c>
      <c r="AB654" s="174"/>
      <c r="AC654" s="174" t="s">
        <v>2013</v>
      </c>
      <c r="AD654" s="174" t="s">
        <v>483</v>
      </c>
      <c r="AE654" s="176">
        <v>43164.564699074072</v>
      </c>
      <c r="AF654" s="175"/>
      <c r="AG654" s="176">
        <v>43164.613657407404</v>
      </c>
      <c r="AH654" s="176">
        <v>43164.613657407404</v>
      </c>
      <c r="AI654" s="175"/>
      <c r="AJ654" s="175"/>
      <c r="AK654" s="178">
        <v>1</v>
      </c>
    </row>
    <row r="655" spans="1:37" x14ac:dyDescent="0.25">
      <c r="A655" s="174" t="s">
        <v>461</v>
      </c>
      <c r="B655" s="174" t="s">
        <v>2016</v>
      </c>
      <c r="C655" s="175"/>
      <c r="D655" s="174" t="s">
        <v>478</v>
      </c>
      <c r="E655" s="174" t="s">
        <v>582</v>
      </c>
      <c r="F655" s="176">
        <v>43164</v>
      </c>
      <c r="G655" s="176">
        <v>43165</v>
      </c>
      <c r="H655" s="174" t="s">
        <v>1996</v>
      </c>
      <c r="I655" s="175" t="e">
        <f>VLOOKUP($H655,Mapping!$A:$A,1,0)</f>
        <v>#N/A</v>
      </c>
      <c r="J655" s="179" t="s">
        <v>486</v>
      </c>
      <c r="K655" s="174" t="s">
        <v>644</v>
      </c>
      <c r="L655" s="178">
        <v>6825000</v>
      </c>
      <c r="M655" s="178">
        <v>96.8984375</v>
      </c>
      <c r="N655" s="178">
        <v>3.1609070740999998</v>
      </c>
      <c r="O655" s="178">
        <v>-6624064.9063363299</v>
      </c>
      <c r="P655" s="174" t="s">
        <v>337</v>
      </c>
      <c r="Q655" s="174" t="s">
        <v>645</v>
      </c>
      <c r="R655" s="174" t="s">
        <v>23</v>
      </c>
      <c r="S655" s="174" t="s">
        <v>129</v>
      </c>
      <c r="T655" s="175" t="str">
        <f>VLOOKUP($S655,Mapping!$C:$C,1,0)</f>
        <v>Omgeo</v>
      </c>
      <c r="U655" s="175"/>
      <c r="V655" s="175"/>
      <c r="W655" s="175"/>
      <c r="X655" s="175"/>
      <c r="Y655" s="174" t="s">
        <v>469</v>
      </c>
      <c r="Z655" s="174" t="s">
        <v>586</v>
      </c>
      <c r="AA655" s="174" t="s">
        <v>24</v>
      </c>
      <c r="AB655" s="174"/>
      <c r="AC655" s="174" t="s">
        <v>2013</v>
      </c>
      <c r="AD655" s="174" t="s">
        <v>483</v>
      </c>
      <c r="AE655" s="176">
        <v>43164.577835648146</v>
      </c>
      <c r="AF655" s="175"/>
      <c r="AG655" s="176">
        <v>43164.613668981481</v>
      </c>
      <c r="AH655" s="176">
        <v>43164.613668981481</v>
      </c>
      <c r="AI655" s="175"/>
      <c r="AJ655" s="175"/>
      <c r="AK655" s="178">
        <v>1</v>
      </c>
    </row>
    <row r="656" spans="1:37" x14ac:dyDescent="0.25">
      <c r="A656" s="174" t="s">
        <v>461</v>
      </c>
      <c r="B656" s="174" t="s">
        <v>2017</v>
      </c>
      <c r="C656" s="175"/>
      <c r="D656" s="174" t="s">
        <v>478</v>
      </c>
      <c r="E656" s="174" t="s">
        <v>582</v>
      </c>
      <c r="F656" s="176">
        <v>43164</v>
      </c>
      <c r="G656" s="176">
        <v>43165</v>
      </c>
      <c r="H656" s="174" t="s">
        <v>1996</v>
      </c>
      <c r="I656" s="175" t="e">
        <f>VLOOKUP($H656,Mapping!$A:$A,1,0)</f>
        <v>#N/A</v>
      </c>
      <c r="J656" s="179" t="s">
        <v>486</v>
      </c>
      <c r="K656" s="174" t="s">
        <v>644</v>
      </c>
      <c r="L656" s="178">
        <v>4550000</v>
      </c>
      <c r="M656" s="178">
        <v>96.89453125</v>
      </c>
      <c r="N656" s="178">
        <v>3.1611140352999998</v>
      </c>
      <c r="O656" s="178">
        <v>-4415865.5365158804</v>
      </c>
      <c r="P656" s="174" t="s">
        <v>337</v>
      </c>
      <c r="Q656" s="174" t="s">
        <v>645</v>
      </c>
      <c r="R656" s="174" t="s">
        <v>23</v>
      </c>
      <c r="S656" s="174" t="s">
        <v>129</v>
      </c>
      <c r="T656" s="175" t="str">
        <f>VLOOKUP($S656,Mapping!$C:$C,1,0)</f>
        <v>Omgeo</v>
      </c>
      <c r="U656" s="175"/>
      <c r="V656" s="175"/>
      <c r="W656" s="175"/>
      <c r="X656" s="175"/>
      <c r="Y656" s="174" t="s">
        <v>469</v>
      </c>
      <c r="Z656" s="174" t="s">
        <v>586</v>
      </c>
      <c r="AA656" s="174" t="s">
        <v>24</v>
      </c>
      <c r="AB656" s="174"/>
      <c r="AC656" s="174" t="s">
        <v>2013</v>
      </c>
      <c r="AD656" s="174" t="s">
        <v>483</v>
      </c>
      <c r="AE656" s="176">
        <v>43164.584733796299</v>
      </c>
      <c r="AF656" s="175"/>
      <c r="AG656" s="176">
        <v>43164.613668981481</v>
      </c>
      <c r="AH656" s="176">
        <v>43164.613668981481</v>
      </c>
      <c r="AI656" s="175"/>
      <c r="AJ656" s="175"/>
      <c r="AK656" s="178">
        <v>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447"/>
  <sheetViews>
    <sheetView tabSelected="1" workbookViewId="0"/>
  </sheetViews>
  <sheetFormatPr defaultRowHeight="15" x14ac:dyDescent="0.25"/>
  <cols>
    <col min="5" max="5" width="11.28515625" bestFit="1" customWidth="1"/>
    <col min="7" max="7" width="9.85546875" bestFit="1" customWidth="1"/>
    <col min="10" max="10" width="9.85546875" bestFit="1" customWidth="1"/>
    <col min="12" max="12" width="10.140625" bestFit="1" customWidth="1"/>
  </cols>
  <sheetData>
    <row r="1" spans="1:32" x14ac:dyDescent="0.25">
      <c r="A1" s="173" t="s">
        <v>117</v>
      </c>
      <c r="B1" s="173" t="s">
        <v>115</v>
      </c>
      <c r="C1" s="173" t="s">
        <v>119</v>
      </c>
      <c r="D1" s="173" t="s">
        <v>118</v>
      </c>
      <c r="E1" s="173" t="s">
        <v>120</v>
      </c>
      <c r="F1" s="173" t="s">
        <v>124</v>
      </c>
      <c r="G1" s="173" t="s">
        <v>131</v>
      </c>
      <c r="H1" s="173" t="s">
        <v>125</v>
      </c>
      <c r="I1" s="173" t="s">
        <v>121</v>
      </c>
      <c r="J1" s="173" t="s">
        <v>122</v>
      </c>
      <c r="K1" s="173" t="s">
        <v>123</v>
      </c>
      <c r="L1" s="173" t="s">
        <v>275</v>
      </c>
      <c r="M1" s="173" t="s">
        <v>276</v>
      </c>
      <c r="N1" s="173" t="s">
        <v>277</v>
      </c>
      <c r="O1" s="173" t="s">
        <v>278</v>
      </c>
      <c r="P1" s="173" t="s">
        <v>20</v>
      </c>
      <c r="Q1" s="173" t="s">
        <v>116</v>
      </c>
      <c r="R1" s="173" t="s">
        <v>279</v>
      </c>
      <c r="S1" s="173" t="s">
        <v>280</v>
      </c>
      <c r="T1" s="173" t="s">
        <v>281</v>
      </c>
      <c r="U1" s="173" t="s">
        <v>21</v>
      </c>
      <c r="V1" s="173" t="s">
        <v>47</v>
      </c>
      <c r="W1" s="173" t="s">
        <v>282</v>
      </c>
      <c r="X1" s="173" t="s">
        <v>126</v>
      </c>
      <c r="Y1" s="173" t="s">
        <v>283</v>
      </c>
      <c r="Z1" s="173" t="s">
        <v>284</v>
      </c>
      <c r="AA1" s="173" t="s">
        <v>285</v>
      </c>
      <c r="AB1" s="173" t="s">
        <v>286</v>
      </c>
      <c r="AC1" s="173" t="s">
        <v>287</v>
      </c>
      <c r="AD1" s="173" t="s">
        <v>127</v>
      </c>
      <c r="AE1" s="173" t="s">
        <v>288</v>
      </c>
      <c r="AF1" s="173" t="s">
        <v>128</v>
      </c>
    </row>
    <row r="2" spans="1:32" x14ac:dyDescent="0.25">
      <c r="A2" s="174" t="s">
        <v>461</v>
      </c>
      <c r="B2" s="174" t="s">
        <v>462</v>
      </c>
      <c r="C2" s="174" t="s">
        <v>463</v>
      </c>
      <c r="D2" s="174" t="s">
        <v>464</v>
      </c>
      <c r="E2" s="176">
        <v>43164</v>
      </c>
      <c r="F2" s="176">
        <v>43165</v>
      </c>
      <c r="G2" s="174" t="s">
        <v>465</v>
      </c>
      <c r="H2" s="177" t="s">
        <v>466</v>
      </c>
      <c r="I2" s="174" t="s">
        <v>467</v>
      </c>
      <c r="J2" s="178">
        <v>20000000</v>
      </c>
      <c r="K2" s="178">
        <v>100.09375</v>
      </c>
      <c r="L2" s="178">
        <v>2.6047616576000001</v>
      </c>
      <c r="M2" s="178">
        <v>20027309.782608699</v>
      </c>
      <c r="N2" s="174" t="s">
        <v>337</v>
      </c>
      <c r="O2" s="174" t="s">
        <v>468</v>
      </c>
      <c r="P2" s="174" t="s">
        <v>23</v>
      </c>
      <c r="Q2" s="174" t="s">
        <v>130</v>
      </c>
      <c r="R2" s="175"/>
      <c r="S2" s="175"/>
      <c r="T2" s="175"/>
      <c r="U2" s="175"/>
      <c r="V2" s="174" t="s">
        <v>469</v>
      </c>
      <c r="W2" s="174" t="s">
        <v>470</v>
      </c>
      <c r="X2" s="174" t="s">
        <v>24</v>
      </c>
      <c r="Y2" s="174"/>
      <c r="Z2" s="174" t="s">
        <v>471</v>
      </c>
      <c r="AA2" s="174" t="s">
        <v>472</v>
      </c>
      <c r="AB2" s="175"/>
      <c r="AC2" s="175"/>
      <c r="AD2" s="176">
        <v>43164.473773148151</v>
      </c>
      <c r="AE2" s="176">
        <v>43164.473773148151</v>
      </c>
      <c r="AF2" s="175"/>
    </row>
    <row r="3" spans="1:32" x14ac:dyDescent="0.25">
      <c r="A3" s="174" t="s">
        <v>461</v>
      </c>
      <c r="B3" s="174" t="s">
        <v>474</v>
      </c>
      <c r="C3" s="174" t="s">
        <v>463</v>
      </c>
      <c r="D3" s="174" t="s">
        <v>464</v>
      </c>
      <c r="E3" s="176">
        <v>43164</v>
      </c>
      <c r="F3" s="176">
        <v>43165</v>
      </c>
      <c r="G3" s="174" t="s">
        <v>465</v>
      </c>
      <c r="H3" s="177" t="s">
        <v>466</v>
      </c>
      <c r="I3" s="174" t="s">
        <v>475</v>
      </c>
      <c r="J3" s="178">
        <v>15000000</v>
      </c>
      <c r="K3" s="178">
        <v>99.203125</v>
      </c>
      <c r="L3" s="178">
        <v>2.8424247609000002</v>
      </c>
      <c r="M3" s="178">
        <v>14902119.302486191</v>
      </c>
      <c r="N3" s="174" t="s">
        <v>337</v>
      </c>
      <c r="O3" s="174" t="s">
        <v>476</v>
      </c>
      <c r="P3" s="174" t="s">
        <v>23</v>
      </c>
      <c r="Q3" s="174" t="s">
        <v>130</v>
      </c>
      <c r="R3" s="175"/>
      <c r="S3" s="175"/>
      <c r="T3" s="175"/>
      <c r="U3" s="175"/>
      <c r="V3" s="174" t="s">
        <v>469</v>
      </c>
      <c r="W3" s="174" t="s">
        <v>470</v>
      </c>
      <c r="X3" s="174" t="s">
        <v>24</v>
      </c>
      <c r="Y3" s="174"/>
      <c r="Z3" s="174" t="s">
        <v>471</v>
      </c>
      <c r="AA3" s="174" t="s">
        <v>472</v>
      </c>
      <c r="AB3" s="175"/>
      <c r="AC3" s="175"/>
      <c r="AD3" s="176">
        <v>43164.47378472222</v>
      </c>
      <c r="AE3" s="176">
        <v>43164.47378472222</v>
      </c>
      <c r="AF3" s="175"/>
    </row>
    <row r="4" spans="1:32" x14ac:dyDescent="0.25">
      <c r="A4" s="174" t="s">
        <v>461</v>
      </c>
      <c r="B4" s="174" t="s">
        <v>477</v>
      </c>
      <c r="C4" s="174" t="s">
        <v>478</v>
      </c>
      <c r="D4" s="174" t="s">
        <v>479</v>
      </c>
      <c r="E4" s="176">
        <v>43164</v>
      </c>
      <c r="F4" s="176">
        <v>43165</v>
      </c>
      <c r="G4" s="174" t="s">
        <v>480</v>
      </c>
      <c r="H4" s="177" t="s">
        <v>466</v>
      </c>
      <c r="I4" s="174" t="s">
        <v>475</v>
      </c>
      <c r="J4" s="178">
        <v>956000</v>
      </c>
      <c r="K4" s="178">
        <v>98.796875</v>
      </c>
      <c r="L4" s="178">
        <v>2.8899219395000002</v>
      </c>
      <c r="M4" s="178">
        <v>945877.98687845003</v>
      </c>
      <c r="N4" s="174" t="s">
        <v>337</v>
      </c>
      <c r="O4" s="174" t="s">
        <v>476</v>
      </c>
      <c r="P4" s="174" t="s">
        <v>23</v>
      </c>
      <c r="Q4" s="174" t="s">
        <v>133</v>
      </c>
      <c r="R4" s="175"/>
      <c r="S4" s="175"/>
      <c r="T4" s="175"/>
      <c r="U4" s="175"/>
      <c r="V4" s="174" t="s">
        <v>469</v>
      </c>
      <c r="W4" s="174" t="s">
        <v>481</v>
      </c>
      <c r="X4" s="174" t="s">
        <v>24</v>
      </c>
      <c r="Y4" s="174"/>
      <c r="Z4" s="174" t="s">
        <v>482</v>
      </c>
      <c r="AA4" s="174" t="s">
        <v>483</v>
      </c>
      <c r="AB4" s="176">
        <v>43164.606608796297</v>
      </c>
      <c r="AC4" s="175"/>
      <c r="AD4" s="176">
        <v>43164.656817129631</v>
      </c>
      <c r="AE4" s="176">
        <v>43164.656817129631</v>
      </c>
      <c r="AF4" s="175"/>
    </row>
    <row r="5" spans="1:32" x14ac:dyDescent="0.25">
      <c r="A5" s="174" t="s">
        <v>484</v>
      </c>
      <c r="B5" s="174" t="s">
        <v>485</v>
      </c>
      <c r="C5" s="174" t="s">
        <v>478</v>
      </c>
      <c r="D5" s="174" t="s">
        <v>479</v>
      </c>
      <c r="E5" s="176">
        <v>43164</v>
      </c>
      <c r="F5" s="176">
        <v>43166</v>
      </c>
      <c r="G5" s="174" t="s">
        <v>480</v>
      </c>
      <c r="H5" s="179" t="s">
        <v>486</v>
      </c>
      <c r="I5" s="174" t="s">
        <v>487</v>
      </c>
      <c r="J5" s="178">
        <v>1076000</v>
      </c>
      <c r="K5" s="178">
        <v>95.073999999999998</v>
      </c>
      <c r="L5" s="178">
        <v>4.0069995104</v>
      </c>
      <c r="M5" s="178">
        <v>-1028585.46222222</v>
      </c>
      <c r="N5" s="174" t="s">
        <v>337</v>
      </c>
      <c r="O5" s="174" t="s">
        <v>488</v>
      </c>
      <c r="P5" s="174" t="s">
        <v>23</v>
      </c>
      <c r="Q5" s="174" t="s">
        <v>133</v>
      </c>
      <c r="R5" s="175"/>
      <c r="S5" s="175"/>
      <c r="T5" s="175"/>
      <c r="U5" s="175"/>
      <c r="V5" s="174" t="s">
        <v>489</v>
      </c>
      <c r="W5" s="174" t="s">
        <v>481</v>
      </c>
      <c r="X5" s="174" t="s">
        <v>24</v>
      </c>
      <c r="Y5" s="174"/>
      <c r="Z5" s="174" t="s">
        <v>482</v>
      </c>
      <c r="AA5" s="174" t="s">
        <v>483</v>
      </c>
      <c r="AB5" s="176">
        <v>43164.606608796297</v>
      </c>
      <c r="AC5" s="175"/>
      <c r="AD5" s="176">
        <v>43164.656828703701</v>
      </c>
      <c r="AE5" s="176">
        <v>43164.656828703701</v>
      </c>
      <c r="AF5" s="175"/>
    </row>
    <row r="6" spans="1:32" x14ac:dyDescent="0.25">
      <c r="A6" s="174" t="s">
        <v>484</v>
      </c>
      <c r="B6" s="174" t="s">
        <v>490</v>
      </c>
      <c r="C6" s="174" t="s">
        <v>478</v>
      </c>
      <c r="D6" s="174" t="s">
        <v>491</v>
      </c>
      <c r="E6" s="176">
        <v>43164</v>
      </c>
      <c r="F6" s="176">
        <v>43166</v>
      </c>
      <c r="G6" s="174" t="s">
        <v>480</v>
      </c>
      <c r="H6" s="177" t="s">
        <v>466</v>
      </c>
      <c r="I6" s="174" t="s">
        <v>492</v>
      </c>
      <c r="J6" s="178">
        <v>4550000</v>
      </c>
      <c r="K6" s="178">
        <v>99</v>
      </c>
      <c r="L6" s="178">
        <v>5.3234341989000002</v>
      </c>
      <c r="M6" s="178">
        <v>4556319.4444444403</v>
      </c>
      <c r="N6" s="174" t="s">
        <v>337</v>
      </c>
      <c r="O6" s="174" t="s">
        <v>493</v>
      </c>
      <c r="P6" s="174" t="s">
        <v>23</v>
      </c>
      <c r="Q6" s="174" t="s">
        <v>133</v>
      </c>
      <c r="R6" s="175"/>
      <c r="S6" s="175"/>
      <c r="T6" s="175"/>
      <c r="U6" s="175"/>
      <c r="V6" s="174" t="s">
        <v>489</v>
      </c>
      <c r="W6" s="174" t="s">
        <v>494</v>
      </c>
      <c r="X6" s="174" t="s">
        <v>24</v>
      </c>
      <c r="Y6" s="174"/>
      <c r="Z6" s="174" t="s">
        <v>495</v>
      </c>
      <c r="AA6" s="174" t="s">
        <v>483</v>
      </c>
      <c r="AB6" s="176">
        <v>43164.693553240744</v>
      </c>
      <c r="AC6" s="175"/>
      <c r="AD6" s="176">
        <v>43164.703657407408</v>
      </c>
      <c r="AE6" s="176">
        <v>43164.703657407408</v>
      </c>
      <c r="AF6" s="175"/>
    </row>
    <row r="7" spans="1:32" x14ac:dyDescent="0.25">
      <c r="A7" s="174" t="s">
        <v>461</v>
      </c>
      <c r="B7" s="174" t="s">
        <v>496</v>
      </c>
      <c r="C7" s="174" t="s">
        <v>497</v>
      </c>
      <c r="D7" s="174" t="s">
        <v>498</v>
      </c>
      <c r="E7" s="176">
        <v>43164</v>
      </c>
      <c r="F7" s="176">
        <v>43166</v>
      </c>
      <c r="G7" s="174" t="s">
        <v>499</v>
      </c>
      <c r="H7" s="179" t="s">
        <v>486</v>
      </c>
      <c r="I7" s="174" t="s">
        <v>500</v>
      </c>
      <c r="J7" s="178">
        <v>2000000</v>
      </c>
      <c r="K7" s="178">
        <v>106.1</v>
      </c>
      <c r="L7" s="178">
        <v>6.5192138017000003</v>
      </c>
      <c r="M7" s="178">
        <v>-2178250</v>
      </c>
      <c r="N7" s="174" t="s">
        <v>337</v>
      </c>
      <c r="O7" s="174" t="s">
        <v>501</v>
      </c>
      <c r="P7" s="174" t="s">
        <v>23</v>
      </c>
      <c r="Q7" s="174" t="s">
        <v>130</v>
      </c>
      <c r="R7" s="175"/>
      <c r="S7" s="175"/>
      <c r="T7" s="175"/>
      <c r="U7" s="175"/>
      <c r="V7" s="174" t="s">
        <v>502</v>
      </c>
      <c r="W7" s="174" t="s">
        <v>503</v>
      </c>
      <c r="X7" s="174" t="s">
        <v>24</v>
      </c>
      <c r="Y7" s="174"/>
      <c r="Z7" s="174" t="s">
        <v>504</v>
      </c>
      <c r="AA7" s="174" t="s">
        <v>483</v>
      </c>
      <c r="AB7" s="175"/>
      <c r="AC7" s="175"/>
      <c r="AD7" s="176">
        <v>43165.458240740743</v>
      </c>
      <c r="AE7" s="176">
        <v>43165.458240740743</v>
      </c>
      <c r="AF7" s="175"/>
    </row>
    <row r="8" spans="1:32" x14ac:dyDescent="0.25">
      <c r="A8" s="174" t="s">
        <v>461</v>
      </c>
      <c r="B8" s="174" t="s">
        <v>505</v>
      </c>
      <c r="C8" s="174" t="s">
        <v>463</v>
      </c>
      <c r="D8" s="174" t="s">
        <v>506</v>
      </c>
      <c r="E8" s="176">
        <v>43164</v>
      </c>
      <c r="F8" s="176">
        <v>43165</v>
      </c>
      <c r="G8" s="174" t="s">
        <v>507</v>
      </c>
      <c r="H8" s="179" t="s">
        <v>486</v>
      </c>
      <c r="I8" s="174" t="s">
        <v>508</v>
      </c>
      <c r="J8" s="178">
        <v>158500000</v>
      </c>
      <c r="K8" s="178">
        <v>99.90625</v>
      </c>
      <c r="L8" s="178">
        <v>2.7648070224999999</v>
      </c>
      <c r="M8" s="178">
        <v>-158422472.82608694</v>
      </c>
      <c r="N8" s="174" t="s">
        <v>337</v>
      </c>
      <c r="O8" s="174" t="s">
        <v>509</v>
      </c>
      <c r="P8" s="174" t="s">
        <v>22</v>
      </c>
      <c r="Q8" s="174" t="s">
        <v>129</v>
      </c>
      <c r="R8" s="174" t="s">
        <v>510</v>
      </c>
      <c r="S8" s="174" t="s">
        <v>132</v>
      </c>
      <c r="T8" s="175"/>
      <c r="U8" s="175"/>
      <c r="V8" s="174" t="s">
        <v>469</v>
      </c>
      <c r="W8" s="174" t="s">
        <v>511</v>
      </c>
      <c r="X8" s="174" t="s">
        <v>22</v>
      </c>
      <c r="Y8" s="174"/>
      <c r="Z8" s="175"/>
      <c r="AA8" s="174" t="s">
        <v>512</v>
      </c>
      <c r="AB8" s="176">
        <v>43164.448148148149</v>
      </c>
      <c r="AC8" s="174" t="s">
        <v>510</v>
      </c>
      <c r="AD8" s="176">
        <v>43164.44363425926</v>
      </c>
      <c r="AE8" s="176">
        <v>43164.443692129629</v>
      </c>
      <c r="AF8" s="175"/>
    </row>
    <row r="9" spans="1:32" x14ac:dyDescent="0.25">
      <c r="A9" s="174" t="s">
        <v>461</v>
      </c>
      <c r="B9" s="174" t="s">
        <v>513</v>
      </c>
      <c r="C9" s="174" t="s">
        <v>463</v>
      </c>
      <c r="D9" s="174" t="s">
        <v>506</v>
      </c>
      <c r="E9" s="176">
        <v>43164</v>
      </c>
      <c r="F9" s="176">
        <v>43165</v>
      </c>
      <c r="G9" s="174" t="s">
        <v>507</v>
      </c>
      <c r="H9" s="179" t="s">
        <v>486</v>
      </c>
      <c r="I9" s="174" t="s">
        <v>467</v>
      </c>
      <c r="J9" s="178">
        <v>173500000</v>
      </c>
      <c r="K9" s="178">
        <v>100.0625</v>
      </c>
      <c r="L9" s="178">
        <v>2.6114860305000001</v>
      </c>
      <c r="M9" s="178">
        <v>-173682693.61413044</v>
      </c>
      <c r="N9" s="174" t="s">
        <v>337</v>
      </c>
      <c r="O9" s="174" t="s">
        <v>468</v>
      </c>
      <c r="P9" s="174" t="s">
        <v>22</v>
      </c>
      <c r="Q9" s="174" t="s">
        <v>129</v>
      </c>
      <c r="R9" s="174" t="s">
        <v>514</v>
      </c>
      <c r="S9" s="174" t="s">
        <v>132</v>
      </c>
      <c r="T9" s="175"/>
      <c r="U9" s="175"/>
      <c r="V9" s="174" t="s">
        <v>469</v>
      </c>
      <c r="W9" s="174" t="s">
        <v>511</v>
      </c>
      <c r="X9" s="174" t="s">
        <v>22</v>
      </c>
      <c r="Y9" s="174"/>
      <c r="Z9" s="175"/>
      <c r="AA9" s="174" t="s">
        <v>512</v>
      </c>
      <c r="AB9" s="176">
        <v>43164.461145833331</v>
      </c>
      <c r="AC9" s="174" t="s">
        <v>514</v>
      </c>
      <c r="AD9" s="176">
        <v>43164.45722222222</v>
      </c>
      <c r="AE9" s="176">
        <v>43164.457280092596</v>
      </c>
      <c r="AF9" s="175"/>
    </row>
    <row r="10" spans="1:32" x14ac:dyDescent="0.25">
      <c r="A10" s="174" t="s">
        <v>461</v>
      </c>
      <c r="B10" s="174" t="s">
        <v>515</v>
      </c>
      <c r="C10" s="174" t="s">
        <v>463</v>
      </c>
      <c r="D10" s="174" t="s">
        <v>516</v>
      </c>
      <c r="E10" s="176">
        <v>43164</v>
      </c>
      <c r="F10" s="176">
        <v>43165</v>
      </c>
      <c r="G10" s="174" t="s">
        <v>507</v>
      </c>
      <c r="H10" s="177" t="s">
        <v>466</v>
      </c>
      <c r="I10" s="174" t="s">
        <v>475</v>
      </c>
      <c r="J10" s="178">
        <v>95000000</v>
      </c>
      <c r="K10" s="178">
        <v>98.939279999999997</v>
      </c>
      <c r="L10" s="178">
        <v>2.8732471793999999</v>
      </c>
      <c r="M10" s="178">
        <v>94129436.165745854</v>
      </c>
      <c r="N10" s="174" t="s">
        <v>337</v>
      </c>
      <c r="O10" s="174" t="s">
        <v>476</v>
      </c>
      <c r="P10" s="174" t="s">
        <v>22</v>
      </c>
      <c r="Q10" s="174" t="s">
        <v>129</v>
      </c>
      <c r="R10" s="174" t="s">
        <v>517</v>
      </c>
      <c r="S10" s="174" t="s">
        <v>132</v>
      </c>
      <c r="T10" s="175"/>
      <c r="U10" s="175"/>
      <c r="V10" s="174" t="s">
        <v>469</v>
      </c>
      <c r="W10" s="174" t="s">
        <v>518</v>
      </c>
      <c r="X10" s="174" t="s">
        <v>22</v>
      </c>
      <c r="Y10" s="174"/>
      <c r="Z10" s="175"/>
      <c r="AA10" s="174" t="s">
        <v>512</v>
      </c>
      <c r="AB10" s="176">
        <v>43164.506192129629</v>
      </c>
      <c r="AC10" s="174" t="s">
        <v>517</v>
      </c>
      <c r="AD10" s="176">
        <v>43164.500011574077</v>
      </c>
      <c r="AE10" s="176">
        <v>43164.500520833331</v>
      </c>
      <c r="AF10" s="175"/>
    </row>
    <row r="11" spans="1:32" x14ac:dyDescent="0.25">
      <c r="A11" s="174" t="s">
        <v>461</v>
      </c>
      <c r="B11" s="174" t="s">
        <v>519</v>
      </c>
      <c r="C11" s="174" t="s">
        <v>463</v>
      </c>
      <c r="D11" s="174" t="s">
        <v>506</v>
      </c>
      <c r="E11" s="176">
        <v>43164</v>
      </c>
      <c r="F11" s="176">
        <v>43165</v>
      </c>
      <c r="G11" s="174" t="s">
        <v>507</v>
      </c>
      <c r="H11" s="179" t="s">
        <v>486</v>
      </c>
      <c r="I11" s="174" t="s">
        <v>467</v>
      </c>
      <c r="J11" s="178">
        <v>155400000</v>
      </c>
      <c r="K11" s="178">
        <v>99.921875</v>
      </c>
      <c r="L11" s="178">
        <v>2.6417754413000001</v>
      </c>
      <c r="M11" s="178">
        <v>-155345103.26086956</v>
      </c>
      <c r="N11" s="174" t="s">
        <v>337</v>
      </c>
      <c r="O11" s="174" t="s">
        <v>468</v>
      </c>
      <c r="P11" s="174" t="s">
        <v>22</v>
      </c>
      <c r="Q11" s="174" t="s">
        <v>129</v>
      </c>
      <c r="R11" s="174" t="s">
        <v>520</v>
      </c>
      <c r="S11" s="174" t="s">
        <v>132</v>
      </c>
      <c r="T11" s="175"/>
      <c r="U11" s="175"/>
      <c r="V11" s="174" t="s">
        <v>469</v>
      </c>
      <c r="W11" s="174" t="s">
        <v>511</v>
      </c>
      <c r="X11" s="174" t="s">
        <v>22</v>
      </c>
      <c r="Y11" s="174"/>
      <c r="Z11" s="175"/>
      <c r="AA11" s="174" t="s">
        <v>512</v>
      </c>
      <c r="AB11" s="176">
        <v>43164.538611111115</v>
      </c>
      <c r="AC11" s="174" t="s">
        <v>520</v>
      </c>
      <c r="AD11" s="176">
        <v>43164.533229166664</v>
      </c>
      <c r="AE11" s="176">
        <v>43164.533310185187</v>
      </c>
      <c r="AF11" s="175"/>
    </row>
    <row r="12" spans="1:32" x14ac:dyDescent="0.25">
      <c r="A12" s="174" t="s">
        <v>461</v>
      </c>
      <c r="B12" s="174" t="s">
        <v>521</v>
      </c>
      <c r="C12" s="174" t="s">
        <v>463</v>
      </c>
      <c r="D12" s="174" t="s">
        <v>516</v>
      </c>
      <c r="E12" s="176">
        <v>43164</v>
      </c>
      <c r="F12" s="176">
        <v>43165</v>
      </c>
      <c r="G12" s="174" t="s">
        <v>507</v>
      </c>
      <c r="H12" s="177" t="s">
        <v>466</v>
      </c>
      <c r="I12" s="174" t="s">
        <v>467</v>
      </c>
      <c r="J12" s="178">
        <v>123000000</v>
      </c>
      <c r="K12" s="178">
        <v>100.07289</v>
      </c>
      <c r="L12" s="178">
        <v>2.6092500447</v>
      </c>
      <c r="M12" s="178">
        <v>123142297.36304349</v>
      </c>
      <c r="N12" s="174" t="s">
        <v>337</v>
      </c>
      <c r="O12" s="174" t="s">
        <v>468</v>
      </c>
      <c r="P12" s="174" t="s">
        <v>22</v>
      </c>
      <c r="Q12" s="174" t="s">
        <v>129</v>
      </c>
      <c r="R12" s="174" t="s">
        <v>522</v>
      </c>
      <c r="S12" s="174" t="s">
        <v>132</v>
      </c>
      <c r="T12" s="175"/>
      <c r="U12" s="175"/>
      <c r="V12" s="174" t="s">
        <v>469</v>
      </c>
      <c r="W12" s="174" t="s">
        <v>518</v>
      </c>
      <c r="X12" s="174" t="s">
        <v>22</v>
      </c>
      <c r="Y12" s="174"/>
      <c r="Z12" s="175"/>
      <c r="AA12" s="174" t="s">
        <v>512</v>
      </c>
      <c r="AB12" s="176">
        <v>43164.577835648146</v>
      </c>
      <c r="AC12" s="174" t="s">
        <v>522</v>
      </c>
      <c r="AD12" s="176">
        <v>43164.572314814817</v>
      </c>
      <c r="AE12" s="176">
        <v>43164.572372685187</v>
      </c>
      <c r="AF12" s="175"/>
    </row>
    <row r="13" spans="1:32" x14ac:dyDescent="0.25">
      <c r="A13" s="174" t="s">
        <v>461</v>
      </c>
      <c r="B13" s="174" t="s">
        <v>523</v>
      </c>
      <c r="C13" s="174" t="s">
        <v>463</v>
      </c>
      <c r="D13" s="174" t="s">
        <v>516</v>
      </c>
      <c r="E13" s="176">
        <v>43164</v>
      </c>
      <c r="F13" s="176">
        <v>43165</v>
      </c>
      <c r="G13" s="174" t="s">
        <v>507</v>
      </c>
      <c r="H13" s="177" t="s">
        <v>466</v>
      </c>
      <c r="I13" s="174" t="s">
        <v>524</v>
      </c>
      <c r="J13" s="178">
        <v>213000000</v>
      </c>
      <c r="K13" s="178">
        <v>99.637230000000002</v>
      </c>
      <c r="L13" s="178">
        <v>2.3779498184999999</v>
      </c>
      <c r="M13" s="178">
        <v>212478839.95524862</v>
      </c>
      <c r="N13" s="174" t="s">
        <v>337</v>
      </c>
      <c r="O13" s="174" t="s">
        <v>525</v>
      </c>
      <c r="P13" s="174" t="s">
        <v>22</v>
      </c>
      <c r="Q13" s="174" t="s">
        <v>129</v>
      </c>
      <c r="R13" s="174" t="s">
        <v>526</v>
      </c>
      <c r="S13" s="174" t="s">
        <v>132</v>
      </c>
      <c r="T13" s="175"/>
      <c r="U13" s="175"/>
      <c r="V13" s="174" t="s">
        <v>469</v>
      </c>
      <c r="W13" s="174" t="s">
        <v>518</v>
      </c>
      <c r="X13" s="174" t="s">
        <v>22</v>
      </c>
      <c r="Y13" s="174"/>
      <c r="Z13" s="175"/>
      <c r="AA13" s="174" t="s">
        <v>512</v>
      </c>
      <c r="AB13" s="176">
        <v>43164.577835648146</v>
      </c>
      <c r="AC13" s="174" t="s">
        <v>526</v>
      </c>
      <c r="AD13" s="176">
        <v>43164.572326388887</v>
      </c>
      <c r="AE13" s="176">
        <v>43164.572395833333</v>
      </c>
      <c r="AF13" s="175"/>
    </row>
    <row r="14" spans="1:32" x14ac:dyDescent="0.25">
      <c r="A14" s="174" t="s">
        <v>461</v>
      </c>
      <c r="B14" s="174" t="s">
        <v>527</v>
      </c>
      <c r="C14" s="174" t="s">
        <v>463</v>
      </c>
      <c r="D14" s="174" t="s">
        <v>516</v>
      </c>
      <c r="E14" s="176">
        <v>43164</v>
      </c>
      <c r="F14" s="176">
        <v>43165</v>
      </c>
      <c r="G14" s="174" t="s">
        <v>507</v>
      </c>
      <c r="H14" s="177" t="s">
        <v>466</v>
      </c>
      <c r="I14" s="174" t="s">
        <v>467</v>
      </c>
      <c r="J14" s="178">
        <v>47000000</v>
      </c>
      <c r="K14" s="178">
        <v>99.902109999999993</v>
      </c>
      <c r="L14" s="178">
        <v>2.6460365567999999</v>
      </c>
      <c r="M14" s="178">
        <v>46974107.189130425</v>
      </c>
      <c r="N14" s="174" t="s">
        <v>337</v>
      </c>
      <c r="O14" s="174" t="s">
        <v>468</v>
      </c>
      <c r="P14" s="174" t="s">
        <v>22</v>
      </c>
      <c r="Q14" s="174" t="s">
        <v>129</v>
      </c>
      <c r="R14" s="174" t="s">
        <v>528</v>
      </c>
      <c r="S14" s="174" t="s">
        <v>132</v>
      </c>
      <c r="T14" s="175"/>
      <c r="U14" s="175"/>
      <c r="V14" s="174" t="s">
        <v>469</v>
      </c>
      <c r="W14" s="174" t="s">
        <v>518</v>
      </c>
      <c r="X14" s="174" t="s">
        <v>22</v>
      </c>
      <c r="Y14" s="174"/>
      <c r="Z14" s="175"/>
      <c r="AA14" s="174" t="s">
        <v>512</v>
      </c>
      <c r="AB14" s="176">
        <v>43164.715856481482</v>
      </c>
      <c r="AC14" s="174" t="s">
        <v>528</v>
      </c>
      <c r="AD14" s="176">
        <v>43164.708912037036</v>
      </c>
      <c r="AE14" s="176">
        <v>43164.708958333336</v>
      </c>
      <c r="AF14" s="175"/>
    </row>
    <row r="15" spans="1:32" x14ac:dyDescent="0.25">
      <c r="A15" s="174" t="s">
        <v>461</v>
      </c>
      <c r="B15" s="174" t="s">
        <v>529</v>
      </c>
      <c r="C15" s="174" t="s">
        <v>463</v>
      </c>
      <c r="D15" s="174" t="s">
        <v>516</v>
      </c>
      <c r="E15" s="176">
        <v>43164</v>
      </c>
      <c r="F15" s="176">
        <v>43165</v>
      </c>
      <c r="G15" s="174" t="s">
        <v>507</v>
      </c>
      <c r="H15" s="177" t="s">
        <v>466</v>
      </c>
      <c r="I15" s="174" t="s">
        <v>524</v>
      </c>
      <c r="J15" s="178">
        <v>82000000</v>
      </c>
      <c r="K15" s="178">
        <v>99.56711</v>
      </c>
      <c r="L15" s="178">
        <v>2.4027856089999999</v>
      </c>
      <c r="M15" s="178">
        <v>81741867.216574594</v>
      </c>
      <c r="N15" s="174" t="s">
        <v>337</v>
      </c>
      <c r="O15" s="174" t="s">
        <v>525</v>
      </c>
      <c r="P15" s="174" t="s">
        <v>22</v>
      </c>
      <c r="Q15" s="174" t="s">
        <v>129</v>
      </c>
      <c r="R15" s="174" t="s">
        <v>530</v>
      </c>
      <c r="S15" s="174" t="s">
        <v>132</v>
      </c>
      <c r="T15" s="175"/>
      <c r="U15" s="175"/>
      <c r="V15" s="174" t="s">
        <v>469</v>
      </c>
      <c r="W15" s="174" t="s">
        <v>518</v>
      </c>
      <c r="X15" s="174" t="s">
        <v>22</v>
      </c>
      <c r="Y15" s="174"/>
      <c r="Z15" s="175"/>
      <c r="AA15" s="174" t="s">
        <v>512</v>
      </c>
      <c r="AB15" s="176">
        <v>43164.715856481482</v>
      </c>
      <c r="AC15" s="174" t="s">
        <v>530</v>
      </c>
      <c r="AD15" s="176">
        <v>43164.708912037036</v>
      </c>
      <c r="AE15" s="176">
        <v>43164.709062499998</v>
      </c>
      <c r="AF15" s="175"/>
    </row>
    <row r="16" spans="1:32" x14ac:dyDescent="0.25">
      <c r="A16" s="174" t="s">
        <v>484</v>
      </c>
      <c r="B16" s="174" t="s">
        <v>534</v>
      </c>
      <c r="C16" s="174" t="s">
        <v>478</v>
      </c>
      <c r="D16" s="174" t="s">
        <v>535</v>
      </c>
      <c r="E16" s="176">
        <v>43164</v>
      </c>
      <c r="F16" s="176">
        <v>43166</v>
      </c>
      <c r="G16" s="174" t="s">
        <v>536</v>
      </c>
      <c r="H16" s="177" t="s">
        <v>466</v>
      </c>
      <c r="I16" s="174" t="s">
        <v>537</v>
      </c>
      <c r="J16" s="178">
        <v>2200000</v>
      </c>
      <c r="K16" s="178">
        <v>93.311999999999998</v>
      </c>
      <c r="L16" s="178">
        <v>4.1440299089000003</v>
      </c>
      <c r="M16" s="178">
        <v>2083114</v>
      </c>
      <c r="N16" s="174" t="s">
        <v>337</v>
      </c>
      <c r="O16" s="174" t="s">
        <v>538</v>
      </c>
      <c r="P16" s="174" t="s">
        <v>22</v>
      </c>
      <c r="Q16" s="174" t="s">
        <v>129</v>
      </c>
      <c r="R16" s="174" t="s">
        <v>539</v>
      </c>
      <c r="S16" s="174" t="s">
        <v>132</v>
      </c>
      <c r="T16" s="175"/>
      <c r="U16" s="175"/>
      <c r="V16" s="174" t="s">
        <v>489</v>
      </c>
      <c r="W16" s="174" t="s">
        <v>540</v>
      </c>
      <c r="X16" s="174" t="s">
        <v>22</v>
      </c>
      <c r="Y16" s="174"/>
      <c r="Z16" s="175"/>
      <c r="AA16" s="174" t="s">
        <v>541</v>
      </c>
      <c r="AB16" s="176">
        <v>43164.38354166667</v>
      </c>
      <c r="AC16" s="174" t="s">
        <v>539</v>
      </c>
      <c r="AD16" s="176">
        <v>43164.388460648152</v>
      </c>
      <c r="AE16" s="176">
        <v>43164.388460648152</v>
      </c>
      <c r="AF16" s="175"/>
    </row>
    <row r="17" spans="1:32" x14ac:dyDescent="0.25">
      <c r="A17" s="174" t="s">
        <v>461</v>
      </c>
      <c r="B17" s="174" t="s">
        <v>542</v>
      </c>
      <c r="C17" s="174" t="s">
        <v>478</v>
      </c>
      <c r="D17" s="174" t="s">
        <v>535</v>
      </c>
      <c r="E17" s="176">
        <v>43164</v>
      </c>
      <c r="F17" s="176">
        <v>43165</v>
      </c>
      <c r="G17" s="174" t="s">
        <v>536</v>
      </c>
      <c r="H17" s="179" t="s">
        <v>486</v>
      </c>
      <c r="I17" s="174" t="s">
        <v>543</v>
      </c>
      <c r="J17" s="178">
        <v>1940000</v>
      </c>
      <c r="K17" s="178">
        <v>92.796875</v>
      </c>
      <c r="L17" s="178">
        <v>3.1238701800999999</v>
      </c>
      <c r="M17" s="178">
        <v>-1816618.0766574601</v>
      </c>
      <c r="N17" s="174" t="s">
        <v>337</v>
      </c>
      <c r="O17" s="174" t="s">
        <v>544</v>
      </c>
      <c r="P17" s="174" t="s">
        <v>22</v>
      </c>
      <c r="Q17" s="174" t="s">
        <v>129</v>
      </c>
      <c r="R17" s="174" t="s">
        <v>545</v>
      </c>
      <c r="S17" s="174" t="s">
        <v>132</v>
      </c>
      <c r="T17" s="175"/>
      <c r="U17" s="175"/>
      <c r="V17" s="174" t="s">
        <v>469</v>
      </c>
      <c r="W17" s="174" t="s">
        <v>540</v>
      </c>
      <c r="X17" s="174" t="s">
        <v>22</v>
      </c>
      <c r="Y17" s="174"/>
      <c r="Z17" s="175"/>
      <c r="AA17" s="174" t="s">
        <v>541</v>
      </c>
      <c r="AB17" s="176">
        <v>43164.38354166667</v>
      </c>
      <c r="AC17" s="174" t="s">
        <v>545</v>
      </c>
      <c r="AD17" s="176">
        <v>43164.388564814813</v>
      </c>
      <c r="AE17" s="176">
        <v>43164.388564814813</v>
      </c>
      <c r="AF17" s="175"/>
    </row>
    <row r="18" spans="1:32" x14ac:dyDescent="0.25">
      <c r="A18" s="174" t="s">
        <v>484</v>
      </c>
      <c r="B18" s="174" t="s">
        <v>546</v>
      </c>
      <c r="C18" s="174" t="s">
        <v>478</v>
      </c>
      <c r="D18" s="174" t="s">
        <v>535</v>
      </c>
      <c r="E18" s="176">
        <v>43164</v>
      </c>
      <c r="F18" s="176">
        <v>43166</v>
      </c>
      <c r="G18" s="174" t="s">
        <v>536</v>
      </c>
      <c r="H18" s="179" t="s">
        <v>486</v>
      </c>
      <c r="I18" s="174" t="s">
        <v>547</v>
      </c>
      <c r="J18" s="178">
        <v>3737000</v>
      </c>
      <c r="K18" s="178">
        <v>88.718999999999994</v>
      </c>
      <c r="L18" s="178">
        <v>4.5739758073000001</v>
      </c>
      <c r="M18" s="178">
        <v>-3385017.67930556</v>
      </c>
      <c r="N18" s="174" t="s">
        <v>337</v>
      </c>
      <c r="O18" s="174" t="s">
        <v>548</v>
      </c>
      <c r="P18" s="174" t="s">
        <v>22</v>
      </c>
      <c r="Q18" s="174" t="s">
        <v>129</v>
      </c>
      <c r="R18" s="174" t="s">
        <v>549</v>
      </c>
      <c r="S18" s="174" t="s">
        <v>132</v>
      </c>
      <c r="T18" s="175"/>
      <c r="U18" s="175"/>
      <c r="V18" s="174" t="s">
        <v>489</v>
      </c>
      <c r="W18" s="174" t="s">
        <v>540</v>
      </c>
      <c r="X18" s="174" t="s">
        <v>22</v>
      </c>
      <c r="Y18" s="174"/>
      <c r="Z18" s="175"/>
      <c r="AA18" s="174" t="s">
        <v>541</v>
      </c>
      <c r="AB18" s="176">
        <v>43164.39638888889</v>
      </c>
      <c r="AC18" s="174" t="s">
        <v>549</v>
      </c>
      <c r="AD18" s="176">
        <v>43164.403495370374</v>
      </c>
      <c r="AE18" s="176">
        <v>43164.403495370374</v>
      </c>
      <c r="AF18" s="175"/>
    </row>
    <row r="19" spans="1:32" x14ac:dyDescent="0.25">
      <c r="A19" s="174" t="s">
        <v>461</v>
      </c>
      <c r="B19" s="174" t="s">
        <v>550</v>
      </c>
      <c r="C19" s="174" t="s">
        <v>478</v>
      </c>
      <c r="D19" s="174" t="s">
        <v>535</v>
      </c>
      <c r="E19" s="176">
        <v>43164</v>
      </c>
      <c r="F19" s="176">
        <v>43165</v>
      </c>
      <c r="G19" s="174" t="s">
        <v>536</v>
      </c>
      <c r="H19" s="177" t="s">
        <v>466</v>
      </c>
      <c r="I19" s="174" t="s">
        <v>543</v>
      </c>
      <c r="J19" s="178">
        <v>3000000</v>
      </c>
      <c r="K19" s="178">
        <v>92.796875</v>
      </c>
      <c r="L19" s="178">
        <v>3.1238701800999999</v>
      </c>
      <c r="M19" s="178">
        <v>2809203.21132597</v>
      </c>
      <c r="N19" s="174" t="s">
        <v>337</v>
      </c>
      <c r="O19" s="174" t="s">
        <v>544</v>
      </c>
      <c r="P19" s="174" t="s">
        <v>22</v>
      </c>
      <c r="Q19" s="174" t="s">
        <v>129</v>
      </c>
      <c r="R19" s="174" t="s">
        <v>551</v>
      </c>
      <c r="S19" s="174" t="s">
        <v>132</v>
      </c>
      <c r="T19" s="175"/>
      <c r="U19" s="175"/>
      <c r="V19" s="174" t="s">
        <v>469</v>
      </c>
      <c r="W19" s="174" t="s">
        <v>540</v>
      </c>
      <c r="X19" s="174" t="s">
        <v>22</v>
      </c>
      <c r="Y19" s="174"/>
      <c r="Z19" s="175"/>
      <c r="AA19" s="174" t="s">
        <v>541</v>
      </c>
      <c r="AB19" s="176">
        <v>43164.39638888889</v>
      </c>
      <c r="AC19" s="174" t="s">
        <v>551</v>
      </c>
      <c r="AD19" s="176">
        <v>43164.403599537036</v>
      </c>
      <c r="AE19" s="176">
        <v>43164.403599537036</v>
      </c>
      <c r="AF19" s="175"/>
    </row>
    <row r="20" spans="1:32" x14ac:dyDescent="0.25">
      <c r="A20" s="174" t="s">
        <v>461</v>
      </c>
      <c r="B20" s="174" t="s">
        <v>552</v>
      </c>
      <c r="C20" s="174" t="s">
        <v>463</v>
      </c>
      <c r="D20" s="174" t="s">
        <v>553</v>
      </c>
      <c r="E20" s="176">
        <v>43164</v>
      </c>
      <c r="F20" s="176">
        <v>43165</v>
      </c>
      <c r="G20" s="174" t="s">
        <v>536</v>
      </c>
      <c r="H20" s="177" t="s">
        <v>466</v>
      </c>
      <c r="I20" s="174" t="s">
        <v>475</v>
      </c>
      <c r="J20" s="178">
        <v>1940000</v>
      </c>
      <c r="K20" s="178">
        <v>99.23046875</v>
      </c>
      <c r="L20" s="178">
        <v>2.8392358074000001</v>
      </c>
      <c r="M20" s="178">
        <v>1927871.23187155</v>
      </c>
      <c r="N20" s="174" t="s">
        <v>337</v>
      </c>
      <c r="O20" s="174" t="s">
        <v>476</v>
      </c>
      <c r="P20" s="174" t="s">
        <v>22</v>
      </c>
      <c r="Q20" s="174" t="s">
        <v>129</v>
      </c>
      <c r="R20" s="174" t="s">
        <v>554</v>
      </c>
      <c r="S20" s="174" t="s">
        <v>132</v>
      </c>
      <c r="T20" s="175"/>
      <c r="U20" s="175"/>
      <c r="V20" s="174" t="s">
        <v>469</v>
      </c>
      <c r="W20" s="174" t="s">
        <v>555</v>
      </c>
      <c r="X20" s="174" t="s">
        <v>22</v>
      </c>
      <c r="Y20" s="174"/>
      <c r="Z20" s="175"/>
      <c r="AA20" s="174" t="s">
        <v>556</v>
      </c>
      <c r="AB20" s="176">
        <v>43164.409270833334</v>
      </c>
      <c r="AC20" s="174" t="s">
        <v>554</v>
      </c>
      <c r="AD20" s="176">
        <v>43164.40556712963</v>
      </c>
      <c r="AE20" s="176">
        <v>43164.40556712963</v>
      </c>
      <c r="AF20" s="175"/>
    </row>
    <row r="21" spans="1:32" x14ac:dyDescent="0.25">
      <c r="A21" s="174" t="s">
        <v>461</v>
      </c>
      <c r="B21" s="174" t="s">
        <v>557</v>
      </c>
      <c r="C21" s="174" t="s">
        <v>478</v>
      </c>
      <c r="D21" s="174" t="s">
        <v>558</v>
      </c>
      <c r="E21" s="176">
        <v>43164</v>
      </c>
      <c r="F21" s="176">
        <v>43165</v>
      </c>
      <c r="G21" s="174" t="s">
        <v>536</v>
      </c>
      <c r="H21" s="179" t="s">
        <v>486</v>
      </c>
      <c r="I21" s="174" t="s">
        <v>467</v>
      </c>
      <c r="J21" s="178">
        <v>2198000</v>
      </c>
      <c r="K21" s="178">
        <v>100.140625</v>
      </c>
      <c r="L21" s="178">
        <v>2.5946795962000002</v>
      </c>
      <c r="M21" s="178">
        <v>-2202031.6576087</v>
      </c>
      <c r="N21" s="174" t="s">
        <v>337</v>
      </c>
      <c r="O21" s="174" t="s">
        <v>468</v>
      </c>
      <c r="P21" s="174" t="s">
        <v>22</v>
      </c>
      <c r="Q21" s="174" t="s">
        <v>129</v>
      </c>
      <c r="R21" s="174" t="s">
        <v>559</v>
      </c>
      <c r="S21" s="174" t="s">
        <v>132</v>
      </c>
      <c r="T21" s="175"/>
      <c r="U21" s="175"/>
      <c r="V21" s="174" t="s">
        <v>469</v>
      </c>
      <c r="W21" s="174" t="s">
        <v>560</v>
      </c>
      <c r="X21" s="174" t="s">
        <v>22</v>
      </c>
      <c r="Y21" s="174"/>
      <c r="Z21" s="175"/>
      <c r="AA21" s="174" t="s">
        <v>512</v>
      </c>
      <c r="AB21" s="176">
        <v>43164.428738425922</v>
      </c>
      <c r="AC21" s="174" t="s">
        <v>559</v>
      </c>
      <c r="AD21" s="176">
        <v>43164.423773148148</v>
      </c>
      <c r="AE21" s="176">
        <v>43164.423842592594</v>
      </c>
      <c r="AF21" s="175"/>
    </row>
    <row r="22" spans="1:32" x14ac:dyDescent="0.25">
      <c r="A22" s="174" t="s">
        <v>484</v>
      </c>
      <c r="B22" s="174" t="s">
        <v>561</v>
      </c>
      <c r="C22" s="174" t="s">
        <v>478</v>
      </c>
      <c r="D22" s="174" t="s">
        <v>558</v>
      </c>
      <c r="E22" s="176">
        <v>43164</v>
      </c>
      <c r="F22" s="176">
        <v>43166</v>
      </c>
      <c r="G22" s="174" t="s">
        <v>536</v>
      </c>
      <c r="H22" s="177" t="s">
        <v>466</v>
      </c>
      <c r="I22" s="174" t="s">
        <v>562</v>
      </c>
      <c r="J22" s="178">
        <v>2275000</v>
      </c>
      <c r="K22" s="178">
        <v>100.044</v>
      </c>
      <c r="L22" s="178">
        <v>3.3900611300999999</v>
      </c>
      <c r="M22" s="178">
        <v>2278364.4722222202</v>
      </c>
      <c r="N22" s="174" t="s">
        <v>337</v>
      </c>
      <c r="O22" s="174" t="s">
        <v>563</v>
      </c>
      <c r="P22" s="174" t="s">
        <v>22</v>
      </c>
      <c r="Q22" s="174" t="s">
        <v>129</v>
      </c>
      <c r="R22" s="174" t="s">
        <v>564</v>
      </c>
      <c r="S22" s="174" t="s">
        <v>132</v>
      </c>
      <c r="T22" s="175"/>
      <c r="U22" s="175"/>
      <c r="V22" s="174" t="s">
        <v>489</v>
      </c>
      <c r="W22" s="174" t="s">
        <v>560</v>
      </c>
      <c r="X22" s="174" t="s">
        <v>22</v>
      </c>
      <c r="Y22" s="174"/>
      <c r="Z22" s="175"/>
      <c r="AA22" s="174" t="s">
        <v>512</v>
      </c>
      <c r="AB22" s="176">
        <v>43164.428738425922</v>
      </c>
      <c r="AC22" s="174" t="s">
        <v>564</v>
      </c>
      <c r="AD22" s="176">
        <v>43164.423773148148</v>
      </c>
      <c r="AE22" s="176">
        <v>43164.423854166664</v>
      </c>
      <c r="AF22" s="175"/>
    </row>
    <row r="23" spans="1:32" x14ac:dyDescent="0.25">
      <c r="A23" s="174" t="s">
        <v>484</v>
      </c>
      <c r="B23" s="174" t="s">
        <v>565</v>
      </c>
      <c r="C23" s="174" t="s">
        <v>566</v>
      </c>
      <c r="D23" s="174" t="s">
        <v>491</v>
      </c>
      <c r="E23" s="176">
        <v>43164</v>
      </c>
      <c r="F23" s="176">
        <v>43166</v>
      </c>
      <c r="G23" s="174" t="s">
        <v>536</v>
      </c>
      <c r="H23" s="177" t="s">
        <v>466</v>
      </c>
      <c r="I23" s="174" t="s">
        <v>567</v>
      </c>
      <c r="J23" s="178">
        <v>4550000</v>
      </c>
      <c r="K23" s="178">
        <v>99.081999999999994</v>
      </c>
      <c r="L23" s="178">
        <v>1.1950780747</v>
      </c>
      <c r="M23" s="178">
        <v>4514214.5616438398</v>
      </c>
      <c r="N23" s="174" t="s">
        <v>386</v>
      </c>
      <c r="O23" s="174" t="s">
        <v>568</v>
      </c>
      <c r="P23" s="174" t="s">
        <v>22</v>
      </c>
      <c r="Q23" s="174" t="s">
        <v>129</v>
      </c>
      <c r="R23" s="174" t="s">
        <v>569</v>
      </c>
      <c r="S23" s="174" t="s">
        <v>132</v>
      </c>
      <c r="T23" s="175"/>
      <c r="U23" s="175"/>
      <c r="V23" s="174" t="s">
        <v>570</v>
      </c>
      <c r="W23" s="174" t="s">
        <v>494</v>
      </c>
      <c r="X23" s="174" t="s">
        <v>22</v>
      </c>
      <c r="Y23" s="174"/>
      <c r="Z23" s="175"/>
      <c r="AA23" s="174" t="s">
        <v>512</v>
      </c>
      <c r="AB23" s="176">
        <v>43164.428738425922</v>
      </c>
      <c r="AC23" s="174" t="s">
        <v>569</v>
      </c>
      <c r="AD23" s="176">
        <v>43164.423854166664</v>
      </c>
      <c r="AE23" s="176">
        <v>43164.423946759256</v>
      </c>
      <c r="AF23" s="175"/>
    </row>
    <row r="24" spans="1:32" x14ac:dyDescent="0.25">
      <c r="A24" s="174" t="s">
        <v>461</v>
      </c>
      <c r="B24" s="174" t="s">
        <v>571</v>
      </c>
      <c r="C24" s="174" t="s">
        <v>566</v>
      </c>
      <c r="D24" s="174" t="s">
        <v>491</v>
      </c>
      <c r="E24" s="176">
        <v>43164</v>
      </c>
      <c r="F24" s="176">
        <v>43166</v>
      </c>
      <c r="G24" s="174" t="s">
        <v>536</v>
      </c>
      <c r="H24" s="179" t="s">
        <v>486</v>
      </c>
      <c r="I24" s="174" t="s">
        <v>572</v>
      </c>
      <c r="J24" s="178">
        <v>4614000</v>
      </c>
      <c r="K24" s="178">
        <v>100.482</v>
      </c>
      <c r="L24" s="178">
        <v>-0.10478816890000001</v>
      </c>
      <c r="M24" s="178">
        <v>-4636239.4800000004</v>
      </c>
      <c r="N24" s="174" t="s">
        <v>386</v>
      </c>
      <c r="O24" s="174" t="s">
        <v>573</v>
      </c>
      <c r="P24" s="174" t="s">
        <v>22</v>
      </c>
      <c r="Q24" s="174" t="s">
        <v>129</v>
      </c>
      <c r="R24" s="174" t="s">
        <v>574</v>
      </c>
      <c r="S24" s="174" t="s">
        <v>132</v>
      </c>
      <c r="T24" s="175"/>
      <c r="U24" s="175"/>
      <c r="V24" s="174" t="s">
        <v>575</v>
      </c>
      <c r="W24" s="174" t="s">
        <v>494</v>
      </c>
      <c r="X24" s="174" t="s">
        <v>22</v>
      </c>
      <c r="Y24" s="174"/>
      <c r="Z24" s="175"/>
      <c r="AA24" s="174" t="s">
        <v>512</v>
      </c>
      <c r="AB24" s="176">
        <v>43164.428738425922</v>
      </c>
      <c r="AC24" s="174" t="s">
        <v>574</v>
      </c>
      <c r="AD24" s="176">
        <v>43164.423958333333</v>
      </c>
      <c r="AE24" s="176">
        <v>43164.424016203702</v>
      </c>
      <c r="AF24" s="175"/>
    </row>
    <row r="25" spans="1:32" x14ac:dyDescent="0.25">
      <c r="A25" s="174" t="s">
        <v>461</v>
      </c>
      <c r="B25" s="174" t="s">
        <v>576</v>
      </c>
      <c r="C25" s="174" t="s">
        <v>478</v>
      </c>
      <c r="D25" s="174" t="s">
        <v>498</v>
      </c>
      <c r="E25" s="176">
        <v>43164</v>
      </c>
      <c r="F25" s="176">
        <v>43166</v>
      </c>
      <c r="G25" s="174" t="s">
        <v>536</v>
      </c>
      <c r="H25" s="179" t="s">
        <v>486</v>
      </c>
      <c r="I25" s="174" t="s">
        <v>577</v>
      </c>
      <c r="J25" s="178">
        <v>3000000</v>
      </c>
      <c r="K25" s="178">
        <v>99.375</v>
      </c>
      <c r="L25" s="178">
        <v>5.7076967081000003</v>
      </c>
      <c r="M25" s="178">
        <v>-3004687.5</v>
      </c>
      <c r="N25" s="174" t="s">
        <v>337</v>
      </c>
      <c r="O25" s="174" t="s">
        <v>578</v>
      </c>
      <c r="P25" s="174" t="s">
        <v>22</v>
      </c>
      <c r="Q25" s="174" t="s">
        <v>129</v>
      </c>
      <c r="R25" s="174" t="s">
        <v>579</v>
      </c>
      <c r="S25" s="174" t="s">
        <v>132</v>
      </c>
      <c r="T25" s="175"/>
      <c r="U25" s="175"/>
      <c r="V25" s="174" t="s">
        <v>580</v>
      </c>
      <c r="W25" s="174" t="s">
        <v>503</v>
      </c>
      <c r="X25" s="174" t="s">
        <v>22</v>
      </c>
      <c r="Y25" s="174"/>
      <c r="Z25" s="175"/>
      <c r="AA25" s="174" t="s">
        <v>512</v>
      </c>
      <c r="AB25" s="176">
        <v>43164.493368055555</v>
      </c>
      <c r="AC25" s="174" t="s">
        <v>579</v>
      </c>
      <c r="AD25" s="176">
        <v>43164.489548611113</v>
      </c>
      <c r="AE25" s="176">
        <v>43164.489618055559</v>
      </c>
      <c r="AF25" s="175"/>
    </row>
    <row r="26" spans="1:32" x14ac:dyDescent="0.25">
      <c r="A26" s="174" t="s">
        <v>484</v>
      </c>
      <c r="B26" s="174" t="s">
        <v>581</v>
      </c>
      <c r="C26" s="174" t="s">
        <v>478</v>
      </c>
      <c r="D26" s="174" t="s">
        <v>582</v>
      </c>
      <c r="E26" s="176">
        <v>43164</v>
      </c>
      <c r="F26" s="176">
        <v>43166</v>
      </c>
      <c r="G26" s="174" t="s">
        <v>536</v>
      </c>
      <c r="H26" s="179" t="s">
        <v>486</v>
      </c>
      <c r="I26" s="174" t="s">
        <v>583</v>
      </c>
      <c r="J26" s="178">
        <v>4550000</v>
      </c>
      <c r="K26" s="178">
        <v>99.036000000000001</v>
      </c>
      <c r="L26" s="178">
        <v>3.7919541746999998</v>
      </c>
      <c r="M26" s="178">
        <v>-4522745.5</v>
      </c>
      <c r="N26" s="174" t="s">
        <v>337</v>
      </c>
      <c r="O26" s="174" t="s">
        <v>584</v>
      </c>
      <c r="P26" s="174" t="s">
        <v>22</v>
      </c>
      <c r="Q26" s="174" t="s">
        <v>129</v>
      </c>
      <c r="R26" s="174" t="s">
        <v>585</v>
      </c>
      <c r="S26" s="174" t="s">
        <v>132</v>
      </c>
      <c r="T26" s="175"/>
      <c r="U26" s="175"/>
      <c r="V26" s="174" t="s">
        <v>489</v>
      </c>
      <c r="W26" s="174" t="s">
        <v>586</v>
      </c>
      <c r="X26" s="174" t="s">
        <v>22</v>
      </c>
      <c r="Y26" s="174"/>
      <c r="Z26" s="175"/>
      <c r="AA26" s="174" t="s">
        <v>512</v>
      </c>
      <c r="AB26" s="176">
        <v>43164.506192129629</v>
      </c>
      <c r="AC26" s="174" t="s">
        <v>585</v>
      </c>
      <c r="AD26" s="176">
        <v>43164.502662037034</v>
      </c>
      <c r="AE26" s="176">
        <v>43164.502743055556</v>
      </c>
      <c r="AF26" s="175"/>
    </row>
    <row r="27" spans="1:32" x14ac:dyDescent="0.25">
      <c r="A27" s="174" t="s">
        <v>461</v>
      </c>
      <c r="B27" s="174" t="s">
        <v>587</v>
      </c>
      <c r="C27" s="174" t="s">
        <v>478</v>
      </c>
      <c r="D27" s="174" t="s">
        <v>582</v>
      </c>
      <c r="E27" s="176">
        <v>43164</v>
      </c>
      <c r="F27" s="176">
        <v>43165</v>
      </c>
      <c r="G27" s="174" t="s">
        <v>536</v>
      </c>
      <c r="H27" s="177" t="s">
        <v>466</v>
      </c>
      <c r="I27" s="174" t="s">
        <v>475</v>
      </c>
      <c r="J27" s="178">
        <v>3595000</v>
      </c>
      <c r="K27" s="178">
        <v>98.953125</v>
      </c>
      <c r="L27" s="178">
        <v>2.8716274743999999</v>
      </c>
      <c r="M27" s="178">
        <v>3562553.7594958604</v>
      </c>
      <c r="N27" s="174" t="s">
        <v>337</v>
      </c>
      <c r="O27" s="174" t="s">
        <v>476</v>
      </c>
      <c r="P27" s="174" t="s">
        <v>22</v>
      </c>
      <c r="Q27" s="174" t="s">
        <v>129</v>
      </c>
      <c r="R27" s="174" t="s">
        <v>588</v>
      </c>
      <c r="S27" s="174" t="s">
        <v>132</v>
      </c>
      <c r="T27" s="175"/>
      <c r="U27" s="175"/>
      <c r="V27" s="174" t="s">
        <v>469</v>
      </c>
      <c r="W27" s="174" t="s">
        <v>586</v>
      </c>
      <c r="X27" s="174" t="s">
        <v>22</v>
      </c>
      <c r="Y27" s="174"/>
      <c r="Z27" s="175"/>
      <c r="AA27" s="174" t="s">
        <v>512</v>
      </c>
      <c r="AB27" s="176">
        <v>43164.506192129629</v>
      </c>
      <c r="AC27" s="174" t="s">
        <v>588</v>
      </c>
      <c r="AD27" s="176">
        <v>43164.502662037034</v>
      </c>
      <c r="AE27" s="176">
        <v>43164.502754629626</v>
      </c>
      <c r="AF27" s="175"/>
    </row>
    <row r="28" spans="1:32" x14ac:dyDescent="0.25">
      <c r="A28" s="174" t="s">
        <v>484</v>
      </c>
      <c r="B28" s="174" t="s">
        <v>589</v>
      </c>
      <c r="C28" s="174" t="s">
        <v>478</v>
      </c>
      <c r="D28" s="174" t="s">
        <v>590</v>
      </c>
      <c r="E28" s="176">
        <v>43164</v>
      </c>
      <c r="F28" s="176">
        <v>43166</v>
      </c>
      <c r="G28" s="174" t="s">
        <v>536</v>
      </c>
      <c r="H28" s="179" t="s">
        <v>486</v>
      </c>
      <c r="I28" s="174" t="s">
        <v>591</v>
      </c>
      <c r="J28" s="178">
        <v>1500000</v>
      </c>
      <c r="K28" s="178">
        <v>79</v>
      </c>
      <c r="L28" s="178">
        <v>14.196972647999999</v>
      </c>
      <c r="M28" s="178">
        <v>-1212333.33333333</v>
      </c>
      <c r="N28" s="174" t="s">
        <v>337</v>
      </c>
      <c r="O28" s="174" t="s">
        <v>592</v>
      </c>
      <c r="P28" s="174" t="s">
        <v>22</v>
      </c>
      <c r="Q28" s="174" t="s">
        <v>129</v>
      </c>
      <c r="R28" s="174" t="s">
        <v>593</v>
      </c>
      <c r="S28" s="174" t="s">
        <v>132</v>
      </c>
      <c r="T28" s="175"/>
      <c r="U28" s="175"/>
      <c r="V28" s="174" t="s">
        <v>489</v>
      </c>
      <c r="W28" s="174" t="s">
        <v>594</v>
      </c>
      <c r="X28" s="174" t="s">
        <v>22</v>
      </c>
      <c r="Y28" s="174"/>
      <c r="Z28" s="175"/>
      <c r="AA28" s="174" t="s">
        <v>512</v>
      </c>
      <c r="AB28" s="176">
        <v>43164.506192129629</v>
      </c>
      <c r="AC28" s="174" t="s">
        <v>593</v>
      </c>
      <c r="AD28" s="176">
        <v>43164.504108796296</v>
      </c>
      <c r="AE28" s="176">
        <v>43164.504178240742</v>
      </c>
      <c r="AF28" s="175"/>
    </row>
    <row r="29" spans="1:32" x14ac:dyDescent="0.25">
      <c r="A29" s="174" t="s">
        <v>461</v>
      </c>
      <c r="B29" s="174" t="s">
        <v>595</v>
      </c>
      <c r="C29" s="174" t="s">
        <v>478</v>
      </c>
      <c r="D29" s="174" t="s">
        <v>596</v>
      </c>
      <c r="E29" s="176">
        <v>43164</v>
      </c>
      <c r="F29" s="176">
        <v>43165</v>
      </c>
      <c r="G29" s="174" t="s">
        <v>536</v>
      </c>
      <c r="H29" s="177" t="s">
        <v>466</v>
      </c>
      <c r="I29" s="174" t="s">
        <v>467</v>
      </c>
      <c r="J29" s="178">
        <v>2940000</v>
      </c>
      <c r="K29" s="178">
        <v>99.9453125</v>
      </c>
      <c r="L29" s="178">
        <v>2.6367238238000001</v>
      </c>
      <c r="M29" s="178">
        <v>2939650.4755434799</v>
      </c>
      <c r="N29" s="174" t="s">
        <v>337</v>
      </c>
      <c r="O29" s="174" t="s">
        <v>468</v>
      </c>
      <c r="P29" s="174" t="s">
        <v>22</v>
      </c>
      <c r="Q29" s="174" t="s">
        <v>129</v>
      </c>
      <c r="R29" s="174" t="s">
        <v>597</v>
      </c>
      <c r="S29" s="174" t="s">
        <v>132</v>
      </c>
      <c r="T29" s="175"/>
      <c r="U29" s="175"/>
      <c r="V29" s="174" t="s">
        <v>469</v>
      </c>
      <c r="W29" s="174" t="s">
        <v>598</v>
      </c>
      <c r="X29" s="174" t="s">
        <v>22</v>
      </c>
      <c r="Y29" s="174"/>
      <c r="Z29" s="175"/>
      <c r="AA29" s="174" t="s">
        <v>512</v>
      </c>
      <c r="AB29" s="176">
        <v>43164.519016203703</v>
      </c>
      <c r="AC29" s="174" t="s">
        <v>597</v>
      </c>
      <c r="AD29" s="176">
        <v>43164.51152777778</v>
      </c>
      <c r="AE29" s="176">
        <v>43164.511574074073</v>
      </c>
      <c r="AF29" s="175"/>
    </row>
    <row r="30" spans="1:32" x14ac:dyDescent="0.25">
      <c r="A30" s="174" t="s">
        <v>484</v>
      </c>
      <c r="B30" s="174" t="s">
        <v>599</v>
      </c>
      <c r="C30" s="174" t="s">
        <v>478</v>
      </c>
      <c r="D30" s="174" t="s">
        <v>600</v>
      </c>
      <c r="E30" s="176">
        <v>43164</v>
      </c>
      <c r="F30" s="176">
        <v>43166</v>
      </c>
      <c r="G30" s="174" t="s">
        <v>536</v>
      </c>
      <c r="H30" s="179" t="s">
        <v>486</v>
      </c>
      <c r="I30" s="174" t="s">
        <v>601</v>
      </c>
      <c r="J30" s="178">
        <v>2257000</v>
      </c>
      <c r="K30" s="178">
        <v>100.569</v>
      </c>
      <c r="L30" s="178">
        <v>4.3399774469999999</v>
      </c>
      <c r="M30" s="178">
        <v>-2282185.2987500001</v>
      </c>
      <c r="N30" s="174" t="s">
        <v>337</v>
      </c>
      <c r="O30" s="174" t="s">
        <v>602</v>
      </c>
      <c r="P30" s="174" t="s">
        <v>22</v>
      </c>
      <c r="Q30" s="174" t="s">
        <v>129</v>
      </c>
      <c r="R30" s="174" t="s">
        <v>603</v>
      </c>
      <c r="S30" s="174" t="s">
        <v>132</v>
      </c>
      <c r="T30" s="175"/>
      <c r="U30" s="175"/>
      <c r="V30" s="174" t="s">
        <v>489</v>
      </c>
      <c r="W30" s="174" t="s">
        <v>604</v>
      </c>
      <c r="X30" s="174" t="s">
        <v>22</v>
      </c>
      <c r="Y30" s="174"/>
      <c r="Z30" s="175"/>
      <c r="AA30" s="174" t="s">
        <v>512</v>
      </c>
      <c r="AB30" s="176">
        <v>43164.519016203703</v>
      </c>
      <c r="AC30" s="174" t="s">
        <v>603</v>
      </c>
      <c r="AD30" s="176">
        <v>43164.511631944442</v>
      </c>
      <c r="AE30" s="176">
        <v>43164.511678240742</v>
      </c>
      <c r="AF30" s="175"/>
    </row>
    <row r="31" spans="1:32" x14ac:dyDescent="0.25">
      <c r="A31" s="174" t="s">
        <v>461</v>
      </c>
      <c r="B31" s="174" t="s">
        <v>605</v>
      </c>
      <c r="C31" s="174" t="s">
        <v>478</v>
      </c>
      <c r="D31" s="174" t="s">
        <v>600</v>
      </c>
      <c r="E31" s="176">
        <v>43164</v>
      </c>
      <c r="F31" s="176">
        <v>43165</v>
      </c>
      <c r="G31" s="174" t="s">
        <v>536</v>
      </c>
      <c r="H31" s="177" t="s">
        <v>466</v>
      </c>
      <c r="I31" s="174" t="s">
        <v>543</v>
      </c>
      <c r="J31" s="178">
        <v>2000000</v>
      </c>
      <c r="K31" s="178">
        <v>92.140625</v>
      </c>
      <c r="L31" s="178">
        <v>3.1597994839000001</v>
      </c>
      <c r="M31" s="178">
        <v>1859677.1408839801</v>
      </c>
      <c r="N31" s="174" t="s">
        <v>337</v>
      </c>
      <c r="O31" s="174" t="s">
        <v>544</v>
      </c>
      <c r="P31" s="174" t="s">
        <v>22</v>
      </c>
      <c r="Q31" s="174" t="s">
        <v>129</v>
      </c>
      <c r="R31" s="174" t="s">
        <v>606</v>
      </c>
      <c r="S31" s="174" t="s">
        <v>132</v>
      </c>
      <c r="T31" s="175"/>
      <c r="U31" s="175"/>
      <c r="V31" s="174" t="s">
        <v>469</v>
      </c>
      <c r="W31" s="174" t="s">
        <v>604</v>
      </c>
      <c r="X31" s="174" t="s">
        <v>22</v>
      </c>
      <c r="Y31" s="174"/>
      <c r="Z31" s="175"/>
      <c r="AA31" s="174" t="s">
        <v>512</v>
      </c>
      <c r="AB31" s="176">
        <v>43164.519016203703</v>
      </c>
      <c r="AC31" s="174" t="s">
        <v>606</v>
      </c>
      <c r="AD31" s="176">
        <v>43164.511655092596</v>
      </c>
      <c r="AE31" s="176">
        <v>43164.511724537035</v>
      </c>
      <c r="AF31" s="175"/>
    </row>
    <row r="32" spans="1:32" x14ac:dyDescent="0.25">
      <c r="A32" s="174" t="s">
        <v>461</v>
      </c>
      <c r="B32" s="174" t="s">
        <v>607</v>
      </c>
      <c r="C32" s="174" t="s">
        <v>478</v>
      </c>
      <c r="D32" s="174" t="s">
        <v>596</v>
      </c>
      <c r="E32" s="176">
        <v>43164</v>
      </c>
      <c r="F32" s="176">
        <v>43171</v>
      </c>
      <c r="G32" s="174" t="s">
        <v>536</v>
      </c>
      <c r="H32" s="179" t="s">
        <v>486</v>
      </c>
      <c r="I32" s="174" t="s">
        <v>608</v>
      </c>
      <c r="J32" s="178">
        <v>3000000</v>
      </c>
      <c r="K32" s="178">
        <v>99.49</v>
      </c>
      <c r="L32" s="178">
        <v>3.4870346038000002</v>
      </c>
      <c r="M32" s="178">
        <v>-2984700</v>
      </c>
      <c r="N32" s="174" t="s">
        <v>337</v>
      </c>
      <c r="O32" s="174" t="s">
        <v>609</v>
      </c>
      <c r="P32" s="174" t="s">
        <v>22</v>
      </c>
      <c r="Q32" s="174" t="s">
        <v>129</v>
      </c>
      <c r="R32" s="174" t="s">
        <v>610</v>
      </c>
      <c r="S32" s="174" t="s">
        <v>132</v>
      </c>
      <c r="T32" s="175"/>
      <c r="U32" s="175"/>
      <c r="V32" s="174" t="s">
        <v>611</v>
      </c>
      <c r="W32" s="174" t="s">
        <v>598</v>
      </c>
      <c r="X32" s="174" t="s">
        <v>22</v>
      </c>
      <c r="Y32" s="174"/>
      <c r="Z32" s="175"/>
      <c r="AA32" s="174" t="s">
        <v>512</v>
      </c>
      <c r="AB32" s="176">
        <v>43164.519016203703</v>
      </c>
      <c r="AC32" s="174" t="s">
        <v>610</v>
      </c>
      <c r="AD32" s="176">
        <v>43164.515474537038</v>
      </c>
      <c r="AE32" s="176">
        <v>43164.515543981484</v>
      </c>
      <c r="AF32" s="175"/>
    </row>
    <row r="33" spans="1:32" x14ac:dyDescent="0.25">
      <c r="A33" s="174" t="s">
        <v>461</v>
      </c>
      <c r="B33" s="174" t="s">
        <v>612</v>
      </c>
      <c r="C33" s="174" t="s">
        <v>478</v>
      </c>
      <c r="D33" s="174" t="s">
        <v>596</v>
      </c>
      <c r="E33" s="176">
        <v>43164</v>
      </c>
      <c r="F33" s="176">
        <v>43171</v>
      </c>
      <c r="G33" s="174" t="s">
        <v>536</v>
      </c>
      <c r="H33" s="179" t="s">
        <v>486</v>
      </c>
      <c r="I33" s="174" t="s">
        <v>613</v>
      </c>
      <c r="J33" s="178">
        <v>1000000</v>
      </c>
      <c r="K33" s="178">
        <v>100</v>
      </c>
      <c r="L33" s="178">
        <v>0.55000000000000004</v>
      </c>
      <c r="M33" s="178">
        <v>-1000000</v>
      </c>
      <c r="N33" s="174" t="s">
        <v>337</v>
      </c>
      <c r="O33" s="174" t="s">
        <v>614</v>
      </c>
      <c r="P33" s="174" t="s">
        <v>22</v>
      </c>
      <c r="Q33" s="174" t="s">
        <v>129</v>
      </c>
      <c r="R33" s="174" t="s">
        <v>615</v>
      </c>
      <c r="S33" s="174" t="s">
        <v>132</v>
      </c>
      <c r="T33" s="175"/>
      <c r="U33" s="175"/>
      <c r="V33" s="174" t="s">
        <v>611</v>
      </c>
      <c r="W33" s="174" t="s">
        <v>598</v>
      </c>
      <c r="X33" s="174" t="s">
        <v>22</v>
      </c>
      <c r="Y33" s="174"/>
      <c r="Z33" s="175"/>
      <c r="AA33" s="174" t="s">
        <v>512</v>
      </c>
      <c r="AB33" s="176">
        <v>43164.519016203703</v>
      </c>
      <c r="AC33" s="174" t="s">
        <v>615</v>
      </c>
      <c r="AD33" s="176">
        <v>43164.515520833331</v>
      </c>
      <c r="AE33" s="176">
        <v>43164.515590277777</v>
      </c>
      <c r="AF33" s="175"/>
    </row>
    <row r="34" spans="1:32" x14ac:dyDescent="0.25">
      <c r="A34" s="174" t="s">
        <v>461</v>
      </c>
      <c r="B34" s="174" t="s">
        <v>616</v>
      </c>
      <c r="C34" s="174" t="s">
        <v>478</v>
      </c>
      <c r="D34" s="174" t="s">
        <v>491</v>
      </c>
      <c r="E34" s="176">
        <v>43164</v>
      </c>
      <c r="F34" s="176">
        <v>43165</v>
      </c>
      <c r="G34" s="174" t="s">
        <v>536</v>
      </c>
      <c r="H34" s="177" t="s">
        <v>466</v>
      </c>
      <c r="I34" s="174" t="s">
        <v>475</v>
      </c>
      <c r="J34" s="178">
        <v>4268000</v>
      </c>
      <c r="K34" s="178">
        <v>99.046875</v>
      </c>
      <c r="L34" s="178">
        <v>2.8606666053000001</v>
      </c>
      <c r="M34" s="178">
        <v>4233480.9288674006</v>
      </c>
      <c r="N34" s="174" t="s">
        <v>337</v>
      </c>
      <c r="O34" s="174" t="s">
        <v>476</v>
      </c>
      <c r="P34" s="174" t="s">
        <v>22</v>
      </c>
      <c r="Q34" s="174" t="s">
        <v>129</v>
      </c>
      <c r="R34" s="174" t="s">
        <v>617</v>
      </c>
      <c r="S34" s="174" t="s">
        <v>132</v>
      </c>
      <c r="T34" s="175"/>
      <c r="U34" s="175"/>
      <c r="V34" s="174" t="s">
        <v>469</v>
      </c>
      <c r="W34" s="174" t="s">
        <v>494</v>
      </c>
      <c r="X34" s="174" t="s">
        <v>22</v>
      </c>
      <c r="Y34" s="174"/>
      <c r="Z34" s="175"/>
      <c r="AA34" s="174" t="s">
        <v>512</v>
      </c>
      <c r="AB34" s="176">
        <v>43164.57135416667</v>
      </c>
      <c r="AC34" s="174" t="s">
        <v>617</v>
      </c>
      <c r="AD34" s="176">
        <v>43164.565821759257</v>
      </c>
      <c r="AE34" s="176">
        <v>43164.56590277778</v>
      </c>
      <c r="AF34" s="175"/>
    </row>
    <row r="35" spans="1:32" x14ac:dyDescent="0.25">
      <c r="A35" s="174" t="s">
        <v>484</v>
      </c>
      <c r="B35" s="174" t="s">
        <v>618</v>
      </c>
      <c r="C35" s="174" t="s">
        <v>478</v>
      </c>
      <c r="D35" s="174" t="s">
        <v>491</v>
      </c>
      <c r="E35" s="176">
        <v>43164</v>
      </c>
      <c r="F35" s="176">
        <v>43167</v>
      </c>
      <c r="G35" s="174" t="s">
        <v>536</v>
      </c>
      <c r="H35" s="179" t="s">
        <v>486</v>
      </c>
      <c r="I35" s="174" t="s">
        <v>619</v>
      </c>
      <c r="J35" s="178">
        <v>4550000</v>
      </c>
      <c r="K35" s="178">
        <v>99.766999999999996</v>
      </c>
      <c r="L35" s="178">
        <v>4.3268502446000001</v>
      </c>
      <c r="M35" s="178">
        <v>-4539398.5</v>
      </c>
      <c r="N35" s="174" t="s">
        <v>337</v>
      </c>
      <c r="O35" s="174" t="s">
        <v>620</v>
      </c>
      <c r="P35" s="174" t="s">
        <v>22</v>
      </c>
      <c r="Q35" s="174" t="s">
        <v>129</v>
      </c>
      <c r="R35" s="174" t="s">
        <v>621</v>
      </c>
      <c r="S35" s="174" t="s">
        <v>132</v>
      </c>
      <c r="T35" s="175"/>
      <c r="U35" s="175"/>
      <c r="V35" s="174" t="s">
        <v>489</v>
      </c>
      <c r="W35" s="174" t="s">
        <v>494</v>
      </c>
      <c r="X35" s="174" t="s">
        <v>22</v>
      </c>
      <c r="Y35" s="174"/>
      <c r="Z35" s="175"/>
      <c r="AA35" s="174" t="s">
        <v>512</v>
      </c>
      <c r="AB35" s="176">
        <v>43164.57135416667</v>
      </c>
      <c r="AC35" s="174" t="s">
        <v>621</v>
      </c>
      <c r="AD35" s="176">
        <v>43164.56590277778</v>
      </c>
      <c r="AE35" s="176">
        <v>43164.565983796296</v>
      </c>
      <c r="AF35" s="175"/>
    </row>
    <row r="36" spans="1:32" x14ac:dyDescent="0.25">
      <c r="A36" s="174" t="s">
        <v>461</v>
      </c>
      <c r="B36" s="174" t="s">
        <v>622</v>
      </c>
      <c r="C36" s="174" t="s">
        <v>463</v>
      </c>
      <c r="D36" s="174" t="s">
        <v>623</v>
      </c>
      <c r="E36" s="176">
        <v>43164</v>
      </c>
      <c r="F36" s="176">
        <v>43165</v>
      </c>
      <c r="G36" s="174" t="s">
        <v>536</v>
      </c>
      <c r="H36" s="179" t="s">
        <v>486</v>
      </c>
      <c r="I36" s="174" t="s">
        <v>624</v>
      </c>
      <c r="J36" s="178">
        <v>100000000</v>
      </c>
      <c r="K36" s="178">
        <v>100.1875</v>
      </c>
      <c r="L36" s="178">
        <v>-4.3922228100000002E-2</v>
      </c>
      <c r="M36" s="178">
        <v>-105549788.07692307</v>
      </c>
      <c r="N36" s="174" t="s">
        <v>337</v>
      </c>
      <c r="O36" s="174" t="s">
        <v>625</v>
      </c>
      <c r="P36" s="174" t="s">
        <v>22</v>
      </c>
      <c r="Q36" s="174" t="s">
        <v>129</v>
      </c>
      <c r="R36" s="174" t="s">
        <v>626</v>
      </c>
      <c r="S36" s="174" t="s">
        <v>132</v>
      </c>
      <c r="T36" s="175"/>
      <c r="U36" s="175"/>
      <c r="V36" s="174" t="s">
        <v>469</v>
      </c>
      <c r="W36" s="174" t="s">
        <v>627</v>
      </c>
      <c r="X36" s="174" t="s">
        <v>22</v>
      </c>
      <c r="Y36" s="174"/>
      <c r="Z36" s="175"/>
      <c r="AA36" s="174" t="s">
        <v>628</v>
      </c>
      <c r="AB36" s="176">
        <v>43164.499814814815</v>
      </c>
      <c r="AC36" s="174" t="s">
        <v>626</v>
      </c>
      <c r="AD36" s="176">
        <v>43164.589930555558</v>
      </c>
      <c r="AE36" s="176">
        <v>43164.589930555558</v>
      </c>
      <c r="AF36" s="175"/>
    </row>
    <row r="37" spans="1:32" x14ac:dyDescent="0.25">
      <c r="A37" s="174" t="s">
        <v>484</v>
      </c>
      <c r="B37" s="174" t="s">
        <v>629</v>
      </c>
      <c r="C37" s="174" t="s">
        <v>478</v>
      </c>
      <c r="D37" s="174" t="s">
        <v>479</v>
      </c>
      <c r="E37" s="176">
        <v>43164</v>
      </c>
      <c r="F37" s="176">
        <v>43166</v>
      </c>
      <c r="G37" s="174" t="s">
        <v>536</v>
      </c>
      <c r="H37" s="177" t="s">
        <v>466</v>
      </c>
      <c r="I37" s="174" t="s">
        <v>630</v>
      </c>
      <c r="J37" s="178">
        <v>2255000</v>
      </c>
      <c r="K37" s="178">
        <v>94.343999999999994</v>
      </c>
      <c r="L37" s="178">
        <v>4.7159834919000003</v>
      </c>
      <c r="M37" s="178">
        <v>2152537.8111111098</v>
      </c>
      <c r="N37" s="174" t="s">
        <v>337</v>
      </c>
      <c r="O37" s="174" t="s">
        <v>631</v>
      </c>
      <c r="P37" s="174" t="s">
        <v>22</v>
      </c>
      <c r="Q37" s="174" t="s">
        <v>129</v>
      </c>
      <c r="R37" s="174" t="s">
        <v>632</v>
      </c>
      <c r="S37" s="174" t="s">
        <v>132</v>
      </c>
      <c r="T37" s="175"/>
      <c r="U37" s="175"/>
      <c r="V37" s="174" t="s">
        <v>633</v>
      </c>
      <c r="W37" s="174" t="s">
        <v>481</v>
      </c>
      <c r="X37" s="174" t="s">
        <v>22</v>
      </c>
      <c r="Y37" s="174"/>
      <c r="Z37" s="175"/>
      <c r="AA37" s="174" t="s">
        <v>512</v>
      </c>
      <c r="AB37" s="176">
        <v>43164.610729166663</v>
      </c>
      <c r="AC37" s="174" t="s">
        <v>632</v>
      </c>
      <c r="AD37" s="176">
        <v>43164.606249999997</v>
      </c>
      <c r="AE37" s="176">
        <v>43164.606296296297</v>
      </c>
      <c r="AF37" s="175"/>
    </row>
    <row r="38" spans="1:32" x14ac:dyDescent="0.25">
      <c r="A38" s="174" t="s">
        <v>461</v>
      </c>
      <c r="B38" s="174" t="s">
        <v>634</v>
      </c>
      <c r="C38" s="174" t="s">
        <v>478</v>
      </c>
      <c r="D38" s="174" t="s">
        <v>479</v>
      </c>
      <c r="E38" s="176">
        <v>43164</v>
      </c>
      <c r="F38" s="176">
        <v>43165</v>
      </c>
      <c r="G38" s="174" t="s">
        <v>536</v>
      </c>
      <c r="H38" s="179" t="s">
        <v>486</v>
      </c>
      <c r="I38" s="174" t="s">
        <v>543</v>
      </c>
      <c r="J38" s="178">
        <v>2124000</v>
      </c>
      <c r="K38" s="178">
        <v>92.03125</v>
      </c>
      <c r="L38" s="178">
        <v>3.1658199957000002</v>
      </c>
      <c r="M38" s="178">
        <v>-1972653.9986187799</v>
      </c>
      <c r="N38" s="174" t="s">
        <v>337</v>
      </c>
      <c r="O38" s="174" t="s">
        <v>544</v>
      </c>
      <c r="P38" s="174" t="s">
        <v>22</v>
      </c>
      <c r="Q38" s="174" t="s">
        <v>129</v>
      </c>
      <c r="R38" s="174" t="s">
        <v>635</v>
      </c>
      <c r="S38" s="174" t="s">
        <v>132</v>
      </c>
      <c r="T38" s="175"/>
      <c r="U38" s="175"/>
      <c r="V38" s="174" t="s">
        <v>469</v>
      </c>
      <c r="W38" s="174" t="s">
        <v>481</v>
      </c>
      <c r="X38" s="174" t="s">
        <v>22</v>
      </c>
      <c r="Y38" s="174"/>
      <c r="Z38" s="175"/>
      <c r="AA38" s="174" t="s">
        <v>512</v>
      </c>
      <c r="AB38" s="176">
        <v>43164.610729166663</v>
      </c>
      <c r="AC38" s="174" t="s">
        <v>635</v>
      </c>
      <c r="AD38" s="176">
        <v>43164.606273148151</v>
      </c>
      <c r="AE38" s="176">
        <v>43164.606365740743</v>
      </c>
      <c r="AF38" s="175"/>
    </row>
    <row r="39" spans="1:32" x14ac:dyDescent="0.25">
      <c r="A39" s="174" t="s">
        <v>484</v>
      </c>
      <c r="B39" s="174" t="s">
        <v>636</v>
      </c>
      <c r="C39" s="174" t="s">
        <v>478</v>
      </c>
      <c r="D39" s="174" t="s">
        <v>479</v>
      </c>
      <c r="E39" s="176">
        <v>43164</v>
      </c>
      <c r="F39" s="176">
        <v>43166</v>
      </c>
      <c r="G39" s="174" t="s">
        <v>536</v>
      </c>
      <c r="H39" s="179" t="s">
        <v>486</v>
      </c>
      <c r="I39" s="174" t="s">
        <v>637</v>
      </c>
      <c r="J39" s="178">
        <v>2730000</v>
      </c>
      <c r="K39" s="178">
        <v>96.822000000000003</v>
      </c>
      <c r="L39" s="178">
        <v>3.9230095913</v>
      </c>
      <c r="M39" s="178">
        <v>-2644567.6833333299</v>
      </c>
      <c r="N39" s="174" t="s">
        <v>337</v>
      </c>
      <c r="O39" s="174" t="s">
        <v>638</v>
      </c>
      <c r="P39" s="174" t="s">
        <v>22</v>
      </c>
      <c r="Q39" s="174" t="s">
        <v>129</v>
      </c>
      <c r="R39" s="174" t="s">
        <v>639</v>
      </c>
      <c r="S39" s="174" t="s">
        <v>132</v>
      </c>
      <c r="T39" s="175"/>
      <c r="U39" s="175"/>
      <c r="V39" s="174" t="s">
        <v>640</v>
      </c>
      <c r="W39" s="174" t="s">
        <v>481</v>
      </c>
      <c r="X39" s="174" t="s">
        <v>22</v>
      </c>
      <c r="Y39" s="174"/>
      <c r="Z39" s="175"/>
      <c r="AA39" s="174" t="s">
        <v>512</v>
      </c>
      <c r="AB39" s="176">
        <v>43164.695775462962</v>
      </c>
      <c r="AC39" s="174" t="s">
        <v>639</v>
      </c>
      <c r="AD39" s="176">
        <v>43164.689872685187</v>
      </c>
      <c r="AE39" s="176">
        <v>43164.689918981479</v>
      </c>
      <c r="AF39" s="175"/>
    </row>
    <row r="40" spans="1:32" x14ac:dyDescent="0.25">
      <c r="A40" s="174" t="s">
        <v>461</v>
      </c>
      <c r="B40" s="174" t="s">
        <v>641</v>
      </c>
      <c r="C40" s="174" t="s">
        <v>478</v>
      </c>
      <c r="D40" s="174" t="s">
        <v>479</v>
      </c>
      <c r="E40" s="176">
        <v>43164</v>
      </c>
      <c r="F40" s="176">
        <v>43165</v>
      </c>
      <c r="G40" s="174" t="s">
        <v>536</v>
      </c>
      <c r="H40" s="177" t="s">
        <v>466</v>
      </c>
      <c r="I40" s="174" t="s">
        <v>475</v>
      </c>
      <c r="J40" s="178">
        <v>2348000</v>
      </c>
      <c r="K40" s="178">
        <v>98.859375</v>
      </c>
      <c r="L40" s="178">
        <v>2.8826001954999998</v>
      </c>
      <c r="M40" s="178">
        <v>2324607.1581491702</v>
      </c>
      <c r="N40" s="174" t="s">
        <v>337</v>
      </c>
      <c r="O40" s="174" t="s">
        <v>476</v>
      </c>
      <c r="P40" s="174" t="s">
        <v>22</v>
      </c>
      <c r="Q40" s="174" t="s">
        <v>129</v>
      </c>
      <c r="R40" s="174" t="s">
        <v>642</v>
      </c>
      <c r="S40" s="174" t="s">
        <v>132</v>
      </c>
      <c r="T40" s="175"/>
      <c r="U40" s="175"/>
      <c r="V40" s="174" t="s">
        <v>469</v>
      </c>
      <c r="W40" s="174" t="s">
        <v>481</v>
      </c>
      <c r="X40" s="174" t="s">
        <v>22</v>
      </c>
      <c r="Y40" s="174"/>
      <c r="Z40" s="175"/>
      <c r="AA40" s="174" t="s">
        <v>512</v>
      </c>
      <c r="AB40" s="176">
        <v>43164.695775462962</v>
      </c>
      <c r="AC40" s="174" t="s">
        <v>642</v>
      </c>
      <c r="AD40" s="176">
        <v>43164.689884259256</v>
      </c>
      <c r="AE40" s="176">
        <v>43164.689976851849</v>
      </c>
      <c r="AF40" s="175"/>
    </row>
    <row r="41" spans="1:32" x14ac:dyDescent="0.25">
      <c r="A41" s="174" t="s">
        <v>461</v>
      </c>
      <c r="B41" s="174" t="s">
        <v>643</v>
      </c>
      <c r="C41" s="174" t="s">
        <v>478</v>
      </c>
      <c r="D41" s="174" t="s">
        <v>491</v>
      </c>
      <c r="E41" s="176">
        <v>43164</v>
      </c>
      <c r="F41" s="176">
        <v>43165</v>
      </c>
      <c r="G41" s="174" t="s">
        <v>536</v>
      </c>
      <c r="H41" s="179" t="s">
        <v>486</v>
      </c>
      <c r="I41" s="174" t="s">
        <v>644</v>
      </c>
      <c r="J41" s="178">
        <v>2730000</v>
      </c>
      <c r="K41" s="178">
        <v>97.05859375</v>
      </c>
      <c r="L41" s="178">
        <v>3.1524310809</v>
      </c>
      <c r="M41" s="178">
        <v>-2653998.2281595301</v>
      </c>
      <c r="N41" s="174" t="s">
        <v>337</v>
      </c>
      <c r="O41" s="174" t="s">
        <v>645</v>
      </c>
      <c r="P41" s="174" t="s">
        <v>24</v>
      </c>
      <c r="Q41" s="174" t="s">
        <v>129</v>
      </c>
      <c r="R41" s="175"/>
      <c r="S41" s="175"/>
      <c r="T41" s="175"/>
      <c r="U41" s="175"/>
      <c r="V41" s="174" t="s">
        <v>469</v>
      </c>
      <c r="W41" s="174" t="s">
        <v>494</v>
      </c>
      <c r="X41" s="174" t="s">
        <v>24</v>
      </c>
      <c r="Y41" s="174"/>
      <c r="Z41" s="175"/>
      <c r="AA41" s="174" t="s">
        <v>512</v>
      </c>
      <c r="AB41" s="176">
        <v>43164.519016203703</v>
      </c>
      <c r="AC41" s="175"/>
      <c r="AD41" s="176">
        <v>43164.517233796294</v>
      </c>
      <c r="AE41" s="176">
        <v>43164.51730324074</v>
      </c>
      <c r="AF41" s="175"/>
    </row>
    <row r="42" spans="1:32" x14ac:dyDescent="0.25">
      <c r="A42" s="174" t="s">
        <v>461</v>
      </c>
      <c r="B42" s="174" t="s">
        <v>646</v>
      </c>
      <c r="C42" s="174" t="s">
        <v>463</v>
      </c>
      <c r="D42" s="174" t="s">
        <v>647</v>
      </c>
      <c r="E42" s="176">
        <v>43164</v>
      </c>
      <c r="F42" s="176">
        <v>43165</v>
      </c>
      <c r="G42" s="174" t="s">
        <v>648</v>
      </c>
      <c r="H42" s="177" t="s">
        <v>466</v>
      </c>
      <c r="I42" s="174" t="s">
        <v>475</v>
      </c>
      <c r="J42" s="178">
        <v>5000000</v>
      </c>
      <c r="K42" s="178">
        <v>99.069912500000001</v>
      </c>
      <c r="L42" s="178">
        <v>2.8579749657</v>
      </c>
      <c r="M42" s="178">
        <v>4960712.4758287296</v>
      </c>
      <c r="N42" s="174" t="s">
        <v>337</v>
      </c>
      <c r="O42" s="174" t="s">
        <v>476</v>
      </c>
      <c r="P42" s="174" t="s">
        <v>22</v>
      </c>
      <c r="Q42" s="174" t="s">
        <v>129</v>
      </c>
      <c r="R42" s="174" t="s">
        <v>649</v>
      </c>
      <c r="S42" s="174" t="s">
        <v>132</v>
      </c>
      <c r="T42" s="175"/>
      <c r="U42" s="175"/>
      <c r="V42" s="174" t="s">
        <v>469</v>
      </c>
      <c r="W42" s="174" t="s">
        <v>650</v>
      </c>
      <c r="X42" s="174" t="s">
        <v>22</v>
      </c>
      <c r="Y42" s="174"/>
      <c r="Z42" s="175"/>
      <c r="AA42" s="174" t="s">
        <v>512</v>
      </c>
      <c r="AB42" s="176">
        <v>43164.467534722222</v>
      </c>
      <c r="AC42" s="174" t="s">
        <v>649</v>
      </c>
      <c r="AD42" s="176">
        <v>43164.46365740741</v>
      </c>
      <c r="AE42" s="176">
        <v>43164.46371527778</v>
      </c>
      <c r="AF42" s="175"/>
    </row>
    <row r="43" spans="1:32" x14ac:dyDescent="0.25">
      <c r="A43" s="174" t="s">
        <v>651</v>
      </c>
      <c r="B43" s="174" t="s">
        <v>652</v>
      </c>
      <c r="C43" s="174" t="s">
        <v>653</v>
      </c>
      <c r="D43" s="174" t="s">
        <v>647</v>
      </c>
      <c r="E43" s="176">
        <v>43164</v>
      </c>
      <c r="F43" s="176">
        <v>43179</v>
      </c>
      <c r="G43" s="174" t="s">
        <v>648</v>
      </c>
      <c r="H43" s="177" t="s">
        <v>466</v>
      </c>
      <c r="I43" s="174" t="s">
        <v>654</v>
      </c>
      <c r="J43" s="178">
        <v>50000000</v>
      </c>
      <c r="K43" s="178">
        <v>100.7109375</v>
      </c>
      <c r="L43" s="178">
        <v>3.4520432453000001</v>
      </c>
      <c r="M43" s="178">
        <v>50355468.75</v>
      </c>
      <c r="N43" s="174" t="s">
        <v>337</v>
      </c>
      <c r="O43" s="174" t="s">
        <v>655</v>
      </c>
      <c r="P43" s="174" t="s">
        <v>22</v>
      </c>
      <c r="Q43" s="174" t="s">
        <v>129</v>
      </c>
      <c r="R43" s="174" t="s">
        <v>656</v>
      </c>
      <c r="S43" s="174" t="s">
        <v>132</v>
      </c>
      <c r="T43" s="175"/>
      <c r="U43" s="175"/>
      <c r="V43" s="174" t="s">
        <v>651</v>
      </c>
      <c r="W43" s="174" t="s">
        <v>650</v>
      </c>
      <c r="X43" s="174" t="s">
        <v>22</v>
      </c>
      <c r="Y43" s="174"/>
      <c r="Z43" s="175"/>
      <c r="AA43" s="174"/>
      <c r="AB43" s="176">
        <v>43164.372928240744</v>
      </c>
      <c r="AC43" s="174" t="s">
        <v>656</v>
      </c>
      <c r="AD43" s="176">
        <v>43164.367280092592</v>
      </c>
      <c r="AE43" s="176">
        <v>43164.378831018519</v>
      </c>
      <c r="AF43" s="175"/>
    </row>
    <row r="44" spans="1:32" x14ac:dyDescent="0.25">
      <c r="A44" s="174" t="s">
        <v>651</v>
      </c>
      <c r="B44" s="174" t="s">
        <v>657</v>
      </c>
      <c r="C44" s="174" t="s">
        <v>653</v>
      </c>
      <c r="D44" s="174" t="s">
        <v>647</v>
      </c>
      <c r="E44" s="176">
        <v>43164</v>
      </c>
      <c r="F44" s="176">
        <v>43179</v>
      </c>
      <c r="G44" s="174" t="s">
        <v>648</v>
      </c>
      <c r="H44" s="177" t="s">
        <v>466</v>
      </c>
      <c r="I44" s="174" t="s">
        <v>654</v>
      </c>
      <c r="J44" s="178">
        <v>50000000</v>
      </c>
      <c r="K44" s="178">
        <v>100.70703125</v>
      </c>
      <c r="L44" s="178">
        <v>3.4522512453999998</v>
      </c>
      <c r="M44" s="178">
        <v>50353515.625</v>
      </c>
      <c r="N44" s="174" t="s">
        <v>337</v>
      </c>
      <c r="O44" s="174" t="s">
        <v>655</v>
      </c>
      <c r="P44" s="174" t="s">
        <v>22</v>
      </c>
      <c r="Q44" s="174" t="s">
        <v>129</v>
      </c>
      <c r="R44" s="174" t="s">
        <v>658</v>
      </c>
      <c r="S44" s="174" t="s">
        <v>132</v>
      </c>
      <c r="T44" s="175"/>
      <c r="U44" s="175"/>
      <c r="V44" s="174" t="s">
        <v>651</v>
      </c>
      <c r="W44" s="174" t="s">
        <v>650</v>
      </c>
      <c r="X44" s="174" t="s">
        <v>22</v>
      </c>
      <c r="Y44" s="174"/>
      <c r="Z44" s="175"/>
      <c r="AA44" s="174"/>
      <c r="AB44" s="176">
        <v>43164.372928240744</v>
      </c>
      <c r="AC44" s="174" t="s">
        <v>658</v>
      </c>
      <c r="AD44" s="176">
        <v>43164.367106481484</v>
      </c>
      <c r="AE44" s="176">
        <v>43164.382314814815</v>
      </c>
      <c r="AF44" s="175"/>
    </row>
    <row r="45" spans="1:32" x14ac:dyDescent="0.25">
      <c r="A45" s="174" t="s">
        <v>651</v>
      </c>
      <c r="B45" s="174" t="s">
        <v>659</v>
      </c>
      <c r="C45" s="174" t="s">
        <v>653</v>
      </c>
      <c r="D45" s="174" t="s">
        <v>647</v>
      </c>
      <c r="E45" s="176">
        <v>43164</v>
      </c>
      <c r="F45" s="176">
        <v>43241</v>
      </c>
      <c r="G45" s="174" t="s">
        <v>648</v>
      </c>
      <c r="H45" s="179" t="s">
        <v>486</v>
      </c>
      <c r="I45" s="174" t="s">
        <v>660</v>
      </c>
      <c r="J45" s="178">
        <v>50000000</v>
      </c>
      <c r="K45" s="178">
        <v>100.421875</v>
      </c>
      <c r="L45" s="178">
        <v>3.4674579232</v>
      </c>
      <c r="M45" s="178">
        <v>-50210937.5</v>
      </c>
      <c r="N45" s="174" t="s">
        <v>337</v>
      </c>
      <c r="O45" s="174" t="s">
        <v>661</v>
      </c>
      <c r="P45" s="174" t="s">
        <v>22</v>
      </c>
      <c r="Q45" s="174" t="s">
        <v>129</v>
      </c>
      <c r="R45" s="174" t="s">
        <v>662</v>
      </c>
      <c r="S45" s="174" t="s">
        <v>132</v>
      </c>
      <c r="T45" s="175"/>
      <c r="U45" s="175"/>
      <c r="V45" s="174" t="s">
        <v>651</v>
      </c>
      <c r="W45" s="174" t="s">
        <v>650</v>
      </c>
      <c r="X45" s="174" t="s">
        <v>22</v>
      </c>
      <c r="Y45" s="174"/>
      <c r="Z45" s="175"/>
      <c r="AA45" s="174"/>
      <c r="AB45" s="176">
        <v>43164.405185185184</v>
      </c>
      <c r="AC45" s="174" t="s">
        <v>662</v>
      </c>
      <c r="AD45" s="176">
        <v>43164.398958333331</v>
      </c>
      <c r="AE45" s="176">
        <v>43164.410150462965</v>
      </c>
      <c r="AF45" s="175"/>
    </row>
    <row r="46" spans="1:32" x14ac:dyDescent="0.25">
      <c r="A46" s="174" t="s">
        <v>651</v>
      </c>
      <c r="B46" s="174" t="s">
        <v>663</v>
      </c>
      <c r="C46" s="174" t="s">
        <v>653</v>
      </c>
      <c r="D46" s="174" t="s">
        <v>647</v>
      </c>
      <c r="E46" s="176">
        <v>43164</v>
      </c>
      <c r="F46" s="176">
        <v>43241</v>
      </c>
      <c r="G46" s="174" t="s">
        <v>648</v>
      </c>
      <c r="H46" s="179" t="s">
        <v>486</v>
      </c>
      <c r="I46" s="174" t="s">
        <v>660</v>
      </c>
      <c r="J46" s="178">
        <v>50000000</v>
      </c>
      <c r="K46" s="178">
        <v>100.421875</v>
      </c>
      <c r="L46" s="178">
        <v>3.4674579232</v>
      </c>
      <c r="M46" s="178">
        <v>-50210937.5</v>
      </c>
      <c r="N46" s="174" t="s">
        <v>337</v>
      </c>
      <c r="O46" s="174" t="s">
        <v>661</v>
      </c>
      <c r="P46" s="174" t="s">
        <v>22</v>
      </c>
      <c r="Q46" s="174" t="s">
        <v>129</v>
      </c>
      <c r="R46" s="174" t="s">
        <v>664</v>
      </c>
      <c r="S46" s="174" t="s">
        <v>132</v>
      </c>
      <c r="T46" s="175"/>
      <c r="U46" s="175"/>
      <c r="V46" s="174" t="s">
        <v>651</v>
      </c>
      <c r="W46" s="174" t="s">
        <v>650</v>
      </c>
      <c r="X46" s="174" t="s">
        <v>22</v>
      </c>
      <c r="Y46" s="174"/>
      <c r="Z46" s="175"/>
      <c r="AA46" s="174"/>
      <c r="AB46" s="176">
        <v>43164.405185185184</v>
      </c>
      <c r="AC46" s="174" t="s">
        <v>664</v>
      </c>
      <c r="AD46" s="176">
        <v>43164.398715277777</v>
      </c>
      <c r="AE46" s="176">
        <v>43164.410150462965</v>
      </c>
      <c r="AF46" s="175"/>
    </row>
    <row r="47" spans="1:32" x14ac:dyDescent="0.25">
      <c r="A47" s="174" t="s">
        <v>651</v>
      </c>
      <c r="B47" s="174" t="s">
        <v>665</v>
      </c>
      <c r="C47" s="174" t="s">
        <v>653</v>
      </c>
      <c r="D47" s="174" t="s">
        <v>666</v>
      </c>
      <c r="E47" s="176">
        <v>43164</v>
      </c>
      <c r="F47" s="176">
        <v>43174</v>
      </c>
      <c r="G47" s="174" t="s">
        <v>648</v>
      </c>
      <c r="H47" s="177" t="s">
        <v>466</v>
      </c>
      <c r="I47" s="174" t="s">
        <v>667</v>
      </c>
      <c r="J47" s="178">
        <v>21000000</v>
      </c>
      <c r="K47" s="178">
        <v>99.5703125</v>
      </c>
      <c r="L47" s="178">
        <v>3.0111419694000001</v>
      </c>
      <c r="M47" s="178">
        <v>20909765.625</v>
      </c>
      <c r="N47" s="174" t="s">
        <v>337</v>
      </c>
      <c r="O47" s="174" t="s">
        <v>668</v>
      </c>
      <c r="P47" s="174" t="s">
        <v>22</v>
      </c>
      <c r="Q47" s="174" t="s">
        <v>129</v>
      </c>
      <c r="R47" s="174" t="s">
        <v>669</v>
      </c>
      <c r="S47" s="174" t="s">
        <v>132</v>
      </c>
      <c r="T47" s="175"/>
      <c r="U47" s="175"/>
      <c r="V47" s="174" t="s">
        <v>651</v>
      </c>
      <c r="W47" s="174" t="s">
        <v>670</v>
      </c>
      <c r="X47" s="174" t="s">
        <v>22</v>
      </c>
      <c r="Y47" s="174"/>
      <c r="Z47" s="175"/>
      <c r="AA47" s="174"/>
      <c r="AB47" s="176">
        <v>43164.469942129632</v>
      </c>
      <c r="AC47" s="174" t="s">
        <v>669</v>
      </c>
      <c r="AD47" s="176">
        <v>43164.466886574075</v>
      </c>
      <c r="AE47" s="176">
        <v>43164.476469907408</v>
      </c>
      <c r="AF47" s="175"/>
    </row>
    <row r="48" spans="1:32" x14ac:dyDescent="0.25">
      <c r="A48" s="174" t="s">
        <v>651</v>
      </c>
      <c r="B48" s="174" t="s">
        <v>671</v>
      </c>
      <c r="C48" s="174" t="s">
        <v>653</v>
      </c>
      <c r="D48" s="174" t="s">
        <v>666</v>
      </c>
      <c r="E48" s="176">
        <v>43164</v>
      </c>
      <c r="F48" s="176">
        <v>43207</v>
      </c>
      <c r="G48" s="174" t="s">
        <v>648</v>
      </c>
      <c r="H48" s="179" t="s">
        <v>486</v>
      </c>
      <c r="I48" s="174" t="s">
        <v>672</v>
      </c>
      <c r="J48" s="178">
        <v>21000000</v>
      </c>
      <c r="K48" s="178">
        <v>99.453125</v>
      </c>
      <c r="L48" s="178">
        <v>3.0177686079999999</v>
      </c>
      <c r="M48" s="178">
        <v>-20885156.25</v>
      </c>
      <c r="N48" s="174" t="s">
        <v>337</v>
      </c>
      <c r="O48" s="174" t="s">
        <v>673</v>
      </c>
      <c r="P48" s="174" t="s">
        <v>22</v>
      </c>
      <c r="Q48" s="174" t="s">
        <v>129</v>
      </c>
      <c r="R48" s="174" t="s">
        <v>674</v>
      </c>
      <c r="S48" s="174" t="s">
        <v>132</v>
      </c>
      <c r="T48" s="175"/>
      <c r="U48" s="175"/>
      <c r="V48" s="174" t="s">
        <v>651</v>
      </c>
      <c r="W48" s="174" t="s">
        <v>670</v>
      </c>
      <c r="X48" s="174" t="s">
        <v>22</v>
      </c>
      <c r="Y48" s="174"/>
      <c r="Z48" s="175"/>
      <c r="AA48" s="174"/>
      <c r="AB48" s="176">
        <v>43164.495787037034</v>
      </c>
      <c r="AC48" s="174" t="s">
        <v>674</v>
      </c>
      <c r="AD48" s="176">
        <v>43164.492824074077</v>
      </c>
      <c r="AE48" s="176">
        <v>43164.500821759262</v>
      </c>
      <c r="AF48" s="175"/>
    </row>
    <row r="49" spans="1:32" x14ac:dyDescent="0.25">
      <c r="A49" s="174" t="s">
        <v>461</v>
      </c>
      <c r="B49" s="174" t="s">
        <v>675</v>
      </c>
      <c r="C49" s="174" t="s">
        <v>478</v>
      </c>
      <c r="D49" s="174" t="s">
        <v>676</v>
      </c>
      <c r="E49" s="176">
        <v>43164</v>
      </c>
      <c r="F49" s="176">
        <v>43166</v>
      </c>
      <c r="G49" s="174" t="s">
        <v>677</v>
      </c>
      <c r="H49" s="179" t="s">
        <v>486</v>
      </c>
      <c r="I49" s="174" t="s">
        <v>678</v>
      </c>
      <c r="J49" s="178">
        <v>7200000</v>
      </c>
      <c r="K49" s="178">
        <v>94.951599999999999</v>
      </c>
      <c r="L49" s="178">
        <v>2.1726032050000001</v>
      </c>
      <c r="M49" s="178">
        <v>-6864920.6794520505</v>
      </c>
      <c r="N49" s="174" t="s">
        <v>679</v>
      </c>
      <c r="O49" s="174" t="s">
        <v>680</v>
      </c>
      <c r="P49" s="174" t="s">
        <v>22</v>
      </c>
      <c r="Q49" s="174" t="s">
        <v>129</v>
      </c>
      <c r="R49" s="174" t="s">
        <v>681</v>
      </c>
      <c r="S49" s="174" t="s">
        <v>132</v>
      </c>
      <c r="T49" s="175"/>
      <c r="U49" s="175"/>
      <c r="V49" s="174" t="s">
        <v>682</v>
      </c>
      <c r="W49" s="174" t="s">
        <v>683</v>
      </c>
      <c r="X49" s="174" t="s">
        <v>22</v>
      </c>
      <c r="Y49" s="174"/>
      <c r="Z49" s="175"/>
      <c r="AA49" s="174" t="s">
        <v>512</v>
      </c>
      <c r="AB49" s="176">
        <v>43164.709270833337</v>
      </c>
      <c r="AC49" s="174" t="s">
        <v>681</v>
      </c>
      <c r="AD49" s="176">
        <v>43164.704282407409</v>
      </c>
      <c r="AE49" s="176">
        <v>43164.704826388886</v>
      </c>
      <c r="AF49" s="175"/>
    </row>
    <row r="50" spans="1:32" x14ac:dyDescent="0.25">
      <c r="A50" s="174" t="s">
        <v>461</v>
      </c>
      <c r="B50" s="174" t="s">
        <v>684</v>
      </c>
      <c r="C50" s="174" t="s">
        <v>497</v>
      </c>
      <c r="D50" s="174" t="s">
        <v>685</v>
      </c>
      <c r="E50" s="176">
        <v>43164</v>
      </c>
      <c r="F50" s="176">
        <v>43166</v>
      </c>
      <c r="G50" s="174" t="s">
        <v>686</v>
      </c>
      <c r="H50" s="177" t="s">
        <v>466</v>
      </c>
      <c r="I50" s="174" t="s">
        <v>687</v>
      </c>
      <c r="J50" s="178">
        <v>25000000</v>
      </c>
      <c r="K50" s="178">
        <v>98.585965000000002</v>
      </c>
      <c r="L50" s="178">
        <v>1.5517888704</v>
      </c>
      <c r="M50" s="178">
        <v>24681011.797945209</v>
      </c>
      <c r="N50" s="174" t="s">
        <v>386</v>
      </c>
      <c r="O50" s="174" t="s">
        <v>688</v>
      </c>
      <c r="P50" s="174" t="s">
        <v>22</v>
      </c>
      <c r="Q50" s="174" t="s">
        <v>129</v>
      </c>
      <c r="R50" s="174" t="s">
        <v>689</v>
      </c>
      <c r="S50" s="174" t="s">
        <v>132</v>
      </c>
      <c r="T50" s="175"/>
      <c r="U50" s="175"/>
      <c r="V50" s="174" t="s">
        <v>690</v>
      </c>
      <c r="W50" s="174" t="s">
        <v>691</v>
      </c>
      <c r="X50" s="174" t="s">
        <v>22</v>
      </c>
      <c r="Y50" s="174"/>
      <c r="Z50" s="175"/>
      <c r="AA50" s="174" t="s">
        <v>692</v>
      </c>
      <c r="AB50" s="176">
        <v>43164.130127314813</v>
      </c>
      <c r="AC50" s="174" t="s">
        <v>689</v>
      </c>
      <c r="AD50" s="176">
        <v>43164.128576388888</v>
      </c>
      <c r="AE50" s="176">
        <v>43164.128576388888</v>
      </c>
      <c r="AF50" s="175"/>
    </row>
    <row r="51" spans="1:32" x14ac:dyDescent="0.25">
      <c r="A51" s="174" t="s">
        <v>461</v>
      </c>
      <c r="B51" s="174" t="s">
        <v>693</v>
      </c>
      <c r="C51" s="174" t="s">
        <v>566</v>
      </c>
      <c r="D51" s="174" t="s">
        <v>676</v>
      </c>
      <c r="E51" s="176">
        <v>43164</v>
      </c>
      <c r="F51" s="176">
        <v>43166</v>
      </c>
      <c r="G51" s="174" t="s">
        <v>686</v>
      </c>
      <c r="H51" s="179" t="s">
        <v>486</v>
      </c>
      <c r="I51" s="174" t="s">
        <v>694</v>
      </c>
      <c r="J51" s="178">
        <v>38620000</v>
      </c>
      <c r="K51" s="178">
        <v>100.8386</v>
      </c>
      <c r="L51" s="178">
        <v>0.39258388329999999</v>
      </c>
      <c r="M51" s="178">
        <v>-38954448.14191781</v>
      </c>
      <c r="N51" s="174" t="s">
        <v>386</v>
      </c>
      <c r="O51" s="174" t="s">
        <v>695</v>
      </c>
      <c r="P51" s="174" t="s">
        <v>22</v>
      </c>
      <c r="Q51" s="174" t="s">
        <v>129</v>
      </c>
      <c r="R51" s="174" t="s">
        <v>696</v>
      </c>
      <c r="S51" s="174" t="s">
        <v>132</v>
      </c>
      <c r="T51" s="175"/>
      <c r="U51" s="175"/>
      <c r="V51" s="174" t="s">
        <v>575</v>
      </c>
      <c r="W51" s="174" t="s">
        <v>683</v>
      </c>
      <c r="X51" s="174" t="s">
        <v>22</v>
      </c>
      <c r="Y51" s="174"/>
      <c r="Z51" s="175"/>
      <c r="AA51" s="174" t="s">
        <v>512</v>
      </c>
      <c r="AB51" s="176">
        <v>43164.249282407407</v>
      </c>
      <c r="AC51" s="174" t="s">
        <v>696</v>
      </c>
      <c r="AD51" s="176">
        <v>43164.244710648149</v>
      </c>
      <c r="AE51" s="176">
        <v>43164.244768518518</v>
      </c>
      <c r="AF51" s="175"/>
    </row>
    <row r="52" spans="1:32" x14ac:dyDescent="0.25">
      <c r="A52" s="174" t="s">
        <v>484</v>
      </c>
      <c r="B52" s="174" t="s">
        <v>697</v>
      </c>
      <c r="C52" s="174" t="s">
        <v>566</v>
      </c>
      <c r="D52" s="174" t="s">
        <v>698</v>
      </c>
      <c r="E52" s="176">
        <v>43164</v>
      </c>
      <c r="F52" s="176">
        <v>43166</v>
      </c>
      <c r="G52" s="174" t="s">
        <v>686</v>
      </c>
      <c r="H52" s="179" t="s">
        <v>486</v>
      </c>
      <c r="I52" s="174" t="s">
        <v>699</v>
      </c>
      <c r="J52" s="178">
        <v>3000000</v>
      </c>
      <c r="K52" s="178">
        <v>106.25</v>
      </c>
      <c r="L52" s="178">
        <v>4.4699738262000004</v>
      </c>
      <c r="M52" s="178">
        <v>-3211906.0773480698</v>
      </c>
      <c r="N52" s="174" t="s">
        <v>386</v>
      </c>
      <c r="O52" s="174" t="s">
        <v>700</v>
      </c>
      <c r="P52" s="174" t="s">
        <v>22</v>
      </c>
      <c r="Q52" s="174" t="s">
        <v>129</v>
      </c>
      <c r="R52" s="174" t="s">
        <v>701</v>
      </c>
      <c r="S52" s="174" t="s">
        <v>132</v>
      </c>
      <c r="T52" s="175"/>
      <c r="U52" s="175"/>
      <c r="V52" s="174" t="s">
        <v>702</v>
      </c>
      <c r="W52" s="174" t="s">
        <v>703</v>
      </c>
      <c r="X52" s="174" t="s">
        <v>22</v>
      </c>
      <c r="Y52" s="174"/>
      <c r="Z52" s="175"/>
      <c r="AA52" s="174" t="s">
        <v>512</v>
      </c>
      <c r="AB52" s="176">
        <v>43164.268252314818</v>
      </c>
      <c r="AC52" s="174" t="s">
        <v>701</v>
      </c>
      <c r="AD52" s="176">
        <v>43164.264409722222</v>
      </c>
      <c r="AE52" s="176">
        <v>43164.264467592591</v>
      </c>
      <c r="AF52" s="175"/>
    </row>
    <row r="53" spans="1:32" x14ac:dyDescent="0.25">
      <c r="A53" s="174" t="s">
        <v>461</v>
      </c>
      <c r="B53" s="174" t="s">
        <v>704</v>
      </c>
      <c r="C53" s="174" t="s">
        <v>478</v>
      </c>
      <c r="D53" s="174" t="s">
        <v>590</v>
      </c>
      <c r="E53" s="176">
        <v>43164</v>
      </c>
      <c r="F53" s="176">
        <v>43165</v>
      </c>
      <c r="G53" s="174" t="s">
        <v>686</v>
      </c>
      <c r="H53" s="179" t="s">
        <v>486</v>
      </c>
      <c r="I53" s="174" t="s">
        <v>467</v>
      </c>
      <c r="J53" s="178">
        <v>5000000</v>
      </c>
      <c r="K53" s="178">
        <v>100.09375</v>
      </c>
      <c r="L53" s="178">
        <v>2.6047616576000001</v>
      </c>
      <c r="M53" s="178">
        <v>-5006827.4456521701</v>
      </c>
      <c r="N53" s="174" t="s">
        <v>337</v>
      </c>
      <c r="O53" s="174" t="s">
        <v>468</v>
      </c>
      <c r="P53" s="174" t="s">
        <v>22</v>
      </c>
      <c r="Q53" s="174" t="s">
        <v>129</v>
      </c>
      <c r="R53" s="174" t="s">
        <v>705</v>
      </c>
      <c r="S53" s="174" t="s">
        <v>132</v>
      </c>
      <c r="T53" s="175"/>
      <c r="U53" s="175"/>
      <c r="V53" s="174" t="s">
        <v>469</v>
      </c>
      <c r="W53" s="174" t="s">
        <v>594</v>
      </c>
      <c r="X53" s="174" t="s">
        <v>22</v>
      </c>
      <c r="Y53" s="174"/>
      <c r="Z53" s="175"/>
      <c r="AA53" s="174" t="s">
        <v>706</v>
      </c>
      <c r="AB53" s="176">
        <v>43164.415682870371</v>
      </c>
      <c r="AC53" s="174" t="s">
        <v>705</v>
      </c>
      <c r="AD53" s="176">
        <v>43164.412708333337</v>
      </c>
      <c r="AE53" s="176">
        <v>43164.412789351853</v>
      </c>
      <c r="AF53" s="175"/>
    </row>
    <row r="54" spans="1:32" x14ac:dyDescent="0.25">
      <c r="A54" s="174" t="s">
        <v>461</v>
      </c>
      <c r="B54" s="174" t="s">
        <v>707</v>
      </c>
      <c r="C54" s="174" t="s">
        <v>566</v>
      </c>
      <c r="D54" s="174" t="s">
        <v>708</v>
      </c>
      <c r="E54" s="176">
        <v>43164</v>
      </c>
      <c r="F54" s="176">
        <v>43166</v>
      </c>
      <c r="G54" s="174" t="s">
        <v>686</v>
      </c>
      <c r="H54" s="177" t="s">
        <v>466</v>
      </c>
      <c r="I54" s="174" t="s">
        <v>709</v>
      </c>
      <c r="J54" s="178">
        <v>150000000</v>
      </c>
      <c r="K54" s="178">
        <v>108.425</v>
      </c>
      <c r="L54" s="178">
        <v>-0.18770637609999999</v>
      </c>
      <c r="M54" s="178">
        <v>164406678.0821918</v>
      </c>
      <c r="N54" s="174" t="s">
        <v>386</v>
      </c>
      <c r="O54" s="174" t="s">
        <v>710</v>
      </c>
      <c r="P54" s="174" t="s">
        <v>22</v>
      </c>
      <c r="Q54" s="174" t="s">
        <v>129</v>
      </c>
      <c r="R54" s="174" t="s">
        <v>711</v>
      </c>
      <c r="S54" s="174" t="s">
        <v>132</v>
      </c>
      <c r="T54" s="175"/>
      <c r="U54" s="175"/>
      <c r="V54" s="174" t="s">
        <v>575</v>
      </c>
      <c r="W54" s="174" t="s">
        <v>712</v>
      </c>
      <c r="X54" s="174" t="s">
        <v>22</v>
      </c>
      <c r="Y54" s="174"/>
      <c r="Z54" s="175"/>
      <c r="AA54" s="174" t="s">
        <v>512</v>
      </c>
      <c r="AB54" s="176">
        <v>43164.448148148149</v>
      </c>
      <c r="AC54" s="174" t="s">
        <v>711</v>
      </c>
      <c r="AD54" s="176">
        <v>43164.443032407406</v>
      </c>
      <c r="AE54" s="176">
        <v>43164.443090277775</v>
      </c>
      <c r="AF54" s="175"/>
    </row>
    <row r="55" spans="1:32" x14ac:dyDescent="0.25">
      <c r="A55" s="174" t="s">
        <v>484</v>
      </c>
      <c r="B55" s="174" t="s">
        <v>713</v>
      </c>
      <c r="C55" s="174" t="s">
        <v>478</v>
      </c>
      <c r="D55" s="174" t="s">
        <v>590</v>
      </c>
      <c r="E55" s="176">
        <v>43164</v>
      </c>
      <c r="F55" s="176">
        <v>43166</v>
      </c>
      <c r="G55" s="174" t="s">
        <v>686</v>
      </c>
      <c r="H55" s="177" t="s">
        <v>466</v>
      </c>
      <c r="I55" s="174" t="s">
        <v>714</v>
      </c>
      <c r="J55" s="178">
        <v>1000000</v>
      </c>
      <c r="K55" s="178">
        <v>101.5</v>
      </c>
      <c r="L55" s="178">
        <v>10.811079120300001</v>
      </c>
      <c r="M55" s="178">
        <v>1021875</v>
      </c>
      <c r="N55" s="174" t="s">
        <v>337</v>
      </c>
      <c r="O55" s="174" t="s">
        <v>715</v>
      </c>
      <c r="P55" s="174" t="s">
        <v>22</v>
      </c>
      <c r="Q55" s="174" t="s">
        <v>129</v>
      </c>
      <c r="R55" s="174" t="s">
        <v>716</v>
      </c>
      <c r="S55" s="174" t="s">
        <v>132</v>
      </c>
      <c r="T55" s="175"/>
      <c r="U55" s="175"/>
      <c r="V55" s="174" t="s">
        <v>717</v>
      </c>
      <c r="W55" s="174" t="s">
        <v>594</v>
      </c>
      <c r="X55" s="174" t="s">
        <v>22</v>
      </c>
      <c r="Y55" s="174"/>
      <c r="Z55" s="175"/>
      <c r="AA55" s="174" t="s">
        <v>512</v>
      </c>
      <c r="AB55" s="176">
        <v>43164.461145833331</v>
      </c>
      <c r="AC55" s="174" t="s">
        <v>716</v>
      </c>
      <c r="AD55" s="176">
        <v>43164.456446759257</v>
      </c>
      <c r="AE55" s="176">
        <v>43164.456504629627</v>
      </c>
      <c r="AF55" s="175"/>
    </row>
    <row r="56" spans="1:32" x14ac:dyDescent="0.25">
      <c r="A56" s="174" t="s">
        <v>484</v>
      </c>
      <c r="B56" s="174" t="s">
        <v>718</v>
      </c>
      <c r="C56" s="174" t="s">
        <v>478</v>
      </c>
      <c r="D56" s="174" t="s">
        <v>582</v>
      </c>
      <c r="E56" s="176">
        <v>43164</v>
      </c>
      <c r="F56" s="176">
        <v>43166</v>
      </c>
      <c r="G56" s="174" t="s">
        <v>686</v>
      </c>
      <c r="H56" s="177" t="s">
        <v>466</v>
      </c>
      <c r="I56" s="174" t="s">
        <v>719</v>
      </c>
      <c r="J56" s="178">
        <v>5545000</v>
      </c>
      <c r="K56" s="178">
        <v>99.600999999999999</v>
      </c>
      <c r="L56" s="178">
        <v>3.9579389366000002</v>
      </c>
      <c r="M56" s="178">
        <v>5616585.9500000002</v>
      </c>
      <c r="N56" s="174" t="s">
        <v>337</v>
      </c>
      <c r="O56" s="174" t="s">
        <v>720</v>
      </c>
      <c r="P56" s="174" t="s">
        <v>22</v>
      </c>
      <c r="Q56" s="174" t="s">
        <v>129</v>
      </c>
      <c r="R56" s="174" t="s">
        <v>721</v>
      </c>
      <c r="S56" s="174" t="s">
        <v>132</v>
      </c>
      <c r="T56" s="175"/>
      <c r="U56" s="175"/>
      <c r="V56" s="174" t="s">
        <v>489</v>
      </c>
      <c r="W56" s="174" t="s">
        <v>586</v>
      </c>
      <c r="X56" s="174" t="s">
        <v>22</v>
      </c>
      <c r="Y56" s="174"/>
      <c r="Z56" s="175"/>
      <c r="AA56" s="174" t="s">
        <v>512</v>
      </c>
      <c r="AB56" s="176">
        <v>43164.461145833331</v>
      </c>
      <c r="AC56" s="174" t="s">
        <v>721</v>
      </c>
      <c r="AD56" s="176">
        <v>43164.458090277774</v>
      </c>
      <c r="AE56" s="176">
        <v>43164.458148148151</v>
      </c>
      <c r="AF56" s="175"/>
    </row>
    <row r="57" spans="1:32" x14ac:dyDescent="0.25">
      <c r="A57" s="174" t="s">
        <v>461</v>
      </c>
      <c r="B57" s="174" t="s">
        <v>722</v>
      </c>
      <c r="C57" s="174" t="s">
        <v>478</v>
      </c>
      <c r="D57" s="174" t="s">
        <v>582</v>
      </c>
      <c r="E57" s="176">
        <v>43164</v>
      </c>
      <c r="F57" s="176">
        <v>43165</v>
      </c>
      <c r="G57" s="174" t="s">
        <v>686</v>
      </c>
      <c r="H57" s="179" t="s">
        <v>486</v>
      </c>
      <c r="I57" s="174" t="s">
        <v>475</v>
      </c>
      <c r="J57" s="178">
        <v>4436000</v>
      </c>
      <c r="K57" s="178">
        <v>99.328125</v>
      </c>
      <c r="L57" s="178">
        <v>2.8278548634999998</v>
      </c>
      <c r="M57" s="178">
        <v>-4412598.4150552498</v>
      </c>
      <c r="N57" s="174" t="s">
        <v>337</v>
      </c>
      <c r="O57" s="174" t="s">
        <v>476</v>
      </c>
      <c r="P57" s="174" t="s">
        <v>22</v>
      </c>
      <c r="Q57" s="174" t="s">
        <v>129</v>
      </c>
      <c r="R57" s="174" t="s">
        <v>723</v>
      </c>
      <c r="S57" s="174" t="s">
        <v>132</v>
      </c>
      <c r="T57" s="175"/>
      <c r="U57" s="175"/>
      <c r="V57" s="174" t="s">
        <v>469</v>
      </c>
      <c r="W57" s="174" t="s">
        <v>586</v>
      </c>
      <c r="X57" s="174" t="s">
        <v>22</v>
      </c>
      <c r="Y57" s="174"/>
      <c r="Z57" s="175"/>
      <c r="AA57" s="174" t="s">
        <v>512</v>
      </c>
      <c r="AB57" s="176">
        <v>43164.461145833331</v>
      </c>
      <c r="AC57" s="174" t="s">
        <v>723</v>
      </c>
      <c r="AD57" s="176">
        <v>43164.458090277774</v>
      </c>
      <c r="AE57" s="176">
        <v>43164.45815972222</v>
      </c>
      <c r="AF57" s="175"/>
    </row>
    <row r="58" spans="1:32" x14ac:dyDescent="0.25">
      <c r="A58" s="174" t="s">
        <v>461</v>
      </c>
      <c r="B58" s="174" t="s">
        <v>724</v>
      </c>
      <c r="C58" s="174" t="s">
        <v>478</v>
      </c>
      <c r="D58" s="174" t="s">
        <v>582</v>
      </c>
      <c r="E58" s="176">
        <v>43164</v>
      </c>
      <c r="F58" s="176">
        <v>43165</v>
      </c>
      <c r="G58" s="174" t="s">
        <v>686</v>
      </c>
      <c r="H58" s="177" t="s">
        <v>466</v>
      </c>
      <c r="I58" s="174" t="s">
        <v>644</v>
      </c>
      <c r="J58" s="178">
        <v>4550000</v>
      </c>
      <c r="K58" s="178">
        <v>97.4453125</v>
      </c>
      <c r="L58" s="178">
        <v>3.1320400884000001</v>
      </c>
      <c r="M58" s="178">
        <v>4440926.0833908794</v>
      </c>
      <c r="N58" s="174" t="s">
        <v>337</v>
      </c>
      <c r="O58" s="174" t="s">
        <v>645</v>
      </c>
      <c r="P58" s="174" t="s">
        <v>22</v>
      </c>
      <c r="Q58" s="174" t="s">
        <v>129</v>
      </c>
      <c r="R58" s="174" t="s">
        <v>725</v>
      </c>
      <c r="S58" s="174" t="s">
        <v>132</v>
      </c>
      <c r="T58" s="175"/>
      <c r="U58" s="175"/>
      <c r="V58" s="174" t="s">
        <v>469</v>
      </c>
      <c r="W58" s="174" t="s">
        <v>586</v>
      </c>
      <c r="X58" s="174" t="s">
        <v>22</v>
      </c>
      <c r="Y58" s="174"/>
      <c r="Z58" s="175"/>
      <c r="AA58" s="174" t="s">
        <v>512</v>
      </c>
      <c r="AB58" s="176">
        <v>43164.467534722222</v>
      </c>
      <c r="AC58" s="174" t="s">
        <v>725</v>
      </c>
      <c r="AD58" s="176">
        <v>43164.464560185188</v>
      </c>
      <c r="AE58" s="176">
        <v>43164.46465277778</v>
      </c>
      <c r="AF58" s="175"/>
    </row>
    <row r="59" spans="1:32" x14ac:dyDescent="0.25">
      <c r="A59" s="174" t="s">
        <v>461</v>
      </c>
      <c r="B59" s="174" t="s">
        <v>726</v>
      </c>
      <c r="C59" s="174" t="s">
        <v>478</v>
      </c>
      <c r="D59" s="174" t="s">
        <v>582</v>
      </c>
      <c r="E59" s="176">
        <v>43164</v>
      </c>
      <c r="F59" s="176">
        <v>43165</v>
      </c>
      <c r="G59" s="174" t="s">
        <v>686</v>
      </c>
      <c r="H59" s="177" t="s">
        <v>466</v>
      </c>
      <c r="I59" s="174" t="s">
        <v>644</v>
      </c>
      <c r="J59" s="178">
        <v>4550000</v>
      </c>
      <c r="K59" s="178">
        <v>97.23828125</v>
      </c>
      <c r="L59" s="178">
        <v>3.1429432487</v>
      </c>
      <c r="M59" s="178">
        <v>4431506.1615158804</v>
      </c>
      <c r="N59" s="174" t="s">
        <v>337</v>
      </c>
      <c r="O59" s="174" t="s">
        <v>645</v>
      </c>
      <c r="P59" s="174" t="s">
        <v>22</v>
      </c>
      <c r="Q59" s="174" t="s">
        <v>129</v>
      </c>
      <c r="R59" s="174" t="s">
        <v>727</v>
      </c>
      <c r="S59" s="174" t="s">
        <v>132</v>
      </c>
      <c r="T59" s="175"/>
      <c r="U59" s="175"/>
      <c r="V59" s="174" t="s">
        <v>469</v>
      </c>
      <c r="W59" s="174" t="s">
        <v>586</v>
      </c>
      <c r="X59" s="174" t="s">
        <v>22</v>
      </c>
      <c r="Y59" s="174"/>
      <c r="Z59" s="175"/>
      <c r="AA59" s="174" t="s">
        <v>512</v>
      </c>
      <c r="AB59" s="176">
        <v>43164.474050925928</v>
      </c>
      <c r="AC59" s="174" t="s">
        <v>727</v>
      </c>
      <c r="AD59" s="176">
        <v>43164.467499999999</v>
      </c>
      <c r="AE59" s="176">
        <v>43164.467569444445</v>
      </c>
      <c r="AF59" s="175"/>
    </row>
    <row r="60" spans="1:32" x14ac:dyDescent="0.25">
      <c r="A60" s="174" t="s">
        <v>461</v>
      </c>
      <c r="B60" s="174" t="s">
        <v>728</v>
      </c>
      <c r="C60" s="174" t="s">
        <v>478</v>
      </c>
      <c r="D60" s="174" t="s">
        <v>582</v>
      </c>
      <c r="E60" s="176">
        <v>43164</v>
      </c>
      <c r="F60" s="176">
        <v>43165</v>
      </c>
      <c r="G60" s="174" t="s">
        <v>686</v>
      </c>
      <c r="H60" s="177" t="s">
        <v>466</v>
      </c>
      <c r="I60" s="174" t="s">
        <v>644</v>
      </c>
      <c r="J60" s="178">
        <v>4550000</v>
      </c>
      <c r="K60" s="178">
        <v>97.1796875</v>
      </c>
      <c r="L60" s="178">
        <v>3.1460345779000001</v>
      </c>
      <c r="M60" s="178">
        <v>4428840.1458908804</v>
      </c>
      <c r="N60" s="174" t="s">
        <v>337</v>
      </c>
      <c r="O60" s="174" t="s">
        <v>645</v>
      </c>
      <c r="P60" s="174" t="s">
        <v>22</v>
      </c>
      <c r="Q60" s="174" t="s">
        <v>129</v>
      </c>
      <c r="R60" s="174" t="s">
        <v>729</v>
      </c>
      <c r="S60" s="174" t="s">
        <v>132</v>
      </c>
      <c r="T60" s="175"/>
      <c r="U60" s="175"/>
      <c r="V60" s="174" t="s">
        <v>469</v>
      </c>
      <c r="W60" s="174" t="s">
        <v>586</v>
      </c>
      <c r="X60" s="174" t="s">
        <v>22</v>
      </c>
      <c r="Y60" s="174"/>
      <c r="Z60" s="175"/>
      <c r="AA60" s="174" t="s">
        <v>512</v>
      </c>
      <c r="AB60" s="176">
        <v>43164.493368055555</v>
      </c>
      <c r="AC60" s="174" t="s">
        <v>729</v>
      </c>
      <c r="AD60" s="176">
        <v>43164.486909722225</v>
      </c>
      <c r="AE60" s="176">
        <v>43164.487384259257</v>
      </c>
      <c r="AF60" s="175"/>
    </row>
    <row r="61" spans="1:32" x14ac:dyDescent="0.25">
      <c r="A61" s="174" t="s">
        <v>461</v>
      </c>
      <c r="B61" s="174" t="s">
        <v>730</v>
      </c>
      <c r="C61" s="174" t="s">
        <v>478</v>
      </c>
      <c r="D61" s="174" t="s">
        <v>582</v>
      </c>
      <c r="E61" s="176">
        <v>43164</v>
      </c>
      <c r="F61" s="176">
        <v>43165</v>
      </c>
      <c r="G61" s="174" t="s">
        <v>686</v>
      </c>
      <c r="H61" s="177" t="s">
        <v>466</v>
      </c>
      <c r="I61" s="174" t="s">
        <v>644</v>
      </c>
      <c r="J61" s="178">
        <v>4550000</v>
      </c>
      <c r="K61" s="178">
        <v>97.1171875</v>
      </c>
      <c r="L61" s="178">
        <v>3.1493346921000001</v>
      </c>
      <c r="M61" s="178">
        <v>4425996.3958908804</v>
      </c>
      <c r="N61" s="174" t="s">
        <v>337</v>
      </c>
      <c r="O61" s="174" t="s">
        <v>645</v>
      </c>
      <c r="P61" s="174" t="s">
        <v>22</v>
      </c>
      <c r="Q61" s="174" t="s">
        <v>129</v>
      </c>
      <c r="R61" s="174" t="s">
        <v>731</v>
      </c>
      <c r="S61" s="174" t="s">
        <v>132</v>
      </c>
      <c r="T61" s="175"/>
      <c r="U61" s="175"/>
      <c r="V61" s="174" t="s">
        <v>469</v>
      </c>
      <c r="W61" s="174" t="s">
        <v>586</v>
      </c>
      <c r="X61" s="174" t="s">
        <v>22</v>
      </c>
      <c r="Y61" s="174"/>
      <c r="Z61" s="175"/>
      <c r="AA61" s="174" t="s">
        <v>512</v>
      </c>
      <c r="AB61" s="176">
        <v>43164.493368055555</v>
      </c>
      <c r="AC61" s="174" t="s">
        <v>731</v>
      </c>
      <c r="AD61" s="176">
        <v>43164.486898148149</v>
      </c>
      <c r="AE61" s="176">
        <v>43164.487395833334</v>
      </c>
      <c r="AF61" s="175"/>
    </row>
    <row r="62" spans="1:32" x14ac:dyDescent="0.25">
      <c r="A62" s="174" t="s">
        <v>461</v>
      </c>
      <c r="B62" s="174" t="s">
        <v>732</v>
      </c>
      <c r="C62" s="174" t="s">
        <v>478</v>
      </c>
      <c r="D62" s="174" t="s">
        <v>582</v>
      </c>
      <c r="E62" s="176">
        <v>43164</v>
      </c>
      <c r="F62" s="176">
        <v>43165</v>
      </c>
      <c r="G62" s="174" t="s">
        <v>686</v>
      </c>
      <c r="H62" s="179" t="s">
        <v>486</v>
      </c>
      <c r="I62" s="174" t="s">
        <v>644</v>
      </c>
      <c r="J62" s="178">
        <v>4550000</v>
      </c>
      <c r="K62" s="178">
        <v>97.0703125</v>
      </c>
      <c r="L62" s="178">
        <v>3.1518116069</v>
      </c>
      <c r="M62" s="178">
        <v>-4423863.5833908794</v>
      </c>
      <c r="N62" s="174" t="s">
        <v>337</v>
      </c>
      <c r="O62" s="174" t="s">
        <v>645</v>
      </c>
      <c r="P62" s="174" t="s">
        <v>22</v>
      </c>
      <c r="Q62" s="174" t="s">
        <v>129</v>
      </c>
      <c r="R62" s="174" t="s">
        <v>733</v>
      </c>
      <c r="S62" s="174" t="s">
        <v>132</v>
      </c>
      <c r="T62" s="175"/>
      <c r="U62" s="175"/>
      <c r="V62" s="174" t="s">
        <v>469</v>
      </c>
      <c r="W62" s="174" t="s">
        <v>586</v>
      </c>
      <c r="X62" s="174" t="s">
        <v>22</v>
      </c>
      <c r="Y62" s="174"/>
      <c r="Z62" s="175"/>
      <c r="AA62" s="174" t="s">
        <v>512</v>
      </c>
      <c r="AB62" s="176">
        <v>43164.519016203703</v>
      </c>
      <c r="AC62" s="174" t="s">
        <v>733</v>
      </c>
      <c r="AD62" s="176">
        <v>43164.516516203701</v>
      </c>
      <c r="AE62" s="176">
        <v>43164.516550925924</v>
      </c>
      <c r="AF62" s="175"/>
    </row>
    <row r="63" spans="1:32" x14ac:dyDescent="0.25">
      <c r="A63" s="174" t="s">
        <v>461</v>
      </c>
      <c r="B63" s="174" t="s">
        <v>734</v>
      </c>
      <c r="C63" s="174" t="s">
        <v>478</v>
      </c>
      <c r="D63" s="174" t="s">
        <v>582</v>
      </c>
      <c r="E63" s="176">
        <v>43164</v>
      </c>
      <c r="F63" s="176">
        <v>43165</v>
      </c>
      <c r="G63" s="174" t="s">
        <v>686</v>
      </c>
      <c r="H63" s="179" t="s">
        <v>486</v>
      </c>
      <c r="I63" s="174" t="s">
        <v>644</v>
      </c>
      <c r="J63" s="178">
        <v>4550000</v>
      </c>
      <c r="K63" s="178">
        <v>97.08984375</v>
      </c>
      <c r="L63" s="178">
        <v>3.1507793683999998</v>
      </c>
      <c r="M63" s="178">
        <v>-4424752.2552658804</v>
      </c>
      <c r="N63" s="174" t="s">
        <v>337</v>
      </c>
      <c r="O63" s="174" t="s">
        <v>645</v>
      </c>
      <c r="P63" s="174" t="s">
        <v>22</v>
      </c>
      <c r="Q63" s="174" t="s">
        <v>129</v>
      </c>
      <c r="R63" s="174" t="s">
        <v>735</v>
      </c>
      <c r="S63" s="174" t="s">
        <v>132</v>
      </c>
      <c r="T63" s="175"/>
      <c r="U63" s="175"/>
      <c r="V63" s="174" t="s">
        <v>469</v>
      </c>
      <c r="W63" s="174" t="s">
        <v>586</v>
      </c>
      <c r="X63" s="174" t="s">
        <v>22</v>
      </c>
      <c r="Y63" s="174"/>
      <c r="Z63" s="175"/>
      <c r="AA63" s="174" t="s">
        <v>512</v>
      </c>
      <c r="AB63" s="176">
        <v>43164.525648148148</v>
      </c>
      <c r="AC63" s="174" t="s">
        <v>735</v>
      </c>
      <c r="AD63" s="176">
        <v>43164.517928240741</v>
      </c>
      <c r="AE63" s="176">
        <v>43164.51798611111</v>
      </c>
      <c r="AF63" s="175"/>
    </row>
    <row r="64" spans="1:32" x14ac:dyDescent="0.25">
      <c r="A64" s="174" t="s">
        <v>484</v>
      </c>
      <c r="B64" s="174" t="s">
        <v>736</v>
      </c>
      <c r="C64" s="174" t="s">
        <v>478</v>
      </c>
      <c r="D64" s="174" t="s">
        <v>737</v>
      </c>
      <c r="E64" s="176">
        <v>43164</v>
      </c>
      <c r="F64" s="176">
        <v>43166</v>
      </c>
      <c r="G64" s="174" t="s">
        <v>686</v>
      </c>
      <c r="H64" s="179" t="s">
        <v>486</v>
      </c>
      <c r="I64" s="174" t="s">
        <v>738</v>
      </c>
      <c r="J64" s="178">
        <v>5000000</v>
      </c>
      <c r="K64" s="178">
        <v>101.05</v>
      </c>
      <c r="L64" s="178">
        <v>5.8757467016999998</v>
      </c>
      <c r="M64" s="178">
        <v>-5083975.6944444394</v>
      </c>
      <c r="N64" s="174" t="s">
        <v>337</v>
      </c>
      <c r="O64" s="174" t="s">
        <v>739</v>
      </c>
      <c r="P64" s="174" t="s">
        <v>22</v>
      </c>
      <c r="Q64" s="174" t="s">
        <v>129</v>
      </c>
      <c r="R64" s="174" t="s">
        <v>740</v>
      </c>
      <c r="S64" s="174" t="s">
        <v>132</v>
      </c>
      <c r="T64" s="175"/>
      <c r="U64" s="175"/>
      <c r="V64" s="174" t="s">
        <v>489</v>
      </c>
      <c r="W64" s="174" t="s">
        <v>741</v>
      </c>
      <c r="X64" s="174" t="s">
        <v>22</v>
      </c>
      <c r="Y64" s="174"/>
      <c r="Z64" s="175"/>
      <c r="AA64" s="174" t="s">
        <v>742</v>
      </c>
      <c r="AB64" s="176">
        <v>43164.486863425926</v>
      </c>
      <c r="AC64" s="174" t="s">
        <v>740</v>
      </c>
      <c r="AD64" s="176">
        <v>43164.554629629631</v>
      </c>
      <c r="AE64" s="176">
        <v>43164.554629629631</v>
      </c>
      <c r="AF64" s="175"/>
    </row>
    <row r="65" spans="1:32" x14ac:dyDescent="0.25">
      <c r="A65" s="174" t="s">
        <v>484</v>
      </c>
      <c r="B65" s="174" t="s">
        <v>743</v>
      </c>
      <c r="C65" s="174" t="s">
        <v>478</v>
      </c>
      <c r="D65" s="174" t="s">
        <v>558</v>
      </c>
      <c r="E65" s="176">
        <v>43164</v>
      </c>
      <c r="F65" s="176">
        <v>43166</v>
      </c>
      <c r="G65" s="174" t="s">
        <v>686</v>
      </c>
      <c r="H65" s="177" t="s">
        <v>466</v>
      </c>
      <c r="I65" s="174" t="s">
        <v>744</v>
      </c>
      <c r="J65" s="178">
        <v>2730000</v>
      </c>
      <c r="K65" s="178">
        <v>95.686000000000007</v>
      </c>
      <c r="L65" s="178">
        <v>4.6760361575999996</v>
      </c>
      <c r="M65" s="178">
        <v>2629432.4875000003</v>
      </c>
      <c r="N65" s="174" t="s">
        <v>337</v>
      </c>
      <c r="O65" s="174" t="s">
        <v>745</v>
      </c>
      <c r="P65" s="174" t="s">
        <v>22</v>
      </c>
      <c r="Q65" s="174" t="s">
        <v>129</v>
      </c>
      <c r="R65" s="174" t="s">
        <v>746</v>
      </c>
      <c r="S65" s="174" t="s">
        <v>132</v>
      </c>
      <c r="T65" s="175"/>
      <c r="U65" s="175"/>
      <c r="V65" s="174" t="s">
        <v>747</v>
      </c>
      <c r="W65" s="174" t="s">
        <v>560</v>
      </c>
      <c r="X65" s="174" t="s">
        <v>22</v>
      </c>
      <c r="Y65" s="174"/>
      <c r="Z65" s="175"/>
      <c r="AA65" s="174" t="s">
        <v>512</v>
      </c>
      <c r="AB65" s="176">
        <v>43164.57135416667</v>
      </c>
      <c r="AC65" s="174" t="s">
        <v>746</v>
      </c>
      <c r="AD65" s="176">
        <v>43164.565671296295</v>
      </c>
      <c r="AE65" s="176">
        <v>43164.565740740742</v>
      </c>
      <c r="AF65" s="175"/>
    </row>
    <row r="66" spans="1:32" x14ac:dyDescent="0.25">
      <c r="A66" s="174" t="s">
        <v>461</v>
      </c>
      <c r="B66" s="174" t="s">
        <v>748</v>
      </c>
      <c r="C66" s="174" t="s">
        <v>478</v>
      </c>
      <c r="D66" s="174" t="s">
        <v>558</v>
      </c>
      <c r="E66" s="176">
        <v>43164</v>
      </c>
      <c r="F66" s="176">
        <v>43165</v>
      </c>
      <c r="G66" s="174" t="s">
        <v>686</v>
      </c>
      <c r="H66" s="179" t="s">
        <v>486</v>
      </c>
      <c r="I66" s="174" t="s">
        <v>475</v>
      </c>
      <c r="J66" s="178">
        <v>2421000</v>
      </c>
      <c r="K66" s="178">
        <v>99</v>
      </c>
      <c r="L66" s="178">
        <v>2.8661455599000001</v>
      </c>
      <c r="M66" s="178">
        <v>-2400284.39917127</v>
      </c>
      <c r="N66" s="174" t="s">
        <v>337</v>
      </c>
      <c r="O66" s="174" t="s">
        <v>476</v>
      </c>
      <c r="P66" s="174" t="s">
        <v>22</v>
      </c>
      <c r="Q66" s="174" t="s">
        <v>129</v>
      </c>
      <c r="R66" s="174" t="s">
        <v>749</v>
      </c>
      <c r="S66" s="174" t="s">
        <v>132</v>
      </c>
      <c r="T66" s="175"/>
      <c r="U66" s="175"/>
      <c r="V66" s="174" t="s">
        <v>469</v>
      </c>
      <c r="W66" s="174" t="s">
        <v>560</v>
      </c>
      <c r="X66" s="174" t="s">
        <v>22</v>
      </c>
      <c r="Y66" s="174"/>
      <c r="Z66" s="175"/>
      <c r="AA66" s="174" t="s">
        <v>512</v>
      </c>
      <c r="AB66" s="176">
        <v>43164.57135416667</v>
      </c>
      <c r="AC66" s="174" t="s">
        <v>749</v>
      </c>
      <c r="AD66" s="176">
        <v>43164.565706018519</v>
      </c>
      <c r="AE66" s="176">
        <v>43164.565787037034</v>
      </c>
      <c r="AF66" s="175"/>
    </row>
    <row r="67" spans="1:32" x14ac:dyDescent="0.25">
      <c r="A67" s="174" t="s">
        <v>461</v>
      </c>
      <c r="B67" s="174" t="s">
        <v>750</v>
      </c>
      <c r="C67" s="174" t="s">
        <v>463</v>
      </c>
      <c r="D67" s="174" t="s">
        <v>623</v>
      </c>
      <c r="E67" s="176">
        <v>43164</v>
      </c>
      <c r="F67" s="176">
        <v>43165</v>
      </c>
      <c r="G67" s="174" t="s">
        <v>686</v>
      </c>
      <c r="H67" s="179" t="s">
        <v>486</v>
      </c>
      <c r="I67" s="174" t="s">
        <v>624</v>
      </c>
      <c r="J67" s="178">
        <v>100000000</v>
      </c>
      <c r="K67" s="178">
        <v>100.1875</v>
      </c>
      <c r="L67" s="178">
        <v>-4.3922228100000002E-2</v>
      </c>
      <c r="M67" s="178">
        <v>-105549788.07692307</v>
      </c>
      <c r="N67" s="174" t="s">
        <v>337</v>
      </c>
      <c r="O67" s="174" t="s">
        <v>625</v>
      </c>
      <c r="P67" s="174" t="s">
        <v>22</v>
      </c>
      <c r="Q67" s="174" t="s">
        <v>129</v>
      </c>
      <c r="R67" s="174" t="s">
        <v>751</v>
      </c>
      <c r="S67" s="174" t="s">
        <v>132</v>
      </c>
      <c r="T67" s="175"/>
      <c r="U67" s="175"/>
      <c r="V67" s="174" t="s">
        <v>469</v>
      </c>
      <c r="W67" s="174" t="s">
        <v>627</v>
      </c>
      <c r="X67" s="174" t="s">
        <v>22</v>
      </c>
      <c r="Y67" s="174"/>
      <c r="Z67" s="175"/>
      <c r="AA67" s="174" t="s">
        <v>628</v>
      </c>
      <c r="AB67" s="176">
        <v>43164.506192129629</v>
      </c>
      <c r="AC67" s="174" t="s">
        <v>751</v>
      </c>
      <c r="AD67" s="176">
        <v>43164.589930555558</v>
      </c>
      <c r="AE67" s="176">
        <v>43164.589930555558</v>
      </c>
      <c r="AF67" s="175"/>
    </row>
    <row r="68" spans="1:32" x14ac:dyDescent="0.25">
      <c r="A68" s="174" t="s">
        <v>461</v>
      </c>
      <c r="B68" s="174" t="s">
        <v>752</v>
      </c>
      <c r="C68" s="174" t="s">
        <v>463</v>
      </c>
      <c r="D68" s="174" t="s">
        <v>753</v>
      </c>
      <c r="E68" s="176">
        <v>43164</v>
      </c>
      <c r="F68" s="176">
        <v>43165</v>
      </c>
      <c r="G68" s="174" t="s">
        <v>686</v>
      </c>
      <c r="H68" s="179" t="s">
        <v>486</v>
      </c>
      <c r="I68" s="174" t="s">
        <v>754</v>
      </c>
      <c r="J68" s="178">
        <v>11000000</v>
      </c>
      <c r="K68" s="178">
        <v>94.909841999999998</v>
      </c>
      <c r="L68" s="178">
        <v>2.8546060190000002</v>
      </c>
      <c r="M68" s="178">
        <v>-10515973.5039779</v>
      </c>
      <c r="N68" s="174" t="s">
        <v>337</v>
      </c>
      <c r="O68" s="174" t="s">
        <v>755</v>
      </c>
      <c r="P68" s="174" t="s">
        <v>22</v>
      </c>
      <c r="Q68" s="174" t="s">
        <v>129</v>
      </c>
      <c r="R68" s="174" t="s">
        <v>756</v>
      </c>
      <c r="S68" s="174" t="s">
        <v>132</v>
      </c>
      <c r="T68" s="175"/>
      <c r="U68" s="175"/>
      <c r="V68" s="174" t="s">
        <v>469</v>
      </c>
      <c r="W68" s="174" t="s">
        <v>757</v>
      </c>
      <c r="X68" s="174" t="s">
        <v>22</v>
      </c>
      <c r="Y68" s="174"/>
      <c r="Z68" s="175"/>
      <c r="AA68" s="174" t="s">
        <v>512</v>
      </c>
      <c r="AB68" s="176">
        <v>43164.610729166663</v>
      </c>
      <c r="AC68" s="174" t="s">
        <v>756</v>
      </c>
      <c r="AD68" s="176">
        <v>43164.607303240744</v>
      </c>
      <c r="AE68" s="176">
        <v>43164.607372685183</v>
      </c>
      <c r="AF68" s="175"/>
    </row>
    <row r="69" spans="1:32" x14ac:dyDescent="0.25">
      <c r="A69" s="174" t="s">
        <v>461</v>
      </c>
      <c r="B69" s="174" t="s">
        <v>758</v>
      </c>
      <c r="C69" s="174" t="s">
        <v>463</v>
      </c>
      <c r="D69" s="174" t="s">
        <v>753</v>
      </c>
      <c r="E69" s="176">
        <v>43164</v>
      </c>
      <c r="F69" s="176">
        <v>43165</v>
      </c>
      <c r="G69" s="174" t="s">
        <v>686</v>
      </c>
      <c r="H69" s="177" t="s">
        <v>466</v>
      </c>
      <c r="I69" s="174" t="s">
        <v>475</v>
      </c>
      <c r="J69" s="178">
        <v>10500000</v>
      </c>
      <c r="K69" s="178">
        <v>99.2890625</v>
      </c>
      <c r="L69" s="178">
        <v>2.8324057090000001</v>
      </c>
      <c r="M69" s="178">
        <v>10440506.949240331</v>
      </c>
      <c r="N69" s="174" t="s">
        <v>337</v>
      </c>
      <c r="O69" s="174" t="s">
        <v>476</v>
      </c>
      <c r="P69" s="174" t="s">
        <v>22</v>
      </c>
      <c r="Q69" s="174" t="s">
        <v>129</v>
      </c>
      <c r="R69" s="174" t="s">
        <v>759</v>
      </c>
      <c r="S69" s="174" t="s">
        <v>132</v>
      </c>
      <c r="T69" s="175"/>
      <c r="U69" s="175"/>
      <c r="V69" s="174" t="s">
        <v>469</v>
      </c>
      <c r="W69" s="174" t="s">
        <v>757</v>
      </c>
      <c r="X69" s="174" t="s">
        <v>22</v>
      </c>
      <c r="Y69" s="174"/>
      <c r="Z69" s="175"/>
      <c r="AA69" s="174" t="s">
        <v>512</v>
      </c>
      <c r="AB69" s="176">
        <v>43164.610729166663</v>
      </c>
      <c r="AC69" s="174" t="s">
        <v>759</v>
      </c>
      <c r="AD69" s="176">
        <v>43164.607303240744</v>
      </c>
      <c r="AE69" s="176">
        <v>43164.60738425926</v>
      </c>
      <c r="AF69" s="175"/>
    </row>
    <row r="70" spans="1:32" x14ac:dyDescent="0.25">
      <c r="A70" s="174" t="s">
        <v>461</v>
      </c>
      <c r="B70" s="174" t="s">
        <v>760</v>
      </c>
      <c r="C70" s="174" t="s">
        <v>463</v>
      </c>
      <c r="D70" s="174" t="s">
        <v>553</v>
      </c>
      <c r="E70" s="176">
        <v>43164</v>
      </c>
      <c r="F70" s="176">
        <v>43165</v>
      </c>
      <c r="G70" s="174" t="s">
        <v>686</v>
      </c>
      <c r="H70" s="177" t="s">
        <v>466</v>
      </c>
      <c r="I70" s="174" t="s">
        <v>754</v>
      </c>
      <c r="J70" s="178">
        <v>200000000</v>
      </c>
      <c r="K70" s="178">
        <v>94.432490000000001</v>
      </c>
      <c r="L70" s="178">
        <v>2.9131858454000001</v>
      </c>
      <c r="M70" s="178">
        <v>190244814.25414363</v>
      </c>
      <c r="N70" s="174" t="s">
        <v>337</v>
      </c>
      <c r="O70" s="174" t="s">
        <v>755</v>
      </c>
      <c r="P70" s="174" t="s">
        <v>22</v>
      </c>
      <c r="Q70" s="174" t="s">
        <v>129</v>
      </c>
      <c r="R70" s="174" t="s">
        <v>761</v>
      </c>
      <c r="S70" s="174" t="s">
        <v>132</v>
      </c>
      <c r="T70" s="175"/>
      <c r="U70" s="175"/>
      <c r="V70" s="174" t="s">
        <v>469</v>
      </c>
      <c r="W70" s="174" t="s">
        <v>555</v>
      </c>
      <c r="X70" s="174" t="s">
        <v>22</v>
      </c>
      <c r="Y70" s="174"/>
      <c r="Z70" s="175"/>
      <c r="AA70" s="174" t="s">
        <v>512</v>
      </c>
      <c r="AB70" s="176">
        <v>43164.623680555553</v>
      </c>
      <c r="AC70" s="174" t="s">
        <v>761</v>
      </c>
      <c r="AD70" s="176">
        <v>43164.619467592594</v>
      </c>
      <c r="AE70" s="176">
        <v>43164.619513888887</v>
      </c>
      <c r="AF70" s="175"/>
    </row>
    <row r="71" spans="1:32" x14ac:dyDescent="0.25">
      <c r="A71" s="174" t="s">
        <v>484</v>
      </c>
      <c r="B71" s="174" t="s">
        <v>762</v>
      </c>
      <c r="C71" s="174" t="s">
        <v>478</v>
      </c>
      <c r="D71" s="174" t="s">
        <v>491</v>
      </c>
      <c r="E71" s="176">
        <v>43164</v>
      </c>
      <c r="F71" s="176">
        <v>43166</v>
      </c>
      <c r="G71" s="174" t="s">
        <v>686</v>
      </c>
      <c r="H71" s="179" t="s">
        <v>486</v>
      </c>
      <c r="I71" s="174" t="s">
        <v>763</v>
      </c>
      <c r="J71" s="178">
        <v>4550000</v>
      </c>
      <c r="K71" s="178">
        <v>100.25</v>
      </c>
      <c r="L71" s="178">
        <v>6.2104153841</v>
      </c>
      <c r="M71" s="178">
        <v>-4566114.5833333302</v>
      </c>
      <c r="N71" s="174" t="s">
        <v>337</v>
      </c>
      <c r="O71" s="174" t="s">
        <v>764</v>
      </c>
      <c r="P71" s="174" t="s">
        <v>22</v>
      </c>
      <c r="Q71" s="174" t="s">
        <v>129</v>
      </c>
      <c r="R71" s="174" t="s">
        <v>765</v>
      </c>
      <c r="S71" s="174" t="s">
        <v>132</v>
      </c>
      <c r="T71" s="175"/>
      <c r="U71" s="175"/>
      <c r="V71" s="174" t="s">
        <v>766</v>
      </c>
      <c r="W71" s="174" t="s">
        <v>494</v>
      </c>
      <c r="X71" s="174" t="s">
        <v>22</v>
      </c>
      <c r="Y71" s="174"/>
      <c r="Z71" s="175"/>
      <c r="AA71" s="174" t="s">
        <v>512</v>
      </c>
      <c r="AB71" s="176">
        <v>43164.643252314818</v>
      </c>
      <c r="AC71" s="174" t="s">
        <v>765</v>
      </c>
      <c r="AD71" s="176">
        <v>43164.637187499997</v>
      </c>
      <c r="AE71" s="176">
        <v>43164.637280092589</v>
      </c>
      <c r="AF71" s="175"/>
    </row>
    <row r="72" spans="1:32" x14ac:dyDescent="0.25">
      <c r="A72" s="174" t="s">
        <v>461</v>
      </c>
      <c r="B72" s="174" t="s">
        <v>767</v>
      </c>
      <c r="C72" s="174" t="s">
        <v>478</v>
      </c>
      <c r="D72" s="174" t="s">
        <v>768</v>
      </c>
      <c r="E72" s="176">
        <v>43164</v>
      </c>
      <c r="F72" s="176">
        <v>43165</v>
      </c>
      <c r="G72" s="174" t="s">
        <v>686</v>
      </c>
      <c r="H72" s="179" t="s">
        <v>486</v>
      </c>
      <c r="I72" s="174" t="s">
        <v>475</v>
      </c>
      <c r="J72" s="178">
        <v>1800000</v>
      </c>
      <c r="K72" s="178">
        <v>98.875</v>
      </c>
      <c r="L72" s="178">
        <v>2.8807705845</v>
      </c>
      <c r="M72" s="178">
        <v>-1782348.06629834</v>
      </c>
      <c r="N72" s="174" t="s">
        <v>337</v>
      </c>
      <c r="O72" s="174" t="s">
        <v>476</v>
      </c>
      <c r="P72" s="174" t="s">
        <v>22</v>
      </c>
      <c r="Q72" s="174" t="s">
        <v>129</v>
      </c>
      <c r="R72" s="174" t="s">
        <v>769</v>
      </c>
      <c r="S72" s="174" t="s">
        <v>132</v>
      </c>
      <c r="T72" s="175"/>
      <c r="U72" s="175"/>
      <c r="V72" s="174" t="s">
        <v>469</v>
      </c>
      <c r="W72" s="174" t="s">
        <v>770</v>
      </c>
      <c r="X72" s="174" t="s">
        <v>22</v>
      </c>
      <c r="Y72" s="174"/>
      <c r="Z72" s="175"/>
      <c r="AA72" s="174" t="s">
        <v>512</v>
      </c>
      <c r="AB72" s="176">
        <v>43164.675798611112</v>
      </c>
      <c r="AC72" s="174" t="s">
        <v>769</v>
      </c>
      <c r="AD72" s="176">
        <v>43164.670902777776</v>
      </c>
      <c r="AE72" s="176">
        <v>43164.670983796299</v>
      </c>
      <c r="AF72" s="175"/>
    </row>
    <row r="73" spans="1:32" x14ac:dyDescent="0.25">
      <c r="A73" s="174" t="s">
        <v>484</v>
      </c>
      <c r="B73" s="174" t="s">
        <v>771</v>
      </c>
      <c r="C73" s="174" t="s">
        <v>478</v>
      </c>
      <c r="D73" s="174" t="s">
        <v>768</v>
      </c>
      <c r="E73" s="176">
        <v>43164</v>
      </c>
      <c r="F73" s="176">
        <v>43166</v>
      </c>
      <c r="G73" s="174" t="s">
        <v>686</v>
      </c>
      <c r="H73" s="177" t="s">
        <v>466</v>
      </c>
      <c r="I73" s="174" t="s">
        <v>772</v>
      </c>
      <c r="J73" s="178">
        <v>2000000</v>
      </c>
      <c r="K73" s="178">
        <v>95.704999999999998</v>
      </c>
      <c r="L73" s="178">
        <v>4.4805137462999998</v>
      </c>
      <c r="M73" s="178">
        <v>1950527.7777777801</v>
      </c>
      <c r="N73" s="174" t="s">
        <v>337</v>
      </c>
      <c r="O73" s="174" t="s">
        <v>773</v>
      </c>
      <c r="P73" s="174" t="s">
        <v>22</v>
      </c>
      <c r="Q73" s="174" t="s">
        <v>129</v>
      </c>
      <c r="R73" s="174" t="s">
        <v>774</v>
      </c>
      <c r="S73" s="174" t="s">
        <v>132</v>
      </c>
      <c r="T73" s="175"/>
      <c r="U73" s="175"/>
      <c r="V73" s="174" t="s">
        <v>489</v>
      </c>
      <c r="W73" s="174" t="s">
        <v>770</v>
      </c>
      <c r="X73" s="174" t="s">
        <v>22</v>
      </c>
      <c r="Y73" s="174"/>
      <c r="Z73" s="175"/>
      <c r="AA73" s="174" t="s">
        <v>512</v>
      </c>
      <c r="AB73" s="176">
        <v>43164.675798611112</v>
      </c>
      <c r="AC73" s="174" t="s">
        <v>774</v>
      </c>
      <c r="AD73" s="176">
        <v>43164.670949074076</v>
      </c>
      <c r="AE73" s="176">
        <v>43164.671030092592</v>
      </c>
      <c r="AF73" s="175"/>
    </row>
    <row r="74" spans="1:32" x14ac:dyDescent="0.25">
      <c r="A74" s="174" t="s">
        <v>461</v>
      </c>
      <c r="B74" s="174" t="s">
        <v>775</v>
      </c>
      <c r="C74" s="174" t="s">
        <v>463</v>
      </c>
      <c r="D74" s="174" t="s">
        <v>708</v>
      </c>
      <c r="E74" s="176">
        <v>43164</v>
      </c>
      <c r="F74" s="176">
        <v>43165</v>
      </c>
      <c r="G74" s="174" t="s">
        <v>686</v>
      </c>
      <c r="H74" s="179" t="s">
        <v>486</v>
      </c>
      <c r="I74" s="174" t="s">
        <v>776</v>
      </c>
      <c r="J74" s="178">
        <v>67600000</v>
      </c>
      <c r="K74" s="178">
        <v>98.25</v>
      </c>
      <c r="L74" s="178">
        <v>0.61902712309999997</v>
      </c>
      <c r="M74" s="178">
        <v>-69141326.811132595</v>
      </c>
      <c r="N74" s="174" t="s">
        <v>337</v>
      </c>
      <c r="O74" s="174" t="s">
        <v>777</v>
      </c>
      <c r="P74" s="174" t="s">
        <v>23</v>
      </c>
      <c r="Q74" s="174" t="s">
        <v>129</v>
      </c>
      <c r="R74" s="175"/>
      <c r="S74" s="175"/>
      <c r="T74" s="175"/>
      <c r="U74" s="175"/>
      <c r="V74" s="174" t="s">
        <v>469</v>
      </c>
      <c r="W74" s="174" t="s">
        <v>712</v>
      </c>
      <c r="X74" s="174" t="s">
        <v>24</v>
      </c>
      <c r="Y74" s="174"/>
      <c r="Z74" s="174" t="s">
        <v>778</v>
      </c>
      <c r="AA74" s="174" t="s">
        <v>472</v>
      </c>
      <c r="AB74" s="176">
        <v>43164.551620370374</v>
      </c>
      <c r="AC74" s="175"/>
      <c r="AD74" s="176">
        <v>43165.396064814813</v>
      </c>
      <c r="AE74" s="176">
        <v>43165.396064814813</v>
      </c>
      <c r="AF74" s="175"/>
    </row>
    <row r="75" spans="1:32" x14ac:dyDescent="0.25">
      <c r="A75" s="174" t="s">
        <v>461</v>
      </c>
      <c r="B75" s="174" t="s">
        <v>779</v>
      </c>
      <c r="C75" s="174" t="s">
        <v>463</v>
      </c>
      <c r="D75" s="174" t="s">
        <v>708</v>
      </c>
      <c r="E75" s="176">
        <v>43164</v>
      </c>
      <c r="F75" s="176">
        <v>43165</v>
      </c>
      <c r="G75" s="174" t="s">
        <v>686</v>
      </c>
      <c r="H75" s="177" t="s">
        <v>466</v>
      </c>
      <c r="I75" s="174" t="s">
        <v>780</v>
      </c>
      <c r="J75" s="178">
        <v>77300000</v>
      </c>
      <c r="K75" s="178">
        <v>94.405918999999997</v>
      </c>
      <c r="L75" s="178">
        <v>2.8385229814000001</v>
      </c>
      <c r="M75" s="178">
        <v>73056919.033408836</v>
      </c>
      <c r="N75" s="174" t="s">
        <v>337</v>
      </c>
      <c r="O75" s="174" t="s">
        <v>781</v>
      </c>
      <c r="P75" s="174" t="s">
        <v>23</v>
      </c>
      <c r="Q75" s="174" t="s">
        <v>129</v>
      </c>
      <c r="R75" s="175"/>
      <c r="S75" s="175"/>
      <c r="T75" s="175"/>
      <c r="U75" s="175"/>
      <c r="V75" s="174" t="s">
        <v>469</v>
      </c>
      <c r="W75" s="174" t="s">
        <v>712</v>
      </c>
      <c r="X75" s="174" t="s">
        <v>24</v>
      </c>
      <c r="Y75" s="174"/>
      <c r="Z75" s="174" t="s">
        <v>778</v>
      </c>
      <c r="AA75" s="174" t="s">
        <v>472</v>
      </c>
      <c r="AB75" s="176">
        <v>43164.551620370374</v>
      </c>
      <c r="AC75" s="175"/>
      <c r="AD75" s="176">
        <v>43165.39607638889</v>
      </c>
      <c r="AE75" s="176">
        <v>43165.39607638889</v>
      </c>
      <c r="AF75" s="175"/>
    </row>
    <row r="76" spans="1:32" x14ac:dyDescent="0.25">
      <c r="A76" s="174" t="s">
        <v>461</v>
      </c>
      <c r="B76" s="174" t="s">
        <v>782</v>
      </c>
      <c r="C76" s="174" t="s">
        <v>463</v>
      </c>
      <c r="D76" s="174" t="s">
        <v>783</v>
      </c>
      <c r="E76" s="176">
        <v>43164</v>
      </c>
      <c r="F76" s="176">
        <v>43165</v>
      </c>
      <c r="G76" s="174" t="s">
        <v>686</v>
      </c>
      <c r="H76" s="179" t="s">
        <v>486</v>
      </c>
      <c r="I76" s="174" t="s">
        <v>776</v>
      </c>
      <c r="J76" s="178">
        <v>33800000</v>
      </c>
      <c r="K76" s="178">
        <v>98.25</v>
      </c>
      <c r="L76" s="178">
        <v>0.61902712309999997</v>
      </c>
      <c r="M76" s="178">
        <v>-34570663.405566297</v>
      </c>
      <c r="N76" s="174" t="s">
        <v>337</v>
      </c>
      <c r="O76" s="174" t="s">
        <v>777</v>
      </c>
      <c r="P76" s="174" t="s">
        <v>23</v>
      </c>
      <c r="Q76" s="174" t="s">
        <v>129</v>
      </c>
      <c r="R76" s="175"/>
      <c r="S76" s="175"/>
      <c r="T76" s="175"/>
      <c r="U76" s="175"/>
      <c r="V76" s="174" t="s">
        <v>469</v>
      </c>
      <c r="W76" s="174" t="s">
        <v>784</v>
      </c>
      <c r="X76" s="174" t="s">
        <v>24</v>
      </c>
      <c r="Y76" s="174"/>
      <c r="Z76" s="174" t="s">
        <v>778</v>
      </c>
      <c r="AA76" s="174" t="s">
        <v>472</v>
      </c>
      <c r="AB76" s="176">
        <v>43164.551620370374</v>
      </c>
      <c r="AC76" s="175"/>
      <c r="AD76" s="176">
        <v>43165.396087962959</v>
      </c>
      <c r="AE76" s="176">
        <v>43165.396087962959</v>
      </c>
      <c r="AF76" s="175"/>
    </row>
    <row r="77" spans="1:32" x14ac:dyDescent="0.25">
      <c r="A77" s="174" t="s">
        <v>461</v>
      </c>
      <c r="B77" s="174" t="s">
        <v>785</v>
      </c>
      <c r="C77" s="174" t="s">
        <v>463</v>
      </c>
      <c r="D77" s="174" t="s">
        <v>783</v>
      </c>
      <c r="E77" s="176">
        <v>43164</v>
      </c>
      <c r="F77" s="176">
        <v>43165</v>
      </c>
      <c r="G77" s="174" t="s">
        <v>686</v>
      </c>
      <c r="H77" s="177" t="s">
        <v>466</v>
      </c>
      <c r="I77" s="174" t="s">
        <v>780</v>
      </c>
      <c r="J77" s="178">
        <v>38700000</v>
      </c>
      <c r="K77" s="178">
        <v>94.405918999999997</v>
      </c>
      <c r="L77" s="178">
        <v>2.8385229814000001</v>
      </c>
      <c r="M77" s="178">
        <v>36575714.962392271</v>
      </c>
      <c r="N77" s="174" t="s">
        <v>337</v>
      </c>
      <c r="O77" s="174" t="s">
        <v>781</v>
      </c>
      <c r="P77" s="174" t="s">
        <v>23</v>
      </c>
      <c r="Q77" s="174" t="s">
        <v>129</v>
      </c>
      <c r="R77" s="175"/>
      <c r="S77" s="175"/>
      <c r="T77" s="175"/>
      <c r="U77" s="175"/>
      <c r="V77" s="174" t="s">
        <v>469</v>
      </c>
      <c r="W77" s="174" t="s">
        <v>784</v>
      </c>
      <c r="X77" s="174" t="s">
        <v>24</v>
      </c>
      <c r="Y77" s="174"/>
      <c r="Z77" s="174" t="s">
        <v>778</v>
      </c>
      <c r="AA77" s="174" t="s">
        <v>472</v>
      </c>
      <c r="AB77" s="176">
        <v>43165.150069444448</v>
      </c>
      <c r="AC77" s="175"/>
      <c r="AD77" s="176">
        <v>43165.396111111113</v>
      </c>
      <c r="AE77" s="176">
        <v>43165.396111111113</v>
      </c>
      <c r="AF77" s="175"/>
    </row>
    <row r="78" spans="1:32" x14ac:dyDescent="0.25">
      <c r="A78" s="174" t="s">
        <v>651</v>
      </c>
      <c r="B78" s="174" t="s">
        <v>786</v>
      </c>
      <c r="C78" s="174" t="s">
        <v>653</v>
      </c>
      <c r="D78" s="174" t="s">
        <v>647</v>
      </c>
      <c r="E78" s="176">
        <v>43164</v>
      </c>
      <c r="F78" s="176">
        <v>43172</v>
      </c>
      <c r="G78" s="174" t="s">
        <v>686</v>
      </c>
      <c r="H78" s="177" t="s">
        <v>466</v>
      </c>
      <c r="I78" s="174" t="s">
        <v>787</v>
      </c>
      <c r="J78" s="178">
        <v>7000000</v>
      </c>
      <c r="K78" s="178">
        <v>96.6171875</v>
      </c>
      <c r="L78" s="178">
        <v>3.1642862073</v>
      </c>
      <c r="M78" s="178">
        <v>6763203.1249999991</v>
      </c>
      <c r="N78" s="174" t="s">
        <v>337</v>
      </c>
      <c r="O78" s="174" t="s">
        <v>788</v>
      </c>
      <c r="P78" s="174" t="s">
        <v>22</v>
      </c>
      <c r="Q78" s="174" t="s">
        <v>129</v>
      </c>
      <c r="R78" s="174" t="s">
        <v>789</v>
      </c>
      <c r="S78" s="174" t="s">
        <v>132</v>
      </c>
      <c r="T78" s="175"/>
      <c r="U78" s="175"/>
      <c r="V78" s="174" t="s">
        <v>651</v>
      </c>
      <c r="W78" s="174" t="s">
        <v>650</v>
      </c>
      <c r="X78" s="174" t="s">
        <v>22</v>
      </c>
      <c r="Y78" s="174"/>
      <c r="Z78" s="175"/>
      <c r="AA78" s="174"/>
      <c r="AB78" s="176">
        <v>43164.587083333332</v>
      </c>
      <c r="AC78" s="174" t="s">
        <v>789</v>
      </c>
      <c r="AD78" s="176">
        <v>43164.583124999997</v>
      </c>
      <c r="AE78" s="176">
        <v>43164.619340277779</v>
      </c>
      <c r="AF78" s="175"/>
    </row>
    <row r="79" spans="1:32" x14ac:dyDescent="0.25">
      <c r="A79" s="174" t="s">
        <v>461</v>
      </c>
      <c r="B79" s="174" t="s">
        <v>790</v>
      </c>
      <c r="C79" s="174" t="s">
        <v>566</v>
      </c>
      <c r="D79" s="174" t="s">
        <v>676</v>
      </c>
      <c r="E79" s="176">
        <v>43164</v>
      </c>
      <c r="F79" s="176">
        <v>43166</v>
      </c>
      <c r="G79" s="174" t="s">
        <v>791</v>
      </c>
      <c r="H79" s="177" t="s">
        <v>466</v>
      </c>
      <c r="I79" s="174" t="s">
        <v>792</v>
      </c>
      <c r="J79" s="178">
        <v>54000000</v>
      </c>
      <c r="K79" s="178">
        <v>100.98739999999999</v>
      </c>
      <c r="L79" s="178">
        <v>-0.64410288120000003</v>
      </c>
      <c r="M79" s="178">
        <v>54533196</v>
      </c>
      <c r="N79" s="174" t="s">
        <v>386</v>
      </c>
      <c r="O79" s="174" t="s">
        <v>793</v>
      </c>
      <c r="P79" s="174" t="s">
        <v>23</v>
      </c>
      <c r="Q79" s="174" t="s">
        <v>130</v>
      </c>
      <c r="R79" s="175"/>
      <c r="S79" s="175"/>
      <c r="T79" s="175"/>
      <c r="U79" s="175"/>
      <c r="V79" s="174" t="s">
        <v>575</v>
      </c>
      <c r="W79" s="174" t="s">
        <v>683</v>
      </c>
      <c r="X79" s="174" t="s">
        <v>24</v>
      </c>
      <c r="Y79" s="174"/>
      <c r="Z79" s="174" t="s">
        <v>794</v>
      </c>
      <c r="AA79" s="174" t="s">
        <v>795</v>
      </c>
      <c r="AB79" s="175"/>
      <c r="AC79" s="175"/>
      <c r="AD79" s="176">
        <v>43164.384965277779</v>
      </c>
      <c r="AE79" s="176">
        <v>43164.384965277779</v>
      </c>
      <c r="AF79" s="175"/>
    </row>
    <row r="80" spans="1:32" x14ac:dyDescent="0.25">
      <c r="A80" s="174" t="s">
        <v>461</v>
      </c>
      <c r="B80" s="174" t="s">
        <v>796</v>
      </c>
      <c r="C80" s="174" t="s">
        <v>566</v>
      </c>
      <c r="D80" s="174" t="s">
        <v>676</v>
      </c>
      <c r="E80" s="176">
        <v>43164</v>
      </c>
      <c r="F80" s="176">
        <v>43166</v>
      </c>
      <c r="G80" s="174" t="s">
        <v>791</v>
      </c>
      <c r="H80" s="177" t="s">
        <v>466</v>
      </c>
      <c r="I80" s="174" t="s">
        <v>572</v>
      </c>
      <c r="J80" s="178">
        <v>36000000</v>
      </c>
      <c r="K80" s="178">
        <v>100.5467</v>
      </c>
      <c r="L80" s="178">
        <v>-0.11880751740000001</v>
      </c>
      <c r="M80" s="178">
        <v>36196812</v>
      </c>
      <c r="N80" s="174" t="s">
        <v>386</v>
      </c>
      <c r="O80" s="174" t="s">
        <v>573</v>
      </c>
      <c r="P80" s="174" t="s">
        <v>23</v>
      </c>
      <c r="Q80" s="174" t="s">
        <v>130</v>
      </c>
      <c r="R80" s="175"/>
      <c r="S80" s="175"/>
      <c r="T80" s="175"/>
      <c r="U80" s="175"/>
      <c r="V80" s="174" t="s">
        <v>575</v>
      </c>
      <c r="W80" s="174" t="s">
        <v>683</v>
      </c>
      <c r="X80" s="174" t="s">
        <v>24</v>
      </c>
      <c r="Y80" s="174"/>
      <c r="Z80" s="174" t="s">
        <v>794</v>
      </c>
      <c r="AA80" s="174" t="s">
        <v>795</v>
      </c>
      <c r="AB80" s="175"/>
      <c r="AC80" s="175"/>
      <c r="AD80" s="176">
        <v>43164.451354166667</v>
      </c>
      <c r="AE80" s="176">
        <v>43164.451354166667</v>
      </c>
      <c r="AF80" s="175"/>
    </row>
    <row r="81" spans="1:32" x14ac:dyDescent="0.25">
      <c r="A81" s="174" t="s">
        <v>461</v>
      </c>
      <c r="B81" s="174" t="s">
        <v>797</v>
      </c>
      <c r="C81" s="174" t="s">
        <v>463</v>
      </c>
      <c r="D81" s="174" t="s">
        <v>553</v>
      </c>
      <c r="E81" s="176">
        <v>43164</v>
      </c>
      <c r="F81" s="176">
        <v>43165</v>
      </c>
      <c r="G81" s="174" t="s">
        <v>791</v>
      </c>
      <c r="H81" s="179" t="s">
        <v>486</v>
      </c>
      <c r="I81" s="174" t="s">
        <v>798</v>
      </c>
      <c r="J81" s="178">
        <v>29000000</v>
      </c>
      <c r="K81" s="178">
        <v>98.83984375</v>
      </c>
      <c r="L81" s="178">
        <v>2.4216032284</v>
      </c>
      <c r="M81" s="178">
        <v>-28743665.184737571</v>
      </c>
      <c r="N81" s="174" t="s">
        <v>337</v>
      </c>
      <c r="O81" s="174" t="s">
        <v>799</v>
      </c>
      <c r="P81" s="174" t="s">
        <v>23</v>
      </c>
      <c r="Q81" s="174" t="s">
        <v>130</v>
      </c>
      <c r="R81" s="175"/>
      <c r="S81" s="175"/>
      <c r="T81" s="175"/>
      <c r="U81" s="175"/>
      <c r="V81" s="174" t="s">
        <v>469</v>
      </c>
      <c r="W81" s="174" t="s">
        <v>555</v>
      </c>
      <c r="X81" s="174" t="s">
        <v>24</v>
      </c>
      <c r="Y81" s="174"/>
      <c r="Z81" s="174" t="s">
        <v>800</v>
      </c>
      <c r="AA81" s="174" t="s">
        <v>483</v>
      </c>
      <c r="AB81" s="175"/>
      <c r="AC81" s="175"/>
      <c r="AD81" s="176">
        <v>43164.464548611111</v>
      </c>
      <c r="AE81" s="176">
        <v>43164.464548611111</v>
      </c>
      <c r="AF81" s="175"/>
    </row>
    <row r="82" spans="1:32" x14ac:dyDescent="0.25">
      <c r="A82" s="174" t="s">
        <v>461</v>
      </c>
      <c r="B82" s="174" t="s">
        <v>801</v>
      </c>
      <c r="C82" s="174" t="s">
        <v>463</v>
      </c>
      <c r="D82" s="174" t="s">
        <v>553</v>
      </c>
      <c r="E82" s="176">
        <v>43164</v>
      </c>
      <c r="F82" s="176">
        <v>43165</v>
      </c>
      <c r="G82" s="174" t="s">
        <v>791</v>
      </c>
      <c r="H82" s="177" t="s">
        <v>466</v>
      </c>
      <c r="I82" s="174" t="s">
        <v>524</v>
      </c>
      <c r="J82" s="178">
        <v>28050000</v>
      </c>
      <c r="K82" s="178">
        <v>99.5</v>
      </c>
      <c r="L82" s="178">
        <v>2.4265748014000001</v>
      </c>
      <c r="M82" s="178">
        <v>27942875.345303871</v>
      </c>
      <c r="N82" s="174" t="s">
        <v>337</v>
      </c>
      <c r="O82" s="174" t="s">
        <v>525</v>
      </c>
      <c r="P82" s="174" t="s">
        <v>23</v>
      </c>
      <c r="Q82" s="174" t="s">
        <v>130</v>
      </c>
      <c r="R82" s="175"/>
      <c r="S82" s="175"/>
      <c r="T82" s="175"/>
      <c r="U82" s="175"/>
      <c r="V82" s="174" t="s">
        <v>469</v>
      </c>
      <c r="W82" s="174" t="s">
        <v>555</v>
      </c>
      <c r="X82" s="174" t="s">
        <v>24</v>
      </c>
      <c r="Y82" s="174"/>
      <c r="Z82" s="174" t="s">
        <v>800</v>
      </c>
      <c r="AA82" s="174" t="s">
        <v>483</v>
      </c>
      <c r="AB82" s="175"/>
      <c r="AC82" s="175"/>
      <c r="AD82" s="176">
        <v>43164.464548611111</v>
      </c>
      <c r="AE82" s="176">
        <v>43164.464548611111</v>
      </c>
      <c r="AF82" s="175"/>
    </row>
    <row r="83" spans="1:32" x14ac:dyDescent="0.25">
      <c r="A83" s="174" t="s">
        <v>461</v>
      </c>
      <c r="B83" s="174" t="s">
        <v>802</v>
      </c>
      <c r="C83" s="174" t="s">
        <v>566</v>
      </c>
      <c r="D83" s="174" t="s">
        <v>676</v>
      </c>
      <c r="E83" s="176">
        <v>43164</v>
      </c>
      <c r="F83" s="176">
        <v>43166</v>
      </c>
      <c r="G83" s="174" t="s">
        <v>791</v>
      </c>
      <c r="H83" s="177" t="s">
        <v>466</v>
      </c>
      <c r="I83" s="174" t="s">
        <v>803</v>
      </c>
      <c r="J83" s="178">
        <v>18000000</v>
      </c>
      <c r="K83" s="178">
        <v>143.62950000000001</v>
      </c>
      <c r="L83" s="178">
        <v>1.1768487406000001</v>
      </c>
      <c r="M83" s="178">
        <v>26247583.97260274</v>
      </c>
      <c r="N83" s="174" t="s">
        <v>386</v>
      </c>
      <c r="O83" s="174" t="s">
        <v>804</v>
      </c>
      <c r="P83" s="174" t="s">
        <v>23</v>
      </c>
      <c r="Q83" s="174" t="s">
        <v>130</v>
      </c>
      <c r="R83" s="175"/>
      <c r="S83" s="175"/>
      <c r="T83" s="175"/>
      <c r="U83" s="175"/>
      <c r="V83" s="174" t="s">
        <v>575</v>
      </c>
      <c r="W83" s="174" t="s">
        <v>683</v>
      </c>
      <c r="X83" s="174" t="s">
        <v>24</v>
      </c>
      <c r="Y83" s="174"/>
      <c r="Z83" s="174" t="s">
        <v>794</v>
      </c>
      <c r="AA83" s="174" t="s">
        <v>483</v>
      </c>
      <c r="AB83" s="175"/>
      <c r="AC83" s="175"/>
      <c r="AD83" s="176">
        <v>43164.58116898148</v>
      </c>
      <c r="AE83" s="176">
        <v>43164.58116898148</v>
      </c>
      <c r="AF83" s="175"/>
    </row>
    <row r="84" spans="1:32" x14ac:dyDescent="0.25">
      <c r="A84" s="174" t="s">
        <v>461</v>
      </c>
      <c r="B84" s="174" t="s">
        <v>805</v>
      </c>
      <c r="C84" s="174" t="s">
        <v>463</v>
      </c>
      <c r="D84" s="174" t="s">
        <v>806</v>
      </c>
      <c r="E84" s="176">
        <v>43164</v>
      </c>
      <c r="F84" s="176">
        <v>43165</v>
      </c>
      <c r="G84" s="174" t="s">
        <v>791</v>
      </c>
      <c r="H84" s="179" t="s">
        <v>486</v>
      </c>
      <c r="I84" s="174" t="s">
        <v>807</v>
      </c>
      <c r="J84" s="178">
        <v>25000000</v>
      </c>
      <c r="K84" s="178">
        <v>94.637468749999996</v>
      </c>
      <c r="L84" s="178">
        <v>2.9029949463000002</v>
      </c>
      <c r="M84" s="178">
        <v>-23688890.668162983</v>
      </c>
      <c r="N84" s="174" t="s">
        <v>337</v>
      </c>
      <c r="O84" s="174" t="s">
        <v>808</v>
      </c>
      <c r="P84" s="174" t="s">
        <v>23</v>
      </c>
      <c r="Q84" s="174" t="s">
        <v>130</v>
      </c>
      <c r="R84" s="175"/>
      <c r="S84" s="175"/>
      <c r="T84" s="175"/>
      <c r="U84" s="175"/>
      <c r="V84" s="174" t="s">
        <v>469</v>
      </c>
      <c r="W84" s="174" t="s">
        <v>809</v>
      </c>
      <c r="X84" s="174" t="s">
        <v>24</v>
      </c>
      <c r="Y84" s="174"/>
      <c r="Z84" s="174" t="s">
        <v>810</v>
      </c>
      <c r="AA84" s="174" t="s">
        <v>483</v>
      </c>
      <c r="AB84" s="175"/>
      <c r="AC84" s="175"/>
      <c r="AD84" s="176">
        <v>43164.685694444444</v>
      </c>
      <c r="AE84" s="176">
        <v>43164.685694444444</v>
      </c>
      <c r="AF84" s="175"/>
    </row>
    <row r="85" spans="1:32" x14ac:dyDescent="0.25">
      <c r="A85" s="174" t="s">
        <v>461</v>
      </c>
      <c r="B85" s="174" t="s">
        <v>811</v>
      </c>
      <c r="C85" s="174" t="s">
        <v>463</v>
      </c>
      <c r="D85" s="174" t="s">
        <v>806</v>
      </c>
      <c r="E85" s="176">
        <v>43164</v>
      </c>
      <c r="F85" s="176">
        <v>43165</v>
      </c>
      <c r="G85" s="174" t="s">
        <v>791</v>
      </c>
      <c r="H85" s="177" t="s">
        <v>466</v>
      </c>
      <c r="I85" s="174" t="s">
        <v>475</v>
      </c>
      <c r="J85" s="178">
        <v>23250000</v>
      </c>
      <c r="K85" s="178">
        <v>98.875</v>
      </c>
      <c r="L85" s="178">
        <v>2.8807705845</v>
      </c>
      <c r="M85" s="178">
        <v>23021995.856353592</v>
      </c>
      <c r="N85" s="174" t="s">
        <v>337</v>
      </c>
      <c r="O85" s="174" t="s">
        <v>476</v>
      </c>
      <c r="P85" s="174" t="s">
        <v>23</v>
      </c>
      <c r="Q85" s="174" t="s">
        <v>130</v>
      </c>
      <c r="R85" s="175"/>
      <c r="S85" s="175"/>
      <c r="T85" s="175"/>
      <c r="U85" s="175"/>
      <c r="V85" s="174" t="s">
        <v>469</v>
      </c>
      <c r="W85" s="174" t="s">
        <v>809</v>
      </c>
      <c r="X85" s="174" t="s">
        <v>24</v>
      </c>
      <c r="Y85" s="174"/>
      <c r="Z85" s="174" t="s">
        <v>810</v>
      </c>
      <c r="AA85" s="174" t="s">
        <v>483</v>
      </c>
      <c r="AB85" s="175"/>
      <c r="AC85" s="175"/>
      <c r="AD85" s="176">
        <v>43164.685706018521</v>
      </c>
      <c r="AE85" s="176">
        <v>43164.685706018521</v>
      </c>
      <c r="AF85" s="175"/>
    </row>
    <row r="86" spans="1:32" x14ac:dyDescent="0.25">
      <c r="A86" s="174" t="s">
        <v>461</v>
      </c>
      <c r="B86" s="174" t="s">
        <v>812</v>
      </c>
      <c r="C86" s="174" t="s">
        <v>463</v>
      </c>
      <c r="D86" s="174" t="s">
        <v>806</v>
      </c>
      <c r="E86" s="176">
        <v>43164</v>
      </c>
      <c r="F86" s="176">
        <v>43165</v>
      </c>
      <c r="G86" s="174" t="s">
        <v>791</v>
      </c>
      <c r="H86" s="179" t="s">
        <v>486</v>
      </c>
      <c r="I86" s="174" t="s">
        <v>813</v>
      </c>
      <c r="J86" s="178">
        <v>15000000</v>
      </c>
      <c r="K86" s="178">
        <v>97.664812499999996</v>
      </c>
      <c r="L86" s="178">
        <v>3.1223469677</v>
      </c>
      <c r="M86" s="178">
        <v>-14787705.300414359</v>
      </c>
      <c r="N86" s="174" t="s">
        <v>337</v>
      </c>
      <c r="O86" s="174" t="s">
        <v>814</v>
      </c>
      <c r="P86" s="174" t="s">
        <v>23</v>
      </c>
      <c r="Q86" s="174" t="s">
        <v>130</v>
      </c>
      <c r="R86" s="175"/>
      <c r="S86" s="175"/>
      <c r="T86" s="175"/>
      <c r="U86" s="175"/>
      <c r="V86" s="174" t="s">
        <v>469</v>
      </c>
      <c r="W86" s="174" t="s">
        <v>809</v>
      </c>
      <c r="X86" s="174" t="s">
        <v>24</v>
      </c>
      <c r="Y86" s="174"/>
      <c r="Z86" s="174" t="s">
        <v>815</v>
      </c>
      <c r="AA86" s="174" t="s">
        <v>816</v>
      </c>
      <c r="AB86" s="175"/>
      <c r="AC86" s="175"/>
      <c r="AD86" s="176">
        <v>43165.301400462966</v>
      </c>
      <c r="AE86" s="176">
        <v>43165.301400462966</v>
      </c>
      <c r="AF86" s="175"/>
    </row>
    <row r="87" spans="1:32" x14ac:dyDescent="0.25">
      <c r="A87" s="174" t="s">
        <v>461</v>
      </c>
      <c r="B87" s="174" t="s">
        <v>817</v>
      </c>
      <c r="C87" s="174" t="s">
        <v>463</v>
      </c>
      <c r="D87" s="174" t="s">
        <v>806</v>
      </c>
      <c r="E87" s="176">
        <v>43164</v>
      </c>
      <c r="F87" s="176">
        <v>43165</v>
      </c>
      <c r="G87" s="174" t="s">
        <v>791</v>
      </c>
      <c r="H87" s="177" t="s">
        <v>466</v>
      </c>
      <c r="I87" s="174" t="s">
        <v>644</v>
      </c>
      <c r="J87" s="178">
        <v>14750000</v>
      </c>
      <c r="K87" s="178">
        <v>97.75</v>
      </c>
      <c r="L87" s="178">
        <v>3.1160490499</v>
      </c>
      <c r="M87" s="178">
        <v>14441350.138121549</v>
      </c>
      <c r="N87" s="174" t="s">
        <v>337</v>
      </c>
      <c r="O87" s="174" t="s">
        <v>645</v>
      </c>
      <c r="P87" s="174" t="s">
        <v>23</v>
      </c>
      <c r="Q87" s="174" t="s">
        <v>130</v>
      </c>
      <c r="R87" s="175"/>
      <c r="S87" s="175"/>
      <c r="T87" s="175"/>
      <c r="U87" s="175"/>
      <c r="V87" s="174" t="s">
        <v>469</v>
      </c>
      <c r="W87" s="174" t="s">
        <v>809</v>
      </c>
      <c r="X87" s="174" t="s">
        <v>24</v>
      </c>
      <c r="Y87" s="174"/>
      <c r="Z87" s="174" t="s">
        <v>815</v>
      </c>
      <c r="AA87" s="174" t="s">
        <v>816</v>
      </c>
      <c r="AB87" s="175"/>
      <c r="AC87" s="175"/>
      <c r="AD87" s="176">
        <v>43165.301412037035</v>
      </c>
      <c r="AE87" s="176">
        <v>43165.301412037035</v>
      </c>
      <c r="AF87" s="175"/>
    </row>
    <row r="88" spans="1:32" x14ac:dyDescent="0.25">
      <c r="A88" s="174" t="s">
        <v>651</v>
      </c>
      <c r="B88" s="174" t="s">
        <v>823</v>
      </c>
      <c r="C88" s="174" t="s">
        <v>824</v>
      </c>
      <c r="D88" s="174" t="s">
        <v>464</v>
      </c>
      <c r="E88" s="176">
        <v>43164</v>
      </c>
      <c r="F88" s="176">
        <v>43172</v>
      </c>
      <c r="G88" s="174" t="s">
        <v>819</v>
      </c>
      <c r="H88" s="179" t="s">
        <v>486</v>
      </c>
      <c r="I88" s="174" t="s">
        <v>825</v>
      </c>
      <c r="J88" s="178">
        <v>50000000</v>
      </c>
      <c r="K88" s="178">
        <v>99.9765625</v>
      </c>
      <c r="L88" s="178">
        <v>3.4885400943999998</v>
      </c>
      <c r="M88" s="178">
        <v>-49988281.249999993</v>
      </c>
      <c r="N88" s="174" t="s">
        <v>337</v>
      </c>
      <c r="O88" s="174" t="s">
        <v>826</v>
      </c>
      <c r="P88" s="174" t="s">
        <v>22</v>
      </c>
      <c r="Q88" s="174" t="s">
        <v>129</v>
      </c>
      <c r="R88" s="174" t="s">
        <v>827</v>
      </c>
      <c r="S88" s="174" t="s">
        <v>132</v>
      </c>
      <c r="T88" s="175"/>
      <c r="U88" s="175"/>
      <c r="V88" s="174" t="s">
        <v>651</v>
      </c>
      <c r="W88" s="174" t="s">
        <v>470</v>
      </c>
      <c r="X88" s="174" t="s">
        <v>22</v>
      </c>
      <c r="Y88" s="174"/>
      <c r="Z88" s="175"/>
      <c r="AA88" s="174"/>
      <c r="AB88" s="176">
        <v>43164.398611111108</v>
      </c>
      <c r="AC88" s="174" t="s">
        <v>827</v>
      </c>
      <c r="AD88" s="176">
        <v>43164.394965277781</v>
      </c>
      <c r="AE88" s="176">
        <v>43164.615868055553</v>
      </c>
      <c r="AF88" s="175"/>
    </row>
    <row r="89" spans="1:32" x14ac:dyDescent="0.25">
      <c r="A89" s="174" t="s">
        <v>461</v>
      </c>
      <c r="B89" s="174" t="s">
        <v>828</v>
      </c>
      <c r="C89" s="174" t="s">
        <v>463</v>
      </c>
      <c r="D89" s="174" t="s">
        <v>464</v>
      </c>
      <c r="E89" s="176">
        <v>43164</v>
      </c>
      <c r="F89" s="176">
        <v>43165</v>
      </c>
      <c r="G89" s="174" t="s">
        <v>829</v>
      </c>
      <c r="H89" s="177" t="s">
        <v>466</v>
      </c>
      <c r="I89" s="174" t="s">
        <v>475</v>
      </c>
      <c r="J89" s="178">
        <v>35000000</v>
      </c>
      <c r="K89" s="178">
        <v>99.3046875</v>
      </c>
      <c r="L89" s="178">
        <v>2.8305851257999999</v>
      </c>
      <c r="M89" s="178">
        <v>34807158.580801107</v>
      </c>
      <c r="N89" s="174" t="s">
        <v>337</v>
      </c>
      <c r="O89" s="174" t="s">
        <v>476</v>
      </c>
      <c r="P89" s="174" t="s">
        <v>23</v>
      </c>
      <c r="Q89" s="174" t="s">
        <v>129</v>
      </c>
      <c r="R89" s="175"/>
      <c r="S89" s="175"/>
      <c r="T89" s="175"/>
      <c r="U89" s="175"/>
      <c r="V89" s="174" t="s">
        <v>469</v>
      </c>
      <c r="W89" s="174" t="s">
        <v>470</v>
      </c>
      <c r="X89" s="174" t="s">
        <v>24</v>
      </c>
      <c r="Y89" s="174"/>
      <c r="Z89" s="174" t="s">
        <v>830</v>
      </c>
      <c r="AA89" s="174" t="s">
        <v>483</v>
      </c>
      <c r="AB89" s="176">
        <v>43164.415682870371</v>
      </c>
      <c r="AC89" s="175"/>
      <c r="AD89" s="176">
        <v>43164.55128472222</v>
      </c>
      <c r="AE89" s="176">
        <v>43164.55128472222</v>
      </c>
      <c r="AF89" s="175"/>
    </row>
    <row r="90" spans="1:32" x14ac:dyDescent="0.25">
      <c r="A90" s="174" t="s">
        <v>461</v>
      </c>
      <c r="B90" s="174" t="s">
        <v>831</v>
      </c>
      <c r="C90" s="174" t="s">
        <v>478</v>
      </c>
      <c r="D90" s="174" t="s">
        <v>582</v>
      </c>
      <c r="E90" s="176">
        <v>43164</v>
      </c>
      <c r="F90" s="176">
        <v>43165</v>
      </c>
      <c r="G90" s="174" t="s">
        <v>829</v>
      </c>
      <c r="H90" s="177" t="s">
        <v>466</v>
      </c>
      <c r="I90" s="174" t="s">
        <v>644</v>
      </c>
      <c r="J90" s="178">
        <v>4550000</v>
      </c>
      <c r="K90" s="178">
        <v>96.8125</v>
      </c>
      <c r="L90" s="178">
        <v>3.1654627520999998</v>
      </c>
      <c r="M90" s="178">
        <v>4412133.1146408804</v>
      </c>
      <c r="N90" s="174" t="s">
        <v>337</v>
      </c>
      <c r="O90" s="174" t="s">
        <v>645</v>
      </c>
      <c r="P90" s="174" t="s">
        <v>23</v>
      </c>
      <c r="Q90" s="174" t="s">
        <v>129</v>
      </c>
      <c r="R90" s="175"/>
      <c r="S90" s="175"/>
      <c r="T90" s="175"/>
      <c r="U90" s="175"/>
      <c r="V90" s="174" t="s">
        <v>469</v>
      </c>
      <c r="W90" s="174" t="s">
        <v>586</v>
      </c>
      <c r="X90" s="174" t="s">
        <v>24</v>
      </c>
      <c r="Y90" s="174"/>
      <c r="Z90" s="174" t="s">
        <v>832</v>
      </c>
      <c r="AA90" s="174" t="s">
        <v>483</v>
      </c>
      <c r="AB90" s="176">
        <v>43164.584733796299</v>
      </c>
      <c r="AC90" s="175"/>
      <c r="AD90" s="176">
        <v>43164.621701388889</v>
      </c>
      <c r="AE90" s="176">
        <v>43164.621701388889</v>
      </c>
      <c r="AF90" s="175"/>
    </row>
    <row r="91" spans="1:32" x14ac:dyDescent="0.25">
      <c r="A91" s="174" t="s">
        <v>461</v>
      </c>
      <c r="B91" s="174" t="s">
        <v>833</v>
      </c>
      <c r="C91" s="174" t="s">
        <v>478</v>
      </c>
      <c r="D91" s="174" t="s">
        <v>590</v>
      </c>
      <c r="E91" s="176">
        <v>43164</v>
      </c>
      <c r="F91" s="176">
        <v>43165</v>
      </c>
      <c r="G91" s="174" t="s">
        <v>834</v>
      </c>
      <c r="H91" s="177" t="s">
        <v>466</v>
      </c>
      <c r="I91" s="174" t="s">
        <v>467</v>
      </c>
      <c r="J91" s="178">
        <v>5000000</v>
      </c>
      <c r="K91" s="178">
        <v>100.1328125</v>
      </c>
      <c r="L91" s="178">
        <v>2.5963595651000002</v>
      </c>
      <c r="M91" s="178">
        <v>5008780.5706521701</v>
      </c>
      <c r="N91" s="174" t="s">
        <v>337</v>
      </c>
      <c r="O91" s="174" t="s">
        <v>468</v>
      </c>
      <c r="P91" s="174" t="s">
        <v>22</v>
      </c>
      <c r="Q91" s="174" t="s">
        <v>129</v>
      </c>
      <c r="R91" s="174" t="s">
        <v>835</v>
      </c>
      <c r="S91" s="174" t="s">
        <v>132</v>
      </c>
      <c r="T91" s="175"/>
      <c r="U91" s="175"/>
      <c r="V91" s="174" t="s">
        <v>469</v>
      </c>
      <c r="W91" s="174" t="s">
        <v>594</v>
      </c>
      <c r="X91" s="174" t="s">
        <v>22</v>
      </c>
      <c r="Y91" s="174"/>
      <c r="Z91" s="175"/>
      <c r="AA91" s="174" t="s">
        <v>706</v>
      </c>
      <c r="AB91" s="176">
        <v>43164.409270833334</v>
      </c>
      <c r="AC91" s="174" t="s">
        <v>835</v>
      </c>
      <c r="AD91" s="176">
        <v>43164.402465277781</v>
      </c>
      <c r="AE91" s="176">
        <v>43164.402557870373</v>
      </c>
      <c r="AF91" s="175"/>
    </row>
    <row r="92" spans="1:32" x14ac:dyDescent="0.25">
      <c r="A92" s="174" t="s">
        <v>461</v>
      </c>
      <c r="B92" s="174" t="s">
        <v>836</v>
      </c>
      <c r="C92" s="174" t="s">
        <v>566</v>
      </c>
      <c r="D92" s="174" t="s">
        <v>837</v>
      </c>
      <c r="E92" s="176">
        <v>43164</v>
      </c>
      <c r="F92" s="176">
        <v>43167</v>
      </c>
      <c r="G92" s="174" t="s">
        <v>834</v>
      </c>
      <c r="H92" s="179" t="s">
        <v>486</v>
      </c>
      <c r="I92" s="174" t="s">
        <v>838</v>
      </c>
      <c r="J92" s="178">
        <v>100000000</v>
      </c>
      <c r="K92" s="178">
        <v>74.589330000000004</v>
      </c>
      <c r="L92" s="178">
        <v>9.1699998909999998</v>
      </c>
      <c r="M92" s="178">
        <v>-74731800</v>
      </c>
      <c r="N92" s="174" t="s">
        <v>839</v>
      </c>
      <c r="O92" s="174" t="s">
        <v>840</v>
      </c>
      <c r="P92" s="174" t="s">
        <v>22</v>
      </c>
      <c r="Q92" s="174" t="s">
        <v>129</v>
      </c>
      <c r="R92" s="174" t="s">
        <v>841</v>
      </c>
      <c r="S92" s="174" t="s">
        <v>132</v>
      </c>
      <c r="T92" s="175"/>
      <c r="U92" s="175"/>
      <c r="V92" s="174" t="s">
        <v>842</v>
      </c>
      <c r="W92" s="174" t="s">
        <v>843</v>
      </c>
      <c r="X92" s="174" t="s">
        <v>22</v>
      </c>
      <c r="Y92" s="174"/>
      <c r="Z92" s="175"/>
      <c r="AA92" s="174" t="s">
        <v>844</v>
      </c>
      <c r="AB92" s="176">
        <v>43164.422326388885</v>
      </c>
      <c r="AC92" s="174" t="s">
        <v>841</v>
      </c>
      <c r="AD92" s="176">
        <v>43164.417199074072</v>
      </c>
      <c r="AE92" s="176">
        <v>43164.417199074072</v>
      </c>
      <c r="AF92" s="175"/>
    </row>
    <row r="93" spans="1:32" x14ac:dyDescent="0.25">
      <c r="A93" s="174" t="s">
        <v>484</v>
      </c>
      <c r="B93" s="174" t="s">
        <v>845</v>
      </c>
      <c r="C93" s="174" t="s">
        <v>478</v>
      </c>
      <c r="D93" s="174" t="s">
        <v>846</v>
      </c>
      <c r="E93" s="176">
        <v>43164</v>
      </c>
      <c r="F93" s="176">
        <v>43166</v>
      </c>
      <c r="G93" s="174" t="s">
        <v>834</v>
      </c>
      <c r="H93" s="179" t="s">
        <v>486</v>
      </c>
      <c r="I93" s="174" t="s">
        <v>847</v>
      </c>
      <c r="J93" s="178">
        <v>5000000</v>
      </c>
      <c r="K93" s="178">
        <v>98.671000000000006</v>
      </c>
      <c r="L93" s="178">
        <v>4.4978034189000002</v>
      </c>
      <c r="M93" s="178">
        <v>-4937195.8333333302</v>
      </c>
      <c r="N93" s="174" t="s">
        <v>337</v>
      </c>
      <c r="O93" s="174" t="s">
        <v>848</v>
      </c>
      <c r="P93" s="174" t="s">
        <v>22</v>
      </c>
      <c r="Q93" s="174" t="s">
        <v>129</v>
      </c>
      <c r="R93" s="174" t="s">
        <v>849</v>
      </c>
      <c r="S93" s="174" t="s">
        <v>132</v>
      </c>
      <c r="T93" s="175"/>
      <c r="U93" s="175"/>
      <c r="V93" s="174" t="s">
        <v>850</v>
      </c>
      <c r="W93" s="174" t="s">
        <v>851</v>
      </c>
      <c r="X93" s="174" t="s">
        <v>22</v>
      </c>
      <c r="Y93" s="174"/>
      <c r="Z93" s="175"/>
      <c r="AA93" s="174" t="s">
        <v>742</v>
      </c>
      <c r="AB93" s="176">
        <v>43164.474050925928</v>
      </c>
      <c r="AC93" s="174" t="s">
        <v>849</v>
      </c>
      <c r="AD93" s="176">
        <v>43164.48578703704</v>
      </c>
      <c r="AE93" s="176">
        <v>43164.48578703704</v>
      </c>
      <c r="AF93" s="175"/>
    </row>
    <row r="94" spans="1:32" x14ac:dyDescent="0.25">
      <c r="A94" s="174" t="s">
        <v>484</v>
      </c>
      <c r="B94" s="174" t="s">
        <v>852</v>
      </c>
      <c r="C94" s="174" t="s">
        <v>853</v>
      </c>
      <c r="D94" s="174" t="s">
        <v>846</v>
      </c>
      <c r="E94" s="176">
        <v>43164</v>
      </c>
      <c r="F94" s="176">
        <v>43166</v>
      </c>
      <c r="G94" s="174" t="s">
        <v>834</v>
      </c>
      <c r="H94" s="179" t="s">
        <v>486</v>
      </c>
      <c r="I94" s="174" t="s">
        <v>854</v>
      </c>
      <c r="J94" s="178">
        <v>5000000</v>
      </c>
      <c r="K94" s="178">
        <v>94.61</v>
      </c>
      <c r="L94" s="178">
        <v>4.5599447448000001</v>
      </c>
      <c r="M94" s="178">
        <v>-4760100.6944444394</v>
      </c>
      <c r="N94" s="174" t="s">
        <v>337</v>
      </c>
      <c r="O94" s="174" t="s">
        <v>855</v>
      </c>
      <c r="P94" s="174" t="s">
        <v>22</v>
      </c>
      <c r="Q94" s="174" t="s">
        <v>129</v>
      </c>
      <c r="R94" s="174" t="s">
        <v>856</v>
      </c>
      <c r="S94" s="174" t="s">
        <v>132</v>
      </c>
      <c r="T94" s="175"/>
      <c r="U94" s="175"/>
      <c r="V94" s="174" t="s">
        <v>570</v>
      </c>
      <c r="W94" s="174" t="s">
        <v>857</v>
      </c>
      <c r="X94" s="174" t="s">
        <v>22</v>
      </c>
      <c r="Y94" s="174"/>
      <c r="Z94" s="175"/>
      <c r="AA94" s="174" t="s">
        <v>742</v>
      </c>
      <c r="AB94" s="176">
        <v>43164.597800925927</v>
      </c>
      <c r="AC94" s="174" t="s">
        <v>856</v>
      </c>
      <c r="AD94" s="176">
        <v>43164.593668981484</v>
      </c>
      <c r="AE94" s="176">
        <v>43164.593668981484</v>
      </c>
      <c r="AF94" s="175"/>
    </row>
    <row r="95" spans="1:32" x14ac:dyDescent="0.25">
      <c r="A95" s="174" t="s">
        <v>484</v>
      </c>
      <c r="B95" s="174" t="s">
        <v>858</v>
      </c>
      <c r="C95" s="174" t="s">
        <v>478</v>
      </c>
      <c r="D95" s="174" t="s">
        <v>600</v>
      </c>
      <c r="E95" s="176">
        <v>43164</v>
      </c>
      <c r="F95" s="176">
        <v>43166</v>
      </c>
      <c r="G95" s="174" t="s">
        <v>834</v>
      </c>
      <c r="H95" s="179" t="s">
        <v>486</v>
      </c>
      <c r="I95" s="174" t="s">
        <v>859</v>
      </c>
      <c r="J95" s="178">
        <v>10000000</v>
      </c>
      <c r="K95" s="178">
        <v>97.453000000000003</v>
      </c>
      <c r="L95" s="178">
        <v>4.1142009692999997</v>
      </c>
      <c r="M95" s="178">
        <v>-9791915.5555555616</v>
      </c>
      <c r="N95" s="174" t="s">
        <v>337</v>
      </c>
      <c r="O95" s="174" t="s">
        <v>860</v>
      </c>
      <c r="P95" s="174" t="s">
        <v>22</v>
      </c>
      <c r="Q95" s="174" t="s">
        <v>129</v>
      </c>
      <c r="R95" s="174" t="s">
        <v>861</v>
      </c>
      <c r="S95" s="174" t="s">
        <v>132</v>
      </c>
      <c r="T95" s="175"/>
      <c r="U95" s="175"/>
      <c r="V95" s="174" t="s">
        <v>489</v>
      </c>
      <c r="W95" s="174" t="s">
        <v>604</v>
      </c>
      <c r="X95" s="174" t="s">
        <v>22</v>
      </c>
      <c r="Y95" s="174"/>
      <c r="Z95" s="175"/>
      <c r="AA95" s="174" t="s">
        <v>472</v>
      </c>
      <c r="AB95" s="176">
        <v>43165.347256944442</v>
      </c>
      <c r="AC95" s="174" t="s">
        <v>861</v>
      </c>
      <c r="AD95" s="176">
        <v>43165.340243055558</v>
      </c>
      <c r="AE95" s="176">
        <v>43165.340300925927</v>
      </c>
      <c r="AF95" s="175"/>
    </row>
    <row r="96" spans="1:32" x14ac:dyDescent="0.25">
      <c r="A96" s="174" t="s">
        <v>461</v>
      </c>
      <c r="B96" s="174" t="s">
        <v>862</v>
      </c>
      <c r="C96" s="174" t="s">
        <v>478</v>
      </c>
      <c r="D96" s="174" t="s">
        <v>846</v>
      </c>
      <c r="E96" s="176">
        <v>43164</v>
      </c>
      <c r="F96" s="176">
        <v>43165</v>
      </c>
      <c r="G96" s="174" t="s">
        <v>834</v>
      </c>
      <c r="H96" s="177" t="s">
        <v>466</v>
      </c>
      <c r="I96" s="174" t="s">
        <v>475</v>
      </c>
      <c r="J96" s="178">
        <v>4460000</v>
      </c>
      <c r="K96" s="178">
        <v>98.796875</v>
      </c>
      <c r="L96" s="178">
        <v>2.8899219395000002</v>
      </c>
      <c r="M96" s="178">
        <v>4412778.0559392301</v>
      </c>
      <c r="N96" s="174" t="s">
        <v>337</v>
      </c>
      <c r="O96" s="174" t="s">
        <v>476</v>
      </c>
      <c r="P96" s="174" t="s">
        <v>23</v>
      </c>
      <c r="Q96" s="174" t="s">
        <v>129</v>
      </c>
      <c r="R96" s="175"/>
      <c r="S96" s="175"/>
      <c r="T96" s="175"/>
      <c r="U96" s="175"/>
      <c r="V96" s="174" t="s">
        <v>469</v>
      </c>
      <c r="W96" s="174" t="s">
        <v>851</v>
      </c>
      <c r="X96" s="174" t="s">
        <v>24</v>
      </c>
      <c r="Y96" s="174"/>
      <c r="Z96" s="174" t="s">
        <v>863</v>
      </c>
      <c r="AA96" s="174" t="s">
        <v>472</v>
      </c>
      <c r="AB96" s="176">
        <v>43164.597800925927</v>
      </c>
      <c r="AC96" s="175"/>
      <c r="AD96" s="176">
        <v>43165.387129629627</v>
      </c>
      <c r="AE96" s="176">
        <v>43165.387129629627</v>
      </c>
      <c r="AF96" s="175"/>
    </row>
    <row r="97" spans="1:32" x14ac:dyDescent="0.25">
      <c r="A97" s="174" t="s">
        <v>461</v>
      </c>
      <c r="B97" s="174" t="s">
        <v>864</v>
      </c>
      <c r="C97" s="174" t="s">
        <v>478</v>
      </c>
      <c r="D97" s="174" t="s">
        <v>600</v>
      </c>
      <c r="E97" s="176">
        <v>43164</v>
      </c>
      <c r="F97" s="176">
        <v>43165</v>
      </c>
      <c r="G97" s="174" t="s">
        <v>834</v>
      </c>
      <c r="H97" s="177" t="s">
        <v>466</v>
      </c>
      <c r="I97" s="174" t="s">
        <v>475</v>
      </c>
      <c r="J97" s="178">
        <v>9490000</v>
      </c>
      <c r="K97" s="178">
        <v>98.78125</v>
      </c>
      <c r="L97" s="178">
        <v>2.8917532010999998</v>
      </c>
      <c r="M97" s="178">
        <v>9388038.2078729291</v>
      </c>
      <c r="N97" s="174" t="s">
        <v>337</v>
      </c>
      <c r="O97" s="174" t="s">
        <v>476</v>
      </c>
      <c r="P97" s="174" t="s">
        <v>23</v>
      </c>
      <c r="Q97" s="174" t="s">
        <v>129</v>
      </c>
      <c r="R97" s="175"/>
      <c r="S97" s="175"/>
      <c r="T97" s="175"/>
      <c r="U97" s="175"/>
      <c r="V97" s="174" t="s">
        <v>469</v>
      </c>
      <c r="W97" s="174" t="s">
        <v>604</v>
      </c>
      <c r="X97" s="174" t="s">
        <v>24</v>
      </c>
      <c r="Y97" s="174"/>
      <c r="Z97" s="174" t="s">
        <v>863</v>
      </c>
      <c r="AA97" s="174" t="s">
        <v>472</v>
      </c>
      <c r="AB97" s="176">
        <v>43164.577835648146</v>
      </c>
      <c r="AC97" s="175"/>
      <c r="AD97" s="176">
        <v>43165.387129629627</v>
      </c>
      <c r="AE97" s="176">
        <v>43165.387129629627</v>
      </c>
      <c r="AF97" s="175"/>
    </row>
    <row r="98" spans="1:32" x14ac:dyDescent="0.25">
      <c r="A98" s="174" t="s">
        <v>461</v>
      </c>
      <c r="B98" s="174" t="s">
        <v>865</v>
      </c>
      <c r="C98" s="174" t="s">
        <v>478</v>
      </c>
      <c r="D98" s="174" t="s">
        <v>846</v>
      </c>
      <c r="E98" s="176">
        <v>43164</v>
      </c>
      <c r="F98" s="176">
        <v>43165</v>
      </c>
      <c r="G98" s="174" t="s">
        <v>834</v>
      </c>
      <c r="H98" s="177" t="s">
        <v>466</v>
      </c>
      <c r="I98" s="174" t="s">
        <v>475</v>
      </c>
      <c r="J98" s="178">
        <v>4610000</v>
      </c>
      <c r="K98" s="178">
        <v>99.03125</v>
      </c>
      <c r="L98" s="178">
        <v>2.8624925948</v>
      </c>
      <c r="M98" s="178">
        <v>4571994.5614640899</v>
      </c>
      <c r="N98" s="174" t="s">
        <v>337</v>
      </c>
      <c r="O98" s="174" t="s">
        <v>476</v>
      </c>
      <c r="P98" s="174" t="s">
        <v>23</v>
      </c>
      <c r="Q98" s="174" t="s">
        <v>129</v>
      </c>
      <c r="R98" s="175"/>
      <c r="S98" s="175"/>
      <c r="T98" s="175"/>
      <c r="U98" s="175"/>
      <c r="V98" s="174" t="s">
        <v>469</v>
      </c>
      <c r="W98" s="174" t="s">
        <v>851</v>
      </c>
      <c r="X98" s="174" t="s">
        <v>24</v>
      </c>
      <c r="Y98" s="174"/>
      <c r="Z98" s="174" t="s">
        <v>863</v>
      </c>
      <c r="AA98" s="174" t="s">
        <v>472</v>
      </c>
      <c r="AB98" s="176">
        <v>43164.474050925928</v>
      </c>
      <c r="AC98" s="175"/>
      <c r="AD98" s="176">
        <v>43165.387141203704</v>
      </c>
      <c r="AE98" s="176">
        <v>43165.387141203704</v>
      </c>
      <c r="AF98" s="175"/>
    </row>
    <row r="99" spans="1:32" x14ac:dyDescent="0.25">
      <c r="A99" s="174" t="s">
        <v>461</v>
      </c>
      <c r="B99" s="174" t="s">
        <v>902</v>
      </c>
      <c r="C99" s="174" t="s">
        <v>478</v>
      </c>
      <c r="D99" s="174" t="s">
        <v>903</v>
      </c>
      <c r="E99" s="176">
        <v>43164</v>
      </c>
      <c r="F99" s="176">
        <v>43165</v>
      </c>
      <c r="G99" s="174" t="s">
        <v>904</v>
      </c>
      <c r="H99" s="177" t="s">
        <v>466</v>
      </c>
      <c r="I99" s="174" t="s">
        <v>754</v>
      </c>
      <c r="J99" s="178">
        <v>10430000</v>
      </c>
      <c r="K99" s="178">
        <v>94.765625</v>
      </c>
      <c r="L99" s="178">
        <v>2.8722690423000001</v>
      </c>
      <c r="M99" s="178">
        <v>9956013.0438535903</v>
      </c>
      <c r="N99" s="174" t="s">
        <v>337</v>
      </c>
      <c r="O99" s="174" t="s">
        <v>755</v>
      </c>
      <c r="P99" s="174" t="s">
        <v>22</v>
      </c>
      <c r="Q99" s="174" t="s">
        <v>129</v>
      </c>
      <c r="R99" s="174" t="s">
        <v>905</v>
      </c>
      <c r="S99" s="174" t="s">
        <v>132</v>
      </c>
      <c r="T99" s="175"/>
      <c r="U99" s="175"/>
      <c r="V99" s="174" t="s">
        <v>469</v>
      </c>
      <c r="W99" s="174" t="s">
        <v>906</v>
      </c>
      <c r="X99" s="174" t="s">
        <v>22</v>
      </c>
      <c r="Y99" s="174"/>
      <c r="Z99" s="175"/>
      <c r="AA99" s="174" t="s">
        <v>907</v>
      </c>
      <c r="AB99" s="176">
        <v>43164.338460648149</v>
      </c>
      <c r="AC99" s="174" t="s">
        <v>905</v>
      </c>
      <c r="AD99" s="176">
        <v>43164.332592592589</v>
      </c>
      <c r="AE99" s="176">
        <v>43164.332592592589</v>
      </c>
      <c r="AF99" s="175"/>
    </row>
    <row r="100" spans="1:32" x14ac:dyDescent="0.25">
      <c r="A100" s="174" t="s">
        <v>461</v>
      </c>
      <c r="B100" s="174" t="s">
        <v>908</v>
      </c>
      <c r="C100" s="174" t="s">
        <v>478</v>
      </c>
      <c r="D100" s="174" t="s">
        <v>903</v>
      </c>
      <c r="E100" s="176">
        <v>43164</v>
      </c>
      <c r="F100" s="176">
        <v>43165</v>
      </c>
      <c r="G100" s="174" t="s">
        <v>904</v>
      </c>
      <c r="H100" s="177" t="s">
        <v>466</v>
      </c>
      <c r="I100" s="174" t="s">
        <v>754</v>
      </c>
      <c r="J100" s="178">
        <v>317000</v>
      </c>
      <c r="K100" s="178">
        <v>94.761718999999999</v>
      </c>
      <c r="L100" s="178">
        <v>2.8727478517999998</v>
      </c>
      <c r="M100" s="178">
        <v>302581.68652281997</v>
      </c>
      <c r="N100" s="174" t="s">
        <v>337</v>
      </c>
      <c r="O100" s="174" t="s">
        <v>755</v>
      </c>
      <c r="P100" s="174" t="s">
        <v>22</v>
      </c>
      <c r="Q100" s="174" t="s">
        <v>129</v>
      </c>
      <c r="R100" s="174" t="s">
        <v>909</v>
      </c>
      <c r="S100" s="174" t="s">
        <v>132</v>
      </c>
      <c r="T100" s="175"/>
      <c r="U100" s="175"/>
      <c r="V100" s="174" t="s">
        <v>469</v>
      </c>
      <c r="W100" s="174" t="s">
        <v>906</v>
      </c>
      <c r="X100" s="174" t="s">
        <v>22</v>
      </c>
      <c r="Y100" s="174"/>
      <c r="Z100" s="175"/>
      <c r="AA100" s="174" t="s">
        <v>907</v>
      </c>
      <c r="AB100" s="176">
        <v>43164.338460648149</v>
      </c>
      <c r="AC100" s="174" t="s">
        <v>909</v>
      </c>
      <c r="AD100" s="176">
        <v>43164.332592592589</v>
      </c>
      <c r="AE100" s="176">
        <v>43164.332592592589</v>
      </c>
      <c r="AF100" s="175"/>
    </row>
    <row r="101" spans="1:32" x14ac:dyDescent="0.25">
      <c r="A101" s="174" t="s">
        <v>461</v>
      </c>
      <c r="B101" s="174" t="s">
        <v>910</v>
      </c>
      <c r="C101" s="174" t="s">
        <v>478</v>
      </c>
      <c r="D101" s="174" t="s">
        <v>903</v>
      </c>
      <c r="E101" s="176">
        <v>43164</v>
      </c>
      <c r="F101" s="176">
        <v>43165</v>
      </c>
      <c r="G101" s="174" t="s">
        <v>904</v>
      </c>
      <c r="H101" s="179" t="s">
        <v>486</v>
      </c>
      <c r="I101" s="174" t="s">
        <v>475</v>
      </c>
      <c r="J101" s="178">
        <v>9900000</v>
      </c>
      <c r="K101" s="178">
        <v>99.15625</v>
      </c>
      <c r="L101" s="178">
        <v>2.8478938714000002</v>
      </c>
      <c r="M101" s="178">
        <v>-9830758.1146408804</v>
      </c>
      <c r="N101" s="174" t="s">
        <v>337</v>
      </c>
      <c r="O101" s="174" t="s">
        <v>476</v>
      </c>
      <c r="P101" s="174" t="s">
        <v>22</v>
      </c>
      <c r="Q101" s="174" t="s">
        <v>129</v>
      </c>
      <c r="R101" s="174" t="s">
        <v>911</v>
      </c>
      <c r="S101" s="174" t="s">
        <v>132</v>
      </c>
      <c r="T101" s="175"/>
      <c r="U101" s="175"/>
      <c r="V101" s="174" t="s">
        <v>469</v>
      </c>
      <c r="W101" s="174" t="s">
        <v>906</v>
      </c>
      <c r="X101" s="174" t="s">
        <v>22</v>
      </c>
      <c r="Y101" s="174"/>
      <c r="Z101" s="175"/>
      <c r="AA101" s="174" t="s">
        <v>907</v>
      </c>
      <c r="AB101" s="176">
        <v>43164.338460648149</v>
      </c>
      <c r="AC101" s="174" t="s">
        <v>911</v>
      </c>
      <c r="AD101" s="176">
        <v>43164.332743055558</v>
      </c>
      <c r="AE101" s="176">
        <v>43164.332743055558</v>
      </c>
      <c r="AF101" s="175"/>
    </row>
    <row r="102" spans="1:32" x14ac:dyDescent="0.25">
      <c r="A102" s="174" t="s">
        <v>461</v>
      </c>
      <c r="B102" s="174" t="s">
        <v>912</v>
      </c>
      <c r="C102" s="174" t="s">
        <v>478</v>
      </c>
      <c r="D102" s="174" t="s">
        <v>903</v>
      </c>
      <c r="E102" s="176">
        <v>43164</v>
      </c>
      <c r="F102" s="176">
        <v>43165</v>
      </c>
      <c r="G102" s="174" t="s">
        <v>904</v>
      </c>
      <c r="H102" s="179" t="s">
        <v>486</v>
      </c>
      <c r="I102" s="174" t="s">
        <v>913</v>
      </c>
      <c r="J102" s="178">
        <v>14390000</v>
      </c>
      <c r="K102" s="178">
        <v>92.613281000000001</v>
      </c>
      <c r="L102" s="178">
        <v>3.1360232379999999</v>
      </c>
      <c r="M102" s="178">
        <v>-13347821.23258508</v>
      </c>
      <c r="N102" s="174" t="s">
        <v>337</v>
      </c>
      <c r="O102" s="174" t="s">
        <v>914</v>
      </c>
      <c r="P102" s="174" t="s">
        <v>22</v>
      </c>
      <c r="Q102" s="174" t="s">
        <v>129</v>
      </c>
      <c r="R102" s="174" t="s">
        <v>915</v>
      </c>
      <c r="S102" s="174" t="s">
        <v>132</v>
      </c>
      <c r="T102" s="175"/>
      <c r="U102" s="175"/>
      <c r="V102" s="174" t="s">
        <v>469</v>
      </c>
      <c r="W102" s="174" t="s">
        <v>906</v>
      </c>
      <c r="X102" s="174" t="s">
        <v>22</v>
      </c>
      <c r="Y102" s="174"/>
      <c r="Z102" s="175"/>
      <c r="AA102" s="174" t="s">
        <v>907</v>
      </c>
      <c r="AB102" s="176">
        <v>43164.331747685188</v>
      </c>
      <c r="AC102" s="174" t="s">
        <v>915</v>
      </c>
      <c r="AD102" s="176">
        <v>43164.332870370374</v>
      </c>
      <c r="AE102" s="176">
        <v>43164.332870370374</v>
      </c>
      <c r="AF102" s="175"/>
    </row>
    <row r="103" spans="1:32" x14ac:dyDescent="0.25">
      <c r="A103" s="174" t="s">
        <v>461</v>
      </c>
      <c r="B103" s="174" t="s">
        <v>916</v>
      </c>
      <c r="C103" s="174" t="s">
        <v>478</v>
      </c>
      <c r="D103" s="174" t="s">
        <v>903</v>
      </c>
      <c r="E103" s="176">
        <v>43164</v>
      </c>
      <c r="F103" s="176">
        <v>43165</v>
      </c>
      <c r="G103" s="174" t="s">
        <v>904</v>
      </c>
      <c r="H103" s="177" t="s">
        <v>466</v>
      </c>
      <c r="I103" s="174" t="s">
        <v>543</v>
      </c>
      <c r="J103" s="178">
        <v>13750000</v>
      </c>
      <c r="K103" s="178">
        <v>92.585937999999999</v>
      </c>
      <c r="L103" s="178">
        <v>3.1353828112</v>
      </c>
      <c r="M103" s="178">
        <v>12846510.881077351</v>
      </c>
      <c r="N103" s="174" t="s">
        <v>337</v>
      </c>
      <c r="O103" s="174" t="s">
        <v>544</v>
      </c>
      <c r="P103" s="174" t="s">
        <v>22</v>
      </c>
      <c r="Q103" s="174" t="s">
        <v>129</v>
      </c>
      <c r="R103" s="174" t="s">
        <v>917</v>
      </c>
      <c r="S103" s="174" t="s">
        <v>132</v>
      </c>
      <c r="T103" s="175"/>
      <c r="U103" s="175"/>
      <c r="V103" s="174" t="s">
        <v>469</v>
      </c>
      <c r="W103" s="174" t="s">
        <v>906</v>
      </c>
      <c r="X103" s="174" t="s">
        <v>22</v>
      </c>
      <c r="Y103" s="174"/>
      <c r="Z103" s="175"/>
      <c r="AA103" s="174" t="s">
        <v>907</v>
      </c>
      <c r="AB103" s="176">
        <v>43164.331747685188</v>
      </c>
      <c r="AC103" s="174" t="s">
        <v>917</v>
      </c>
      <c r="AD103" s="176">
        <v>43164.447939814818</v>
      </c>
      <c r="AE103" s="176">
        <v>43164.447939814818</v>
      </c>
      <c r="AF103" s="175"/>
    </row>
    <row r="104" spans="1:32" x14ac:dyDescent="0.25">
      <c r="A104" s="174" t="s">
        <v>484</v>
      </c>
      <c r="B104" s="174" t="s">
        <v>918</v>
      </c>
      <c r="C104" s="174" t="s">
        <v>478</v>
      </c>
      <c r="D104" s="174" t="s">
        <v>903</v>
      </c>
      <c r="E104" s="176">
        <v>43164</v>
      </c>
      <c r="F104" s="176">
        <v>43166</v>
      </c>
      <c r="G104" s="174" t="s">
        <v>904</v>
      </c>
      <c r="H104" s="177" t="s">
        <v>466</v>
      </c>
      <c r="I104" s="174" t="s">
        <v>919</v>
      </c>
      <c r="J104" s="178">
        <v>3000000</v>
      </c>
      <c r="K104" s="178">
        <v>98.477999999999994</v>
      </c>
      <c r="L104" s="178">
        <v>4.1390499636999998</v>
      </c>
      <c r="M104" s="178">
        <v>2954340</v>
      </c>
      <c r="N104" s="174" t="s">
        <v>337</v>
      </c>
      <c r="O104" s="174" t="s">
        <v>920</v>
      </c>
      <c r="P104" s="174" t="s">
        <v>22</v>
      </c>
      <c r="Q104" s="174" t="s">
        <v>129</v>
      </c>
      <c r="R104" s="174" t="s">
        <v>921</v>
      </c>
      <c r="S104" s="174" t="s">
        <v>132</v>
      </c>
      <c r="T104" s="175"/>
      <c r="U104" s="175"/>
      <c r="V104" s="174" t="s">
        <v>489</v>
      </c>
      <c r="W104" s="174" t="s">
        <v>906</v>
      </c>
      <c r="X104" s="174" t="s">
        <v>22</v>
      </c>
      <c r="Y104" s="174"/>
      <c r="Z104" s="175"/>
      <c r="AA104" s="174" t="s">
        <v>907</v>
      </c>
      <c r="AB104" s="176">
        <v>43164.551620370374</v>
      </c>
      <c r="AC104" s="174" t="s">
        <v>921</v>
      </c>
      <c r="AD104" s="176">
        <v>43164.546122685184</v>
      </c>
      <c r="AE104" s="176">
        <v>43164.546122685184</v>
      </c>
      <c r="AF104" s="175"/>
    </row>
    <row r="105" spans="1:32" x14ac:dyDescent="0.25">
      <c r="A105" s="174" t="s">
        <v>461</v>
      </c>
      <c r="B105" s="174" t="s">
        <v>922</v>
      </c>
      <c r="C105" s="174" t="s">
        <v>478</v>
      </c>
      <c r="D105" s="174" t="s">
        <v>903</v>
      </c>
      <c r="E105" s="176">
        <v>43164</v>
      </c>
      <c r="F105" s="176">
        <v>43165</v>
      </c>
      <c r="G105" s="174" t="s">
        <v>904</v>
      </c>
      <c r="H105" s="179" t="s">
        <v>486</v>
      </c>
      <c r="I105" s="174" t="s">
        <v>543</v>
      </c>
      <c r="J105" s="178">
        <v>2820000</v>
      </c>
      <c r="K105" s="178">
        <v>91.96875</v>
      </c>
      <c r="L105" s="178">
        <v>3.1692644617000001</v>
      </c>
      <c r="M105" s="178">
        <v>-2617297.8936464102</v>
      </c>
      <c r="N105" s="174" t="s">
        <v>337</v>
      </c>
      <c r="O105" s="174" t="s">
        <v>544</v>
      </c>
      <c r="P105" s="174" t="s">
        <v>22</v>
      </c>
      <c r="Q105" s="174" t="s">
        <v>129</v>
      </c>
      <c r="R105" s="174" t="s">
        <v>923</v>
      </c>
      <c r="S105" s="174" t="s">
        <v>132</v>
      </c>
      <c r="T105" s="175"/>
      <c r="U105" s="175"/>
      <c r="V105" s="174" t="s">
        <v>469</v>
      </c>
      <c r="W105" s="174" t="s">
        <v>906</v>
      </c>
      <c r="X105" s="174" t="s">
        <v>22</v>
      </c>
      <c r="Y105" s="174"/>
      <c r="Z105" s="175"/>
      <c r="AA105" s="174" t="s">
        <v>907</v>
      </c>
      <c r="AB105" s="176">
        <v>43164.551620370374</v>
      </c>
      <c r="AC105" s="174" t="s">
        <v>923</v>
      </c>
      <c r="AD105" s="176">
        <v>43164.546365740738</v>
      </c>
      <c r="AE105" s="176">
        <v>43164.546365740738</v>
      </c>
      <c r="AF105" s="175"/>
    </row>
    <row r="106" spans="1:32" x14ac:dyDescent="0.25">
      <c r="A106" s="174" t="s">
        <v>461</v>
      </c>
      <c r="B106" s="174" t="s">
        <v>924</v>
      </c>
      <c r="C106" s="174" t="s">
        <v>478</v>
      </c>
      <c r="D106" s="174" t="s">
        <v>498</v>
      </c>
      <c r="E106" s="176">
        <v>43164</v>
      </c>
      <c r="F106" s="176">
        <v>43165</v>
      </c>
      <c r="G106" s="174" t="s">
        <v>925</v>
      </c>
      <c r="H106" s="177" t="s">
        <v>466</v>
      </c>
      <c r="I106" s="174" t="s">
        <v>475</v>
      </c>
      <c r="J106" s="178">
        <v>2604000</v>
      </c>
      <c r="K106" s="178">
        <v>98.921875</v>
      </c>
      <c r="L106" s="178">
        <v>2.87528373</v>
      </c>
      <c r="M106" s="178">
        <v>2579684.1609116001</v>
      </c>
      <c r="N106" s="174" t="s">
        <v>337</v>
      </c>
      <c r="O106" s="174" t="s">
        <v>476</v>
      </c>
      <c r="P106" s="174" t="s">
        <v>22</v>
      </c>
      <c r="Q106" s="174" t="s">
        <v>129</v>
      </c>
      <c r="R106" s="174" t="s">
        <v>926</v>
      </c>
      <c r="S106" s="174" t="s">
        <v>132</v>
      </c>
      <c r="T106" s="175"/>
      <c r="U106" s="175"/>
      <c r="V106" s="174" t="s">
        <v>469</v>
      </c>
      <c r="W106" s="174" t="s">
        <v>503</v>
      </c>
      <c r="X106" s="174" t="s">
        <v>22</v>
      </c>
      <c r="Y106" s="174"/>
      <c r="Z106" s="175"/>
      <c r="AA106" s="174" t="s">
        <v>927</v>
      </c>
      <c r="AB106" s="176">
        <v>43164.493368055555</v>
      </c>
      <c r="AC106" s="174" t="s">
        <v>926</v>
      </c>
      <c r="AD106" s="176">
        <v>43164.489837962959</v>
      </c>
      <c r="AE106" s="176">
        <v>43164.489837962959</v>
      </c>
      <c r="AF106" s="175"/>
    </row>
    <row r="107" spans="1:32" x14ac:dyDescent="0.25">
      <c r="A107" s="174" t="s">
        <v>461</v>
      </c>
      <c r="B107" s="174" t="s">
        <v>928</v>
      </c>
      <c r="C107" s="174" t="s">
        <v>463</v>
      </c>
      <c r="D107" s="174" t="s">
        <v>553</v>
      </c>
      <c r="E107" s="176">
        <v>43164</v>
      </c>
      <c r="F107" s="176">
        <v>43165</v>
      </c>
      <c r="G107" s="174" t="s">
        <v>925</v>
      </c>
      <c r="H107" s="177" t="s">
        <v>466</v>
      </c>
      <c r="I107" s="174" t="s">
        <v>475</v>
      </c>
      <c r="J107" s="178">
        <v>114600000</v>
      </c>
      <c r="K107" s="178">
        <v>98.875</v>
      </c>
      <c r="L107" s="178">
        <v>2.8807705845</v>
      </c>
      <c r="M107" s="178">
        <v>113476160.22099449</v>
      </c>
      <c r="N107" s="174" t="s">
        <v>337</v>
      </c>
      <c r="O107" s="174" t="s">
        <v>476</v>
      </c>
      <c r="P107" s="174" t="s">
        <v>22</v>
      </c>
      <c r="Q107" s="174" t="s">
        <v>129</v>
      </c>
      <c r="R107" s="174" t="s">
        <v>929</v>
      </c>
      <c r="S107" s="174" t="s">
        <v>132</v>
      </c>
      <c r="T107" s="175"/>
      <c r="U107" s="175"/>
      <c r="V107" s="174" t="s">
        <v>469</v>
      </c>
      <c r="W107" s="174" t="s">
        <v>555</v>
      </c>
      <c r="X107" s="174" t="s">
        <v>22</v>
      </c>
      <c r="Y107" s="174"/>
      <c r="Z107" s="175"/>
      <c r="AA107" s="174" t="s">
        <v>556</v>
      </c>
      <c r="AB107" s="176">
        <v>43164.63009259259</v>
      </c>
      <c r="AC107" s="174" t="s">
        <v>929</v>
      </c>
      <c r="AD107" s="176">
        <v>43164.627002314817</v>
      </c>
      <c r="AE107" s="176">
        <v>43164.627002314817</v>
      </c>
      <c r="AF107" s="175"/>
    </row>
    <row r="108" spans="1:32" x14ac:dyDescent="0.25">
      <c r="A108" s="174" t="s">
        <v>461</v>
      </c>
      <c r="B108" s="174" t="s">
        <v>930</v>
      </c>
      <c r="C108" s="174" t="s">
        <v>463</v>
      </c>
      <c r="D108" s="174" t="s">
        <v>553</v>
      </c>
      <c r="E108" s="176">
        <v>43164</v>
      </c>
      <c r="F108" s="176">
        <v>43165</v>
      </c>
      <c r="G108" s="174" t="s">
        <v>925</v>
      </c>
      <c r="H108" s="179" t="s">
        <v>486</v>
      </c>
      <c r="I108" s="174" t="s">
        <v>754</v>
      </c>
      <c r="J108" s="178">
        <v>120300000</v>
      </c>
      <c r="K108" s="178">
        <v>94.515625</v>
      </c>
      <c r="L108" s="178">
        <v>2.9029597096000002</v>
      </c>
      <c r="M108" s="178">
        <v>-114532267.1788674</v>
      </c>
      <c r="N108" s="174" t="s">
        <v>337</v>
      </c>
      <c r="O108" s="174" t="s">
        <v>755</v>
      </c>
      <c r="P108" s="174" t="s">
        <v>22</v>
      </c>
      <c r="Q108" s="174" t="s">
        <v>129</v>
      </c>
      <c r="R108" s="174" t="s">
        <v>931</v>
      </c>
      <c r="S108" s="174" t="s">
        <v>132</v>
      </c>
      <c r="T108" s="175"/>
      <c r="U108" s="175"/>
      <c r="V108" s="174" t="s">
        <v>469</v>
      </c>
      <c r="W108" s="174" t="s">
        <v>555</v>
      </c>
      <c r="X108" s="174" t="s">
        <v>22</v>
      </c>
      <c r="Y108" s="174"/>
      <c r="Z108" s="175"/>
      <c r="AA108" s="174" t="s">
        <v>556</v>
      </c>
      <c r="AB108" s="176">
        <v>43164.63009259259</v>
      </c>
      <c r="AC108" s="174" t="s">
        <v>931</v>
      </c>
      <c r="AD108" s="176">
        <v>43164.627002314817</v>
      </c>
      <c r="AE108" s="176">
        <v>43164.627002314817</v>
      </c>
      <c r="AF108" s="175"/>
    </row>
    <row r="109" spans="1:32" x14ac:dyDescent="0.25">
      <c r="A109" s="174" t="s">
        <v>461</v>
      </c>
      <c r="B109" s="174" t="s">
        <v>932</v>
      </c>
      <c r="C109" s="174" t="s">
        <v>478</v>
      </c>
      <c r="D109" s="174" t="s">
        <v>498</v>
      </c>
      <c r="E109" s="176">
        <v>43164</v>
      </c>
      <c r="F109" s="176">
        <v>43165</v>
      </c>
      <c r="G109" s="174" t="s">
        <v>925</v>
      </c>
      <c r="H109" s="177" t="s">
        <v>466</v>
      </c>
      <c r="I109" s="174" t="s">
        <v>475</v>
      </c>
      <c r="J109" s="178">
        <v>1504000</v>
      </c>
      <c r="K109" s="178">
        <v>98.859375</v>
      </c>
      <c r="L109" s="178">
        <v>2.8826001954999998</v>
      </c>
      <c r="M109" s="178">
        <v>1489015.82872928</v>
      </c>
      <c r="N109" s="174" t="s">
        <v>337</v>
      </c>
      <c r="O109" s="174" t="s">
        <v>476</v>
      </c>
      <c r="P109" s="174" t="s">
        <v>22</v>
      </c>
      <c r="Q109" s="174" t="s">
        <v>129</v>
      </c>
      <c r="R109" s="174" t="s">
        <v>933</v>
      </c>
      <c r="S109" s="174" t="s">
        <v>132</v>
      </c>
      <c r="T109" s="175"/>
      <c r="U109" s="175"/>
      <c r="V109" s="174" t="s">
        <v>469</v>
      </c>
      <c r="W109" s="174" t="s">
        <v>503</v>
      </c>
      <c r="X109" s="174" t="s">
        <v>22</v>
      </c>
      <c r="Y109" s="174"/>
      <c r="Z109" s="175"/>
      <c r="AA109" s="174" t="s">
        <v>927</v>
      </c>
      <c r="AB109" s="176">
        <v>43164.636678240742</v>
      </c>
      <c r="AC109" s="174" t="s">
        <v>933</v>
      </c>
      <c r="AD109" s="176">
        <v>43164.629733796297</v>
      </c>
      <c r="AE109" s="176">
        <v>43164.629733796297</v>
      </c>
      <c r="AF109" s="175"/>
    </row>
    <row r="110" spans="1:32" x14ac:dyDescent="0.25">
      <c r="A110" s="174" t="s">
        <v>461</v>
      </c>
      <c r="B110" s="174" t="s">
        <v>934</v>
      </c>
      <c r="C110" s="174" t="s">
        <v>463</v>
      </c>
      <c r="D110" s="174" t="s">
        <v>935</v>
      </c>
      <c r="E110" s="176">
        <v>43164</v>
      </c>
      <c r="F110" s="176">
        <v>43165</v>
      </c>
      <c r="G110" s="174" t="s">
        <v>936</v>
      </c>
      <c r="H110" s="177" t="s">
        <v>466</v>
      </c>
      <c r="I110" s="174" t="s">
        <v>475</v>
      </c>
      <c r="J110" s="178">
        <v>4000000</v>
      </c>
      <c r="K110" s="178">
        <v>99.23828125</v>
      </c>
      <c r="L110" s="178">
        <v>2.8383248618999999</v>
      </c>
      <c r="M110" s="178">
        <v>3975304.7306629801</v>
      </c>
      <c r="N110" s="174" t="s">
        <v>337</v>
      </c>
      <c r="O110" s="174" t="s">
        <v>476</v>
      </c>
      <c r="P110" s="174" t="s">
        <v>22</v>
      </c>
      <c r="Q110" s="174" t="s">
        <v>129</v>
      </c>
      <c r="R110" s="174" t="s">
        <v>937</v>
      </c>
      <c r="S110" s="174" t="s">
        <v>132</v>
      </c>
      <c r="T110" s="175"/>
      <c r="U110" s="175"/>
      <c r="V110" s="174" t="s">
        <v>469</v>
      </c>
      <c r="W110" s="174" t="s">
        <v>938</v>
      </c>
      <c r="X110" s="174" t="s">
        <v>22</v>
      </c>
      <c r="Y110" s="174"/>
      <c r="Z110" s="175"/>
      <c r="AA110" s="174" t="s">
        <v>512</v>
      </c>
      <c r="AB110" s="176">
        <v>43164.351307870369</v>
      </c>
      <c r="AC110" s="174" t="s">
        <v>937</v>
      </c>
      <c r="AD110" s="176">
        <v>43164.349317129629</v>
      </c>
      <c r="AE110" s="176">
        <v>43164.349363425928</v>
      </c>
      <c r="AF110" s="175"/>
    </row>
    <row r="111" spans="1:32" x14ac:dyDescent="0.25">
      <c r="A111" s="174" t="s">
        <v>484</v>
      </c>
      <c r="B111" s="174" t="s">
        <v>939</v>
      </c>
      <c r="C111" s="174" t="s">
        <v>478</v>
      </c>
      <c r="D111" s="174" t="s">
        <v>535</v>
      </c>
      <c r="E111" s="176">
        <v>43164</v>
      </c>
      <c r="F111" s="176">
        <v>43166</v>
      </c>
      <c r="G111" s="174" t="s">
        <v>936</v>
      </c>
      <c r="H111" s="179" t="s">
        <v>486</v>
      </c>
      <c r="I111" s="174" t="s">
        <v>940</v>
      </c>
      <c r="J111" s="178">
        <v>2500000</v>
      </c>
      <c r="K111" s="178">
        <v>97.222999999999999</v>
      </c>
      <c r="L111" s="178">
        <v>4.7139793129000003</v>
      </c>
      <c r="M111" s="178">
        <v>-2439637.5</v>
      </c>
      <c r="N111" s="174" t="s">
        <v>337</v>
      </c>
      <c r="O111" s="174" t="s">
        <v>941</v>
      </c>
      <c r="P111" s="174" t="s">
        <v>22</v>
      </c>
      <c r="Q111" s="174" t="s">
        <v>129</v>
      </c>
      <c r="R111" s="174" t="s">
        <v>942</v>
      </c>
      <c r="S111" s="174" t="s">
        <v>132</v>
      </c>
      <c r="T111" s="175"/>
      <c r="U111" s="175"/>
      <c r="V111" s="174" t="s">
        <v>489</v>
      </c>
      <c r="W111" s="174" t="s">
        <v>540</v>
      </c>
      <c r="X111" s="174" t="s">
        <v>22</v>
      </c>
      <c r="Y111" s="174"/>
      <c r="Z111" s="175"/>
      <c r="AA111" s="174" t="s">
        <v>541</v>
      </c>
      <c r="AB111" s="176">
        <v>43164.370659722219</v>
      </c>
      <c r="AC111" s="174" t="s">
        <v>942</v>
      </c>
      <c r="AD111" s="176">
        <v>43164.376446759263</v>
      </c>
      <c r="AE111" s="176">
        <v>43164.376446759263</v>
      </c>
      <c r="AF111" s="175"/>
    </row>
    <row r="112" spans="1:32" x14ac:dyDescent="0.25">
      <c r="A112" s="174" t="s">
        <v>461</v>
      </c>
      <c r="B112" s="174" t="s">
        <v>943</v>
      </c>
      <c r="C112" s="174" t="s">
        <v>478</v>
      </c>
      <c r="D112" s="174" t="s">
        <v>535</v>
      </c>
      <c r="E112" s="176">
        <v>43164</v>
      </c>
      <c r="F112" s="176">
        <v>43165</v>
      </c>
      <c r="G112" s="174" t="s">
        <v>936</v>
      </c>
      <c r="H112" s="177" t="s">
        <v>466</v>
      </c>
      <c r="I112" s="174" t="s">
        <v>543</v>
      </c>
      <c r="J112" s="178">
        <v>1700000</v>
      </c>
      <c r="K112" s="178">
        <v>92.796875</v>
      </c>
      <c r="L112" s="178">
        <v>3.1238701800999999</v>
      </c>
      <c r="M112" s="178">
        <v>1591881.81975138</v>
      </c>
      <c r="N112" s="174" t="s">
        <v>337</v>
      </c>
      <c r="O112" s="174" t="s">
        <v>544</v>
      </c>
      <c r="P112" s="174" t="s">
        <v>22</v>
      </c>
      <c r="Q112" s="174" t="s">
        <v>129</v>
      </c>
      <c r="R112" s="174" t="s">
        <v>944</v>
      </c>
      <c r="S112" s="174" t="s">
        <v>132</v>
      </c>
      <c r="T112" s="175"/>
      <c r="U112" s="175"/>
      <c r="V112" s="174" t="s">
        <v>469</v>
      </c>
      <c r="W112" s="174" t="s">
        <v>540</v>
      </c>
      <c r="X112" s="174" t="s">
        <v>22</v>
      </c>
      <c r="Y112" s="174"/>
      <c r="Z112" s="175"/>
      <c r="AA112" s="174" t="s">
        <v>541</v>
      </c>
      <c r="AB112" s="176">
        <v>43164.370659722219</v>
      </c>
      <c r="AC112" s="174" t="s">
        <v>944</v>
      </c>
      <c r="AD112" s="176">
        <v>43164.376643518517</v>
      </c>
      <c r="AE112" s="176">
        <v>43164.376643518517</v>
      </c>
      <c r="AF112" s="175"/>
    </row>
    <row r="113" spans="1:32" x14ac:dyDescent="0.25">
      <c r="A113" s="174" t="s">
        <v>461</v>
      </c>
      <c r="B113" s="174" t="s">
        <v>945</v>
      </c>
      <c r="C113" s="174" t="s">
        <v>566</v>
      </c>
      <c r="D113" s="174" t="s">
        <v>946</v>
      </c>
      <c r="E113" s="176">
        <v>43164</v>
      </c>
      <c r="F113" s="176">
        <v>43166</v>
      </c>
      <c r="G113" s="174" t="s">
        <v>936</v>
      </c>
      <c r="H113" s="177" t="s">
        <v>466</v>
      </c>
      <c r="I113" s="174" t="s">
        <v>947</v>
      </c>
      <c r="J113" s="178">
        <v>5000000</v>
      </c>
      <c r="K113" s="178">
        <v>95.2</v>
      </c>
      <c r="L113" s="178">
        <v>4.3562568245</v>
      </c>
      <c r="M113" s="178">
        <v>4778493.1506849499</v>
      </c>
      <c r="N113" s="174" t="s">
        <v>386</v>
      </c>
      <c r="O113" s="174" t="s">
        <v>948</v>
      </c>
      <c r="P113" s="174" t="s">
        <v>22</v>
      </c>
      <c r="Q113" s="174" t="s">
        <v>129</v>
      </c>
      <c r="R113" s="174" t="s">
        <v>949</v>
      </c>
      <c r="S113" s="174" t="s">
        <v>132</v>
      </c>
      <c r="T113" s="175"/>
      <c r="U113" s="175"/>
      <c r="V113" s="174" t="s">
        <v>950</v>
      </c>
      <c r="W113" s="174" t="s">
        <v>951</v>
      </c>
      <c r="X113" s="174" t="s">
        <v>22</v>
      </c>
      <c r="Y113" s="174"/>
      <c r="Z113" s="175"/>
      <c r="AA113" s="174" t="s">
        <v>952</v>
      </c>
      <c r="AB113" s="176">
        <v>43164.415682870371</v>
      </c>
      <c r="AC113" s="174" t="s">
        <v>949</v>
      </c>
      <c r="AD113" s="176">
        <v>43164.408645833333</v>
      </c>
      <c r="AE113" s="176">
        <v>43164.408645833333</v>
      </c>
      <c r="AF113" s="175"/>
    </row>
    <row r="114" spans="1:32" x14ac:dyDescent="0.25">
      <c r="A114" s="174" t="s">
        <v>461</v>
      </c>
      <c r="B114" s="174" t="s">
        <v>953</v>
      </c>
      <c r="C114" s="174" t="s">
        <v>463</v>
      </c>
      <c r="D114" s="174" t="s">
        <v>506</v>
      </c>
      <c r="E114" s="176">
        <v>43164</v>
      </c>
      <c r="F114" s="176">
        <v>43165</v>
      </c>
      <c r="G114" s="174" t="s">
        <v>936</v>
      </c>
      <c r="H114" s="179" t="s">
        <v>486</v>
      </c>
      <c r="I114" s="174" t="s">
        <v>954</v>
      </c>
      <c r="J114" s="178">
        <v>220000000</v>
      </c>
      <c r="K114" s="178">
        <v>95.5078125</v>
      </c>
      <c r="L114" s="178">
        <v>2.7894993473</v>
      </c>
      <c r="M114" s="178">
        <v>-211277627.06043956</v>
      </c>
      <c r="N114" s="174" t="s">
        <v>337</v>
      </c>
      <c r="O114" s="174" t="s">
        <v>955</v>
      </c>
      <c r="P114" s="174" t="s">
        <v>22</v>
      </c>
      <c r="Q114" s="174" t="s">
        <v>129</v>
      </c>
      <c r="R114" s="174" t="s">
        <v>956</v>
      </c>
      <c r="S114" s="174" t="s">
        <v>132</v>
      </c>
      <c r="T114" s="175"/>
      <c r="U114" s="175"/>
      <c r="V114" s="174" t="s">
        <v>469</v>
      </c>
      <c r="W114" s="174" t="s">
        <v>511</v>
      </c>
      <c r="X114" s="174" t="s">
        <v>22</v>
      </c>
      <c r="Y114" s="174"/>
      <c r="Z114" s="175"/>
      <c r="AA114" s="174" t="s">
        <v>512</v>
      </c>
      <c r="AB114" s="176">
        <v>43164.448148148149</v>
      </c>
      <c r="AC114" s="174" t="s">
        <v>956</v>
      </c>
      <c r="AD114" s="176">
        <v>43164.442453703705</v>
      </c>
      <c r="AE114" s="176">
        <v>43164.442511574074</v>
      </c>
      <c r="AF114" s="175"/>
    </row>
    <row r="115" spans="1:32" x14ac:dyDescent="0.25">
      <c r="A115" s="174" t="s">
        <v>461</v>
      </c>
      <c r="B115" s="174" t="s">
        <v>957</v>
      </c>
      <c r="C115" s="174" t="s">
        <v>463</v>
      </c>
      <c r="D115" s="174" t="s">
        <v>506</v>
      </c>
      <c r="E115" s="176">
        <v>43164</v>
      </c>
      <c r="F115" s="176">
        <v>43165</v>
      </c>
      <c r="G115" s="174" t="s">
        <v>936</v>
      </c>
      <c r="H115" s="177" t="s">
        <v>466</v>
      </c>
      <c r="I115" s="174" t="s">
        <v>508</v>
      </c>
      <c r="J115" s="178">
        <v>194000000</v>
      </c>
      <c r="K115" s="178">
        <v>99.5</v>
      </c>
      <c r="L115" s="178">
        <v>2.8293568444999999</v>
      </c>
      <c r="M115" s="178">
        <v>193116983.69565216</v>
      </c>
      <c r="N115" s="174" t="s">
        <v>337</v>
      </c>
      <c r="O115" s="174" t="s">
        <v>509</v>
      </c>
      <c r="P115" s="174" t="s">
        <v>22</v>
      </c>
      <c r="Q115" s="174" t="s">
        <v>129</v>
      </c>
      <c r="R115" s="174" t="s">
        <v>958</v>
      </c>
      <c r="S115" s="174" t="s">
        <v>132</v>
      </c>
      <c r="T115" s="175"/>
      <c r="U115" s="175"/>
      <c r="V115" s="174" t="s">
        <v>469</v>
      </c>
      <c r="W115" s="174" t="s">
        <v>511</v>
      </c>
      <c r="X115" s="174" t="s">
        <v>22</v>
      </c>
      <c r="Y115" s="174"/>
      <c r="Z115" s="175"/>
      <c r="AA115" s="174" t="s">
        <v>512</v>
      </c>
      <c r="AB115" s="176">
        <v>43164.448148148149</v>
      </c>
      <c r="AC115" s="174" t="s">
        <v>958</v>
      </c>
      <c r="AD115" s="176">
        <v>43164.442465277774</v>
      </c>
      <c r="AE115" s="176">
        <v>43164.442523148151</v>
      </c>
      <c r="AF115" s="175"/>
    </row>
    <row r="116" spans="1:32" x14ac:dyDescent="0.25">
      <c r="A116" s="174" t="s">
        <v>461</v>
      </c>
      <c r="B116" s="174" t="s">
        <v>959</v>
      </c>
      <c r="C116" s="174" t="s">
        <v>478</v>
      </c>
      <c r="D116" s="174" t="s">
        <v>479</v>
      </c>
      <c r="E116" s="176">
        <v>43164</v>
      </c>
      <c r="F116" s="176">
        <v>43165</v>
      </c>
      <c r="G116" s="174" t="s">
        <v>936</v>
      </c>
      <c r="H116" s="179" t="s">
        <v>486</v>
      </c>
      <c r="I116" s="174" t="s">
        <v>475</v>
      </c>
      <c r="J116" s="178">
        <v>8152000</v>
      </c>
      <c r="K116" s="178">
        <v>99.203125</v>
      </c>
      <c r="L116" s="178">
        <v>2.8424247609000002</v>
      </c>
      <c r="M116" s="178">
        <v>-8098805.1035911599</v>
      </c>
      <c r="N116" s="174" t="s">
        <v>337</v>
      </c>
      <c r="O116" s="174" t="s">
        <v>476</v>
      </c>
      <c r="P116" s="174" t="s">
        <v>22</v>
      </c>
      <c r="Q116" s="174" t="s">
        <v>129</v>
      </c>
      <c r="R116" s="174" t="s">
        <v>960</v>
      </c>
      <c r="S116" s="174" t="s">
        <v>132</v>
      </c>
      <c r="T116" s="175"/>
      <c r="U116" s="175"/>
      <c r="V116" s="174" t="s">
        <v>469</v>
      </c>
      <c r="W116" s="174" t="s">
        <v>481</v>
      </c>
      <c r="X116" s="174" t="s">
        <v>22</v>
      </c>
      <c r="Y116" s="174"/>
      <c r="Z116" s="175"/>
      <c r="AA116" s="174" t="s">
        <v>512</v>
      </c>
      <c r="AB116" s="176">
        <v>43164.448148148149</v>
      </c>
      <c r="AC116" s="174" t="s">
        <v>960</v>
      </c>
      <c r="AD116" s="176">
        <v>43164.44462962963</v>
      </c>
      <c r="AE116" s="176">
        <v>43164.444687499999</v>
      </c>
      <c r="AF116" s="175"/>
    </row>
    <row r="117" spans="1:32" x14ac:dyDescent="0.25">
      <c r="A117" s="174" t="s">
        <v>484</v>
      </c>
      <c r="B117" s="174" t="s">
        <v>961</v>
      </c>
      <c r="C117" s="174" t="s">
        <v>478</v>
      </c>
      <c r="D117" s="174" t="s">
        <v>479</v>
      </c>
      <c r="E117" s="176">
        <v>43164</v>
      </c>
      <c r="F117" s="176">
        <v>43166</v>
      </c>
      <c r="G117" s="174" t="s">
        <v>936</v>
      </c>
      <c r="H117" s="177" t="s">
        <v>466</v>
      </c>
      <c r="I117" s="174" t="s">
        <v>962</v>
      </c>
      <c r="J117" s="178">
        <v>8923000</v>
      </c>
      <c r="K117" s="178">
        <v>94.040999999999997</v>
      </c>
      <c r="L117" s="178">
        <v>4.2320035920999999</v>
      </c>
      <c r="M117" s="178">
        <v>8522273.0272222199</v>
      </c>
      <c r="N117" s="174" t="s">
        <v>337</v>
      </c>
      <c r="O117" s="174" t="s">
        <v>963</v>
      </c>
      <c r="P117" s="174" t="s">
        <v>22</v>
      </c>
      <c r="Q117" s="174" t="s">
        <v>129</v>
      </c>
      <c r="R117" s="174" t="s">
        <v>964</v>
      </c>
      <c r="S117" s="174" t="s">
        <v>132</v>
      </c>
      <c r="T117" s="175"/>
      <c r="U117" s="175"/>
      <c r="V117" s="174" t="s">
        <v>640</v>
      </c>
      <c r="W117" s="174" t="s">
        <v>481</v>
      </c>
      <c r="X117" s="174" t="s">
        <v>22</v>
      </c>
      <c r="Y117" s="174"/>
      <c r="Z117" s="175"/>
      <c r="AA117" s="174" t="s">
        <v>512</v>
      </c>
      <c r="AB117" s="176">
        <v>43164.448148148149</v>
      </c>
      <c r="AC117" s="174" t="s">
        <v>964</v>
      </c>
      <c r="AD117" s="176">
        <v>43164.44462962963</v>
      </c>
      <c r="AE117" s="176">
        <v>43164.444699074076</v>
      </c>
      <c r="AF117" s="175"/>
    </row>
    <row r="118" spans="1:32" x14ac:dyDescent="0.25">
      <c r="A118" s="174" t="s">
        <v>461</v>
      </c>
      <c r="B118" s="174" t="s">
        <v>965</v>
      </c>
      <c r="C118" s="174" t="s">
        <v>463</v>
      </c>
      <c r="D118" s="174" t="s">
        <v>506</v>
      </c>
      <c r="E118" s="176">
        <v>43164</v>
      </c>
      <c r="F118" s="176">
        <v>43165</v>
      </c>
      <c r="G118" s="174" t="s">
        <v>936</v>
      </c>
      <c r="H118" s="179" t="s">
        <v>486</v>
      </c>
      <c r="I118" s="174" t="s">
        <v>508</v>
      </c>
      <c r="J118" s="178">
        <v>194000000</v>
      </c>
      <c r="K118" s="178">
        <v>99.921875</v>
      </c>
      <c r="L118" s="178">
        <v>2.7623302873000002</v>
      </c>
      <c r="M118" s="178">
        <v>-193935421.19565216</v>
      </c>
      <c r="N118" s="174" t="s">
        <v>337</v>
      </c>
      <c r="O118" s="174" t="s">
        <v>509</v>
      </c>
      <c r="P118" s="174" t="s">
        <v>22</v>
      </c>
      <c r="Q118" s="174" t="s">
        <v>129</v>
      </c>
      <c r="R118" s="174" t="s">
        <v>966</v>
      </c>
      <c r="S118" s="174" t="s">
        <v>132</v>
      </c>
      <c r="T118" s="175"/>
      <c r="U118" s="175"/>
      <c r="V118" s="174" t="s">
        <v>469</v>
      </c>
      <c r="W118" s="174" t="s">
        <v>511</v>
      </c>
      <c r="X118" s="174" t="s">
        <v>22</v>
      </c>
      <c r="Y118" s="174"/>
      <c r="Z118" s="175"/>
      <c r="AA118" s="174" t="s">
        <v>512</v>
      </c>
      <c r="AB118" s="176">
        <v>43164.448148148149</v>
      </c>
      <c r="AC118" s="174" t="s">
        <v>966</v>
      </c>
      <c r="AD118" s="176">
        <v>43164.446296296293</v>
      </c>
      <c r="AE118" s="176">
        <v>43164.446388888886</v>
      </c>
      <c r="AF118" s="175"/>
    </row>
    <row r="119" spans="1:32" x14ac:dyDescent="0.25">
      <c r="A119" s="174" t="s">
        <v>461</v>
      </c>
      <c r="B119" s="174" t="s">
        <v>967</v>
      </c>
      <c r="C119" s="174" t="s">
        <v>478</v>
      </c>
      <c r="D119" s="174" t="s">
        <v>600</v>
      </c>
      <c r="E119" s="176">
        <v>43164</v>
      </c>
      <c r="F119" s="176">
        <v>43165</v>
      </c>
      <c r="G119" s="174" t="s">
        <v>936</v>
      </c>
      <c r="H119" s="177" t="s">
        <v>466</v>
      </c>
      <c r="I119" s="174" t="s">
        <v>475</v>
      </c>
      <c r="J119" s="178">
        <v>25000000</v>
      </c>
      <c r="K119" s="178">
        <v>99.1953125</v>
      </c>
      <c r="L119" s="178">
        <v>2.8433360745999998</v>
      </c>
      <c r="M119" s="178">
        <v>24834912.379143652</v>
      </c>
      <c r="N119" s="174" t="s">
        <v>337</v>
      </c>
      <c r="O119" s="174" t="s">
        <v>476</v>
      </c>
      <c r="P119" s="174" t="s">
        <v>22</v>
      </c>
      <c r="Q119" s="174" t="s">
        <v>129</v>
      </c>
      <c r="R119" s="174" t="s">
        <v>968</v>
      </c>
      <c r="S119" s="174" t="s">
        <v>132</v>
      </c>
      <c r="T119" s="175"/>
      <c r="U119" s="175"/>
      <c r="V119" s="174" t="s">
        <v>469</v>
      </c>
      <c r="W119" s="174" t="s">
        <v>604</v>
      </c>
      <c r="X119" s="174" t="s">
        <v>22</v>
      </c>
      <c r="Y119" s="174"/>
      <c r="Z119" s="175"/>
      <c r="AA119" s="174" t="s">
        <v>969</v>
      </c>
      <c r="AB119" s="176">
        <v>43164.44158564815</v>
      </c>
      <c r="AC119" s="174" t="s">
        <v>968</v>
      </c>
      <c r="AD119" s="176">
        <v>43164.480196759258</v>
      </c>
      <c r="AE119" s="176">
        <v>43164.480196759258</v>
      </c>
      <c r="AF119" s="175"/>
    </row>
    <row r="120" spans="1:32" x14ac:dyDescent="0.25">
      <c r="A120" s="174" t="s">
        <v>461</v>
      </c>
      <c r="B120" s="174" t="s">
        <v>970</v>
      </c>
      <c r="C120" s="174" t="s">
        <v>478</v>
      </c>
      <c r="D120" s="174" t="s">
        <v>600</v>
      </c>
      <c r="E120" s="176">
        <v>43164</v>
      </c>
      <c r="F120" s="176">
        <v>43165</v>
      </c>
      <c r="G120" s="174" t="s">
        <v>936</v>
      </c>
      <c r="H120" s="177" t="s">
        <v>466</v>
      </c>
      <c r="I120" s="174" t="s">
        <v>475</v>
      </c>
      <c r="J120" s="178">
        <v>7340000</v>
      </c>
      <c r="K120" s="178">
        <v>99.11328125</v>
      </c>
      <c r="L120" s="178">
        <v>2.8529098138000002</v>
      </c>
      <c r="M120" s="178">
        <v>7285509.1807665704</v>
      </c>
      <c r="N120" s="174" t="s">
        <v>337</v>
      </c>
      <c r="O120" s="174" t="s">
        <v>476</v>
      </c>
      <c r="P120" s="174" t="s">
        <v>22</v>
      </c>
      <c r="Q120" s="174" t="s">
        <v>129</v>
      </c>
      <c r="R120" s="174" t="s">
        <v>971</v>
      </c>
      <c r="S120" s="174" t="s">
        <v>132</v>
      </c>
      <c r="T120" s="175"/>
      <c r="U120" s="175"/>
      <c r="V120" s="174" t="s">
        <v>469</v>
      </c>
      <c r="W120" s="174" t="s">
        <v>604</v>
      </c>
      <c r="X120" s="174" t="s">
        <v>22</v>
      </c>
      <c r="Y120" s="174"/>
      <c r="Z120" s="175"/>
      <c r="AA120" s="174" t="s">
        <v>969</v>
      </c>
      <c r="AB120" s="176">
        <v>43164.467534722222</v>
      </c>
      <c r="AC120" s="174" t="s">
        <v>971</v>
      </c>
      <c r="AD120" s="176">
        <v>43164.480312500003</v>
      </c>
      <c r="AE120" s="176">
        <v>43164.480312500003</v>
      </c>
      <c r="AF120" s="175"/>
    </row>
    <row r="121" spans="1:32" x14ac:dyDescent="0.25">
      <c r="A121" s="174" t="s">
        <v>484</v>
      </c>
      <c r="B121" s="174" t="s">
        <v>972</v>
      </c>
      <c r="C121" s="174" t="s">
        <v>478</v>
      </c>
      <c r="D121" s="174" t="s">
        <v>582</v>
      </c>
      <c r="E121" s="176">
        <v>43164</v>
      </c>
      <c r="F121" s="176">
        <v>43166</v>
      </c>
      <c r="G121" s="174" t="s">
        <v>936</v>
      </c>
      <c r="H121" s="179" t="s">
        <v>486</v>
      </c>
      <c r="I121" s="174" t="s">
        <v>583</v>
      </c>
      <c r="J121" s="178">
        <v>4550000</v>
      </c>
      <c r="K121" s="178">
        <v>99.049000000000007</v>
      </c>
      <c r="L121" s="178">
        <v>3.7900239821000001</v>
      </c>
      <c r="M121" s="178">
        <v>-4523337</v>
      </c>
      <c r="N121" s="174" t="s">
        <v>337</v>
      </c>
      <c r="O121" s="174" t="s">
        <v>584</v>
      </c>
      <c r="P121" s="174" t="s">
        <v>22</v>
      </c>
      <c r="Q121" s="174" t="s">
        <v>129</v>
      </c>
      <c r="R121" s="174" t="s">
        <v>973</v>
      </c>
      <c r="S121" s="174" t="s">
        <v>132</v>
      </c>
      <c r="T121" s="175"/>
      <c r="U121" s="175"/>
      <c r="V121" s="174" t="s">
        <v>489</v>
      </c>
      <c r="W121" s="174" t="s">
        <v>586</v>
      </c>
      <c r="X121" s="174" t="s">
        <v>22</v>
      </c>
      <c r="Y121" s="174"/>
      <c r="Z121" s="175"/>
      <c r="AA121" s="174" t="s">
        <v>512</v>
      </c>
      <c r="AB121" s="176">
        <v>43164.506192129629</v>
      </c>
      <c r="AC121" s="174" t="s">
        <v>973</v>
      </c>
      <c r="AD121" s="176">
        <v>43164.502280092594</v>
      </c>
      <c r="AE121" s="176">
        <v>43164.502349537041</v>
      </c>
      <c r="AF121" s="175"/>
    </row>
    <row r="122" spans="1:32" x14ac:dyDescent="0.25">
      <c r="A122" s="174" t="s">
        <v>461</v>
      </c>
      <c r="B122" s="174" t="s">
        <v>974</v>
      </c>
      <c r="C122" s="174" t="s">
        <v>478</v>
      </c>
      <c r="D122" s="174" t="s">
        <v>582</v>
      </c>
      <c r="E122" s="176">
        <v>43164</v>
      </c>
      <c r="F122" s="176">
        <v>43165</v>
      </c>
      <c r="G122" s="174" t="s">
        <v>936</v>
      </c>
      <c r="H122" s="177" t="s">
        <v>466</v>
      </c>
      <c r="I122" s="174" t="s">
        <v>475</v>
      </c>
      <c r="J122" s="178">
        <v>3595000</v>
      </c>
      <c r="K122" s="178">
        <v>98.96875</v>
      </c>
      <c r="L122" s="178">
        <v>2.8697998404999998</v>
      </c>
      <c r="M122" s="178">
        <v>3563115.47824586</v>
      </c>
      <c r="N122" s="174" t="s">
        <v>337</v>
      </c>
      <c r="O122" s="174" t="s">
        <v>476</v>
      </c>
      <c r="P122" s="174" t="s">
        <v>22</v>
      </c>
      <c r="Q122" s="174" t="s">
        <v>129</v>
      </c>
      <c r="R122" s="174" t="s">
        <v>975</v>
      </c>
      <c r="S122" s="174" t="s">
        <v>132</v>
      </c>
      <c r="T122" s="175"/>
      <c r="U122" s="175"/>
      <c r="V122" s="174" t="s">
        <v>469</v>
      </c>
      <c r="W122" s="174" t="s">
        <v>586</v>
      </c>
      <c r="X122" s="174" t="s">
        <v>22</v>
      </c>
      <c r="Y122" s="174"/>
      <c r="Z122" s="175"/>
      <c r="AA122" s="174" t="s">
        <v>512</v>
      </c>
      <c r="AB122" s="176">
        <v>43164.506192129629</v>
      </c>
      <c r="AC122" s="174" t="s">
        <v>975</v>
      </c>
      <c r="AD122" s="176">
        <v>43164.502291666664</v>
      </c>
      <c r="AE122" s="176">
        <v>43164.50236111111</v>
      </c>
      <c r="AF122" s="175"/>
    </row>
    <row r="123" spans="1:32" x14ac:dyDescent="0.25">
      <c r="A123" s="174" t="s">
        <v>484</v>
      </c>
      <c r="B123" s="174" t="s">
        <v>976</v>
      </c>
      <c r="C123" s="174" t="s">
        <v>478</v>
      </c>
      <c r="D123" s="174" t="s">
        <v>768</v>
      </c>
      <c r="E123" s="176">
        <v>43164</v>
      </c>
      <c r="F123" s="176">
        <v>43166</v>
      </c>
      <c r="G123" s="174" t="s">
        <v>936</v>
      </c>
      <c r="H123" s="179" t="s">
        <v>486</v>
      </c>
      <c r="I123" s="174" t="s">
        <v>977</v>
      </c>
      <c r="J123" s="178">
        <v>16500000</v>
      </c>
      <c r="K123" s="178">
        <v>97.58</v>
      </c>
      <c r="L123" s="178">
        <v>4.4029666023000003</v>
      </c>
      <c r="M123" s="178">
        <v>-16142041.66666667</v>
      </c>
      <c r="N123" s="174" t="s">
        <v>337</v>
      </c>
      <c r="O123" s="174" t="s">
        <v>978</v>
      </c>
      <c r="P123" s="174" t="s">
        <v>22</v>
      </c>
      <c r="Q123" s="174" t="s">
        <v>129</v>
      </c>
      <c r="R123" s="174" t="s">
        <v>979</v>
      </c>
      <c r="S123" s="174" t="s">
        <v>132</v>
      </c>
      <c r="T123" s="175"/>
      <c r="U123" s="175"/>
      <c r="V123" s="174" t="s">
        <v>489</v>
      </c>
      <c r="W123" s="174" t="s">
        <v>770</v>
      </c>
      <c r="X123" s="174" t="s">
        <v>22</v>
      </c>
      <c r="Y123" s="174"/>
      <c r="Z123" s="175"/>
      <c r="AA123" s="174" t="s">
        <v>512</v>
      </c>
      <c r="AB123" s="176">
        <v>43164.506192129629</v>
      </c>
      <c r="AC123" s="174" t="s">
        <v>979</v>
      </c>
      <c r="AD123" s="176">
        <v>43164.503125000003</v>
      </c>
      <c r="AE123" s="176">
        <v>43164.503182870372</v>
      </c>
      <c r="AF123" s="175"/>
    </row>
    <row r="124" spans="1:32" x14ac:dyDescent="0.25">
      <c r="A124" s="174" t="s">
        <v>461</v>
      </c>
      <c r="B124" s="174" t="s">
        <v>980</v>
      </c>
      <c r="C124" s="174" t="s">
        <v>478</v>
      </c>
      <c r="D124" s="174" t="s">
        <v>768</v>
      </c>
      <c r="E124" s="176">
        <v>43164</v>
      </c>
      <c r="F124" s="176">
        <v>43165</v>
      </c>
      <c r="G124" s="174" t="s">
        <v>936</v>
      </c>
      <c r="H124" s="177" t="s">
        <v>466</v>
      </c>
      <c r="I124" s="174" t="s">
        <v>475</v>
      </c>
      <c r="J124" s="178">
        <v>15200000</v>
      </c>
      <c r="K124" s="178">
        <v>98.9375</v>
      </c>
      <c r="L124" s="178">
        <v>2.8734554375000001</v>
      </c>
      <c r="M124" s="178">
        <v>15060439.226519339</v>
      </c>
      <c r="N124" s="174" t="s">
        <v>337</v>
      </c>
      <c r="O124" s="174" t="s">
        <v>476</v>
      </c>
      <c r="P124" s="174" t="s">
        <v>22</v>
      </c>
      <c r="Q124" s="174" t="s">
        <v>129</v>
      </c>
      <c r="R124" s="174" t="s">
        <v>981</v>
      </c>
      <c r="S124" s="174" t="s">
        <v>132</v>
      </c>
      <c r="T124" s="175"/>
      <c r="U124" s="175"/>
      <c r="V124" s="174" t="s">
        <v>469</v>
      </c>
      <c r="W124" s="174" t="s">
        <v>770</v>
      </c>
      <c r="X124" s="174" t="s">
        <v>22</v>
      </c>
      <c r="Y124" s="174"/>
      <c r="Z124" s="175"/>
      <c r="AA124" s="174" t="s">
        <v>512</v>
      </c>
      <c r="AB124" s="176">
        <v>43164.506192129629</v>
      </c>
      <c r="AC124" s="174" t="s">
        <v>981</v>
      </c>
      <c r="AD124" s="176">
        <v>43164.503125000003</v>
      </c>
      <c r="AE124" s="176">
        <v>43164.503194444442</v>
      </c>
      <c r="AF124" s="175"/>
    </row>
    <row r="125" spans="1:32" x14ac:dyDescent="0.25">
      <c r="A125" s="174" t="s">
        <v>461</v>
      </c>
      <c r="B125" s="174" t="s">
        <v>982</v>
      </c>
      <c r="C125" s="174" t="s">
        <v>478</v>
      </c>
      <c r="D125" s="174" t="s">
        <v>600</v>
      </c>
      <c r="E125" s="176">
        <v>43164</v>
      </c>
      <c r="F125" s="176">
        <v>43165</v>
      </c>
      <c r="G125" s="174" t="s">
        <v>936</v>
      </c>
      <c r="H125" s="177" t="s">
        <v>466</v>
      </c>
      <c r="I125" s="174" t="s">
        <v>475</v>
      </c>
      <c r="J125" s="178">
        <v>5000000</v>
      </c>
      <c r="K125" s="178">
        <v>98.96875</v>
      </c>
      <c r="L125" s="178">
        <v>2.8697998404999998</v>
      </c>
      <c r="M125" s="178">
        <v>4955654.3508287305</v>
      </c>
      <c r="N125" s="174" t="s">
        <v>337</v>
      </c>
      <c r="O125" s="174" t="s">
        <v>476</v>
      </c>
      <c r="P125" s="174" t="s">
        <v>22</v>
      </c>
      <c r="Q125" s="174" t="s">
        <v>129</v>
      </c>
      <c r="R125" s="174" t="s">
        <v>983</v>
      </c>
      <c r="S125" s="174" t="s">
        <v>132</v>
      </c>
      <c r="T125" s="175"/>
      <c r="U125" s="175"/>
      <c r="V125" s="174" t="s">
        <v>469</v>
      </c>
      <c r="W125" s="174" t="s">
        <v>604</v>
      </c>
      <c r="X125" s="174" t="s">
        <v>22</v>
      </c>
      <c r="Y125" s="174"/>
      <c r="Z125" s="175"/>
      <c r="AA125" s="174" t="s">
        <v>969</v>
      </c>
      <c r="AB125" s="176">
        <v>43164.493368055555</v>
      </c>
      <c r="AC125" s="174" t="s">
        <v>983</v>
      </c>
      <c r="AD125" s="176">
        <v>43164.509340277778</v>
      </c>
      <c r="AE125" s="176">
        <v>43164.509340277778</v>
      </c>
      <c r="AF125" s="175"/>
    </row>
    <row r="126" spans="1:32" x14ac:dyDescent="0.25">
      <c r="A126" s="174" t="s">
        <v>461</v>
      </c>
      <c r="B126" s="174" t="s">
        <v>984</v>
      </c>
      <c r="C126" s="174" t="s">
        <v>478</v>
      </c>
      <c r="D126" s="174" t="s">
        <v>600</v>
      </c>
      <c r="E126" s="176">
        <v>43164</v>
      </c>
      <c r="F126" s="176">
        <v>43165</v>
      </c>
      <c r="G126" s="174" t="s">
        <v>936</v>
      </c>
      <c r="H126" s="177" t="s">
        <v>466</v>
      </c>
      <c r="I126" s="174" t="s">
        <v>475</v>
      </c>
      <c r="J126" s="178">
        <v>29000000</v>
      </c>
      <c r="K126" s="178">
        <v>98.765625</v>
      </c>
      <c r="L126" s="178">
        <v>2.8935847932000001</v>
      </c>
      <c r="M126" s="178">
        <v>28683888.984806631</v>
      </c>
      <c r="N126" s="174" t="s">
        <v>337</v>
      </c>
      <c r="O126" s="174" t="s">
        <v>476</v>
      </c>
      <c r="P126" s="174" t="s">
        <v>22</v>
      </c>
      <c r="Q126" s="174" t="s">
        <v>129</v>
      </c>
      <c r="R126" s="174" t="s">
        <v>985</v>
      </c>
      <c r="S126" s="174" t="s">
        <v>132</v>
      </c>
      <c r="T126" s="175"/>
      <c r="U126" s="175"/>
      <c r="V126" s="174" t="s">
        <v>469</v>
      </c>
      <c r="W126" s="174" t="s">
        <v>604</v>
      </c>
      <c r="X126" s="174" t="s">
        <v>22</v>
      </c>
      <c r="Y126" s="174"/>
      <c r="Z126" s="175"/>
      <c r="AA126" s="174" t="s">
        <v>969</v>
      </c>
      <c r="AB126" s="176">
        <v>43164.545046296298</v>
      </c>
      <c r="AC126" s="174" t="s">
        <v>985</v>
      </c>
      <c r="AD126" s="176">
        <v>43164.545219907406</v>
      </c>
      <c r="AE126" s="176">
        <v>43164.545219907406</v>
      </c>
      <c r="AF126" s="175"/>
    </row>
    <row r="127" spans="1:32" x14ac:dyDescent="0.25">
      <c r="A127" s="174" t="s">
        <v>461</v>
      </c>
      <c r="B127" s="174" t="s">
        <v>986</v>
      </c>
      <c r="C127" s="174" t="s">
        <v>478</v>
      </c>
      <c r="D127" s="174" t="s">
        <v>600</v>
      </c>
      <c r="E127" s="176">
        <v>43164</v>
      </c>
      <c r="F127" s="176">
        <v>43165</v>
      </c>
      <c r="G127" s="174" t="s">
        <v>936</v>
      </c>
      <c r="H127" s="177" t="s">
        <v>466</v>
      </c>
      <c r="I127" s="174" t="s">
        <v>475</v>
      </c>
      <c r="J127" s="178">
        <v>25000000</v>
      </c>
      <c r="K127" s="178">
        <v>98.87890625</v>
      </c>
      <c r="L127" s="178">
        <v>2.8803132332999999</v>
      </c>
      <c r="M127" s="178">
        <v>24755810.816643648</v>
      </c>
      <c r="N127" s="174" t="s">
        <v>337</v>
      </c>
      <c r="O127" s="174" t="s">
        <v>476</v>
      </c>
      <c r="P127" s="174" t="s">
        <v>22</v>
      </c>
      <c r="Q127" s="174" t="s">
        <v>129</v>
      </c>
      <c r="R127" s="174" t="s">
        <v>987</v>
      </c>
      <c r="S127" s="174" t="s">
        <v>132</v>
      </c>
      <c r="T127" s="175"/>
      <c r="U127" s="175"/>
      <c r="V127" s="174" t="s">
        <v>469</v>
      </c>
      <c r="W127" s="174" t="s">
        <v>604</v>
      </c>
      <c r="X127" s="174" t="s">
        <v>22</v>
      </c>
      <c r="Y127" s="174"/>
      <c r="Z127" s="175"/>
      <c r="AA127" s="174" t="s">
        <v>969</v>
      </c>
      <c r="AB127" s="176">
        <v>43164.532129629632</v>
      </c>
      <c r="AC127" s="174" t="s">
        <v>987</v>
      </c>
      <c r="AD127" s="176">
        <v>43164.545219907406</v>
      </c>
      <c r="AE127" s="176">
        <v>43164.545219907406</v>
      </c>
      <c r="AF127" s="175"/>
    </row>
    <row r="128" spans="1:32" x14ac:dyDescent="0.25">
      <c r="A128" s="174" t="s">
        <v>484</v>
      </c>
      <c r="B128" s="174" t="s">
        <v>988</v>
      </c>
      <c r="C128" s="174" t="s">
        <v>478</v>
      </c>
      <c r="D128" s="174" t="s">
        <v>596</v>
      </c>
      <c r="E128" s="176">
        <v>43164</v>
      </c>
      <c r="F128" s="176">
        <v>43168</v>
      </c>
      <c r="G128" s="174" t="s">
        <v>936</v>
      </c>
      <c r="H128" s="179" t="s">
        <v>486</v>
      </c>
      <c r="I128" s="174" t="s">
        <v>989</v>
      </c>
      <c r="J128" s="178">
        <v>2000000</v>
      </c>
      <c r="K128" s="178">
        <v>98.77</v>
      </c>
      <c r="L128" s="178">
        <v>6.6267826858000003</v>
      </c>
      <c r="M128" s="178">
        <v>-1975400</v>
      </c>
      <c r="N128" s="174" t="s">
        <v>337</v>
      </c>
      <c r="O128" s="174" t="s">
        <v>990</v>
      </c>
      <c r="P128" s="174" t="s">
        <v>22</v>
      </c>
      <c r="Q128" s="174" t="s">
        <v>129</v>
      </c>
      <c r="R128" s="174" t="s">
        <v>991</v>
      </c>
      <c r="S128" s="174" t="s">
        <v>132</v>
      </c>
      <c r="T128" s="175"/>
      <c r="U128" s="175"/>
      <c r="V128" s="174" t="s">
        <v>489</v>
      </c>
      <c r="W128" s="174" t="s">
        <v>598</v>
      </c>
      <c r="X128" s="174" t="s">
        <v>22</v>
      </c>
      <c r="Y128" s="174"/>
      <c r="Z128" s="175"/>
      <c r="AA128" s="174" t="s">
        <v>512</v>
      </c>
      <c r="AB128" s="176">
        <v>43164.584733796299</v>
      </c>
      <c r="AC128" s="174" t="s">
        <v>991</v>
      </c>
      <c r="AD128" s="176">
        <v>43164.578310185185</v>
      </c>
      <c r="AE128" s="176">
        <v>43164.578368055554</v>
      </c>
      <c r="AF128" s="175"/>
    </row>
    <row r="129" spans="1:32" x14ac:dyDescent="0.25">
      <c r="A129" s="174" t="s">
        <v>484</v>
      </c>
      <c r="B129" s="174" t="s">
        <v>992</v>
      </c>
      <c r="C129" s="174" t="s">
        <v>478</v>
      </c>
      <c r="D129" s="174" t="s">
        <v>846</v>
      </c>
      <c r="E129" s="176">
        <v>43164</v>
      </c>
      <c r="F129" s="176">
        <v>43167</v>
      </c>
      <c r="G129" s="174" t="s">
        <v>936</v>
      </c>
      <c r="H129" s="179" t="s">
        <v>486</v>
      </c>
      <c r="I129" s="174" t="s">
        <v>619</v>
      </c>
      <c r="J129" s="178">
        <v>3500000</v>
      </c>
      <c r="K129" s="178">
        <v>99.55</v>
      </c>
      <c r="L129" s="178">
        <v>4.353572904</v>
      </c>
      <c r="M129" s="178">
        <v>-3484250</v>
      </c>
      <c r="N129" s="174" t="s">
        <v>337</v>
      </c>
      <c r="O129" s="174" t="s">
        <v>620</v>
      </c>
      <c r="P129" s="174" t="s">
        <v>22</v>
      </c>
      <c r="Q129" s="174" t="s">
        <v>129</v>
      </c>
      <c r="R129" s="174" t="s">
        <v>993</v>
      </c>
      <c r="S129" s="174" t="s">
        <v>132</v>
      </c>
      <c r="T129" s="175"/>
      <c r="U129" s="175"/>
      <c r="V129" s="174" t="s">
        <v>489</v>
      </c>
      <c r="W129" s="174" t="s">
        <v>851</v>
      </c>
      <c r="X129" s="174" t="s">
        <v>22</v>
      </c>
      <c r="Y129" s="174"/>
      <c r="Z129" s="175"/>
      <c r="AA129" s="174" t="s">
        <v>742</v>
      </c>
      <c r="AB129" s="176">
        <v>43164.604398148149</v>
      </c>
      <c r="AC129" s="174" t="s">
        <v>993</v>
      </c>
      <c r="AD129" s="176">
        <v>43164.600497685184</v>
      </c>
      <c r="AE129" s="176">
        <v>43164.600497685184</v>
      </c>
      <c r="AF129" s="175"/>
    </row>
    <row r="130" spans="1:32" x14ac:dyDescent="0.25">
      <c r="A130" s="174" t="s">
        <v>461</v>
      </c>
      <c r="B130" s="174" t="s">
        <v>994</v>
      </c>
      <c r="C130" s="174" t="s">
        <v>478</v>
      </c>
      <c r="D130" s="174" t="s">
        <v>846</v>
      </c>
      <c r="E130" s="176">
        <v>43164</v>
      </c>
      <c r="F130" s="176">
        <v>43165</v>
      </c>
      <c r="G130" s="174" t="s">
        <v>936</v>
      </c>
      <c r="H130" s="177" t="s">
        <v>466</v>
      </c>
      <c r="I130" s="174" t="s">
        <v>475</v>
      </c>
      <c r="J130" s="178">
        <v>3300000</v>
      </c>
      <c r="K130" s="178">
        <v>98.8125</v>
      </c>
      <c r="L130" s="178">
        <v>2.8880910082</v>
      </c>
      <c r="M130" s="178">
        <v>3265575.62154696</v>
      </c>
      <c r="N130" s="174" t="s">
        <v>337</v>
      </c>
      <c r="O130" s="174" t="s">
        <v>476</v>
      </c>
      <c r="P130" s="174" t="s">
        <v>22</v>
      </c>
      <c r="Q130" s="174" t="s">
        <v>129</v>
      </c>
      <c r="R130" s="174" t="s">
        <v>995</v>
      </c>
      <c r="S130" s="174" t="s">
        <v>132</v>
      </c>
      <c r="T130" s="175"/>
      <c r="U130" s="175"/>
      <c r="V130" s="174" t="s">
        <v>469</v>
      </c>
      <c r="W130" s="174" t="s">
        <v>851</v>
      </c>
      <c r="X130" s="174" t="s">
        <v>22</v>
      </c>
      <c r="Y130" s="174"/>
      <c r="Z130" s="175"/>
      <c r="AA130" s="174" t="s">
        <v>742</v>
      </c>
      <c r="AB130" s="176">
        <v>43164.604398148149</v>
      </c>
      <c r="AC130" s="174" t="s">
        <v>995</v>
      </c>
      <c r="AD130" s="176">
        <v>43164.60056712963</v>
      </c>
      <c r="AE130" s="176">
        <v>43164.60056712963</v>
      </c>
      <c r="AF130" s="175"/>
    </row>
    <row r="131" spans="1:32" x14ac:dyDescent="0.25">
      <c r="A131" s="174" t="s">
        <v>461</v>
      </c>
      <c r="B131" s="174" t="s">
        <v>996</v>
      </c>
      <c r="C131" s="174" t="s">
        <v>497</v>
      </c>
      <c r="D131" s="174" t="s">
        <v>753</v>
      </c>
      <c r="E131" s="176">
        <v>43164</v>
      </c>
      <c r="F131" s="176">
        <v>43165</v>
      </c>
      <c r="G131" s="174" t="s">
        <v>936</v>
      </c>
      <c r="H131" s="179" t="s">
        <v>486</v>
      </c>
      <c r="I131" s="174" t="s">
        <v>997</v>
      </c>
      <c r="J131" s="178">
        <v>6300000</v>
      </c>
      <c r="K131" s="178">
        <v>125.012</v>
      </c>
      <c r="L131" s="178">
        <v>1.4860616909</v>
      </c>
      <c r="M131" s="178">
        <v>-7941222.3461538497</v>
      </c>
      <c r="N131" s="174" t="s">
        <v>998</v>
      </c>
      <c r="O131" s="174" t="s">
        <v>999</v>
      </c>
      <c r="P131" s="174" t="s">
        <v>22</v>
      </c>
      <c r="Q131" s="174" t="s">
        <v>129</v>
      </c>
      <c r="R131" s="174" t="s">
        <v>1000</v>
      </c>
      <c r="S131" s="174" t="s">
        <v>132</v>
      </c>
      <c r="T131" s="175"/>
      <c r="U131" s="175"/>
      <c r="V131" s="174" t="s">
        <v>1001</v>
      </c>
      <c r="W131" s="174" t="s">
        <v>757</v>
      </c>
      <c r="X131" s="174" t="s">
        <v>22</v>
      </c>
      <c r="Y131" s="174"/>
      <c r="Z131" s="175"/>
      <c r="AA131" s="174" t="s">
        <v>512</v>
      </c>
      <c r="AB131" s="176">
        <v>43164.610729166663</v>
      </c>
      <c r="AC131" s="174" t="s">
        <v>1000</v>
      </c>
      <c r="AD131" s="176">
        <v>43164.607303240744</v>
      </c>
      <c r="AE131" s="176">
        <v>43164.607349537036</v>
      </c>
      <c r="AF131" s="175"/>
    </row>
    <row r="132" spans="1:32" x14ac:dyDescent="0.25">
      <c r="A132" s="174" t="s">
        <v>461</v>
      </c>
      <c r="B132" s="174" t="s">
        <v>1002</v>
      </c>
      <c r="C132" s="174" t="s">
        <v>497</v>
      </c>
      <c r="D132" s="174" t="s">
        <v>753</v>
      </c>
      <c r="E132" s="176">
        <v>43164</v>
      </c>
      <c r="F132" s="176">
        <v>43165</v>
      </c>
      <c r="G132" s="174" t="s">
        <v>936</v>
      </c>
      <c r="H132" s="177" t="s">
        <v>466</v>
      </c>
      <c r="I132" s="174" t="s">
        <v>1003</v>
      </c>
      <c r="J132" s="178">
        <v>7500000</v>
      </c>
      <c r="K132" s="178">
        <v>97.719848999999996</v>
      </c>
      <c r="L132" s="178">
        <v>1.5115619902999999</v>
      </c>
      <c r="M132" s="178">
        <v>7340124.72472376</v>
      </c>
      <c r="N132" s="174" t="s">
        <v>998</v>
      </c>
      <c r="O132" s="174" t="s">
        <v>1004</v>
      </c>
      <c r="P132" s="174" t="s">
        <v>22</v>
      </c>
      <c r="Q132" s="174" t="s">
        <v>129</v>
      </c>
      <c r="R132" s="174" t="s">
        <v>1005</v>
      </c>
      <c r="S132" s="174" t="s">
        <v>132</v>
      </c>
      <c r="T132" s="175"/>
      <c r="U132" s="175"/>
      <c r="V132" s="174" t="s">
        <v>1001</v>
      </c>
      <c r="W132" s="174" t="s">
        <v>757</v>
      </c>
      <c r="X132" s="174" t="s">
        <v>22</v>
      </c>
      <c r="Y132" s="174"/>
      <c r="Z132" s="175"/>
      <c r="AA132" s="174" t="s">
        <v>512</v>
      </c>
      <c r="AB132" s="176">
        <v>43164.610729166663</v>
      </c>
      <c r="AC132" s="174" t="s">
        <v>1005</v>
      </c>
      <c r="AD132" s="176">
        <v>43164.607303240744</v>
      </c>
      <c r="AE132" s="176">
        <v>43164.607407407406</v>
      </c>
      <c r="AF132" s="175"/>
    </row>
    <row r="133" spans="1:32" x14ac:dyDescent="0.25">
      <c r="A133" s="174" t="s">
        <v>461</v>
      </c>
      <c r="B133" s="174" t="s">
        <v>1006</v>
      </c>
      <c r="C133" s="174" t="s">
        <v>478</v>
      </c>
      <c r="D133" s="174" t="s">
        <v>768</v>
      </c>
      <c r="E133" s="176">
        <v>43164</v>
      </c>
      <c r="F133" s="176">
        <v>43165</v>
      </c>
      <c r="G133" s="174" t="s">
        <v>936</v>
      </c>
      <c r="H133" s="179" t="s">
        <v>486</v>
      </c>
      <c r="I133" s="174" t="s">
        <v>543</v>
      </c>
      <c r="J133" s="178">
        <v>8300000</v>
      </c>
      <c r="K133" s="178">
        <v>92.109375</v>
      </c>
      <c r="L133" s="178">
        <v>3.1615186828000001</v>
      </c>
      <c r="M133" s="178">
        <v>-7715066.3846685104</v>
      </c>
      <c r="N133" s="174" t="s">
        <v>337</v>
      </c>
      <c r="O133" s="174" t="s">
        <v>544</v>
      </c>
      <c r="P133" s="174" t="s">
        <v>22</v>
      </c>
      <c r="Q133" s="174" t="s">
        <v>129</v>
      </c>
      <c r="R133" s="174" t="s">
        <v>1007</v>
      </c>
      <c r="S133" s="174" t="s">
        <v>132</v>
      </c>
      <c r="T133" s="175"/>
      <c r="U133" s="175"/>
      <c r="V133" s="174" t="s">
        <v>469</v>
      </c>
      <c r="W133" s="174" t="s">
        <v>770</v>
      </c>
      <c r="X133" s="174" t="s">
        <v>22</v>
      </c>
      <c r="Y133" s="174"/>
      <c r="Z133" s="175"/>
      <c r="AA133" s="174" t="s">
        <v>512</v>
      </c>
      <c r="AB133" s="176">
        <v>43164.695775462962</v>
      </c>
      <c r="AC133" s="174" t="s">
        <v>1007</v>
      </c>
      <c r="AD133" s="176">
        <v>43164.692418981482</v>
      </c>
      <c r="AE133" s="176">
        <v>43164.692465277774</v>
      </c>
      <c r="AF133" s="175"/>
    </row>
    <row r="134" spans="1:32" x14ac:dyDescent="0.25">
      <c r="A134" s="174" t="s">
        <v>484</v>
      </c>
      <c r="B134" s="174" t="s">
        <v>1008</v>
      </c>
      <c r="C134" s="174" t="s">
        <v>478</v>
      </c>
      <c r="D134" s="174" t="s">
        <v>768</v>
      </c>
      <c r="E134" s="176">
        <v>43164</v>
      </c>
      <c r="F134" s="176">
        <v>43166</v>
      </c>
      <c r="G134" s="174" t="s">
        <v>936</v>
      </c>
      <c r="H134" s="177" t="s">
        <v>466</v>
      </c>
      <c r="I134" s="174" t="s">
        <v>1009</v>
      </c>
      <c r="J134" s="178">
        <v>10000000</v>
      </c>
      <c r="K134" s="178">
        <v>103.002</v>
      </c>
      <c r="L134" s="178">
        <v>4.9237310364000004</v>
      </c>
      <c r="M134" s="178">
        <v>10367109.72222222</v>
      </c>
      <c r="N134" s="174" t="s">
        <v>337</v>
      </c>
      <c r="O134" s="174" t="s">
        <v>1010</v>
      </c>
      <c r="P134" s="174" t="s">
        <v>22</v>
      </c>
      <c r="Q134" s="174" t="s">
        <v>129</v>
      </c>
      <c r="R134" s="174" t="s">
        <v>1011</v>
      </c>
      <c r="S134" s="174" t="s">
        <v>132</v>
      </c>
      <c r="T134" s="175"/>
      <c r="U134" s="175"/>
      <c r="V134" s="174" t="s">
        <v>489</v>
      </c>
      <c r="W134" s="174" t="s">
        <v>770</v>
      </c>
      <c r="X134" s="174" t="s">
        <v>22</v>
      </c>
      <c r="Y134" s="174"/>
      <c r="Z134" s="175"/>
      <c r="AA134" s="174" t="s">
        <v>512</v>
      </c>
      <c r="AB134" s="176">
        <v>43164.695775462962</v>
      </c>
      <c r="AC134" s="174" t="s">
        <v>1011</v>
      </c>
      <c r="AD134" s="176">
        <v>43164.692418981482</v>
      </c>
      <c r="AE134" s="176">
        <v>43164.692511574074</v>
      </c>
      <c r="AF134" s="175"/>
    </row>
    <row r="135" spans="1:32" x14ac:dyDescent="0.25">
      <c r="A135" s="174" t="s">
        <v>484</v>
      </c>
      <c r="B135" s="174" t="s">
        <v>1012</v>
      </c>
      <c r="C135" s="174" t="s">
        <v>478</v>
      </c>
      <c r="D135" s="174" t="s">
        <v>1013</v>
      </c>
      <c r="E135" s="176">
        <v>43164</v>
      </c>
      <c r="F135" s="176">
        <v>43166</v>
      </c>
      <c r="G135" s="174" t="s">
        <v>936</v>
      </c>
      <c r="H135" s="179" t="s">
        <v>486</v>
      </c>
      <c r="I135" s="174" t="s">
        <v>1014</v>
      </c>
      <c r="J135" s="178">
        <v>3000000</v>
      </c>
      <c r="K135" s="178">
        <v>98.441999999999993</v>
      </c>
      <c r="L135" s="178">
        <v>4.1910138321000003</v>
      </c>
      <c r="M135" s="178">
        <v>-2962926.6666666702</v>
      </c>
      <c r="N135" s="174" t="s">
        <v>337</v>
      </c>
      <c r="O135" s="174" t="s">
        <v>1015</v>
      </c>
      <c r="P135" s="174" t="s">
        <v>22</v>
      </c>
      <c r="Q135" s="174" t="s">
        <v>129</v>
      </c>
      <c r="R135" s="174" t="s">
        <v>1016</v>
      </c>
      <c r="S135" s="174" t="s">
        <v>132</v>
      </c>
      <c r="T135" s="175"/>
      <c r="U135" s="175"/>
      <c r="V135" s="174" t="s">
        <v>489</v>
      </c>
      <c r="W135" s="174" t="s">
        <v>1017</v>
      </c>
      <c r="X135" s="174" t="s">
        <v>22</v>
      </c>
      <c r="Y135" s="174"/>
      <c r="Z135" s="175"/>
      <c r="AA135" s="174" t="s">
        <v>927</v>
      </c>
      <c r="AB135" s="176">
        <v>43164.702523148146</v>
      </c>
      <c r="AC135" s="174" t="s">
        <v>1016</v>
      </c>
      <c r="AD135" s="176">
        <v>43164.694490740738</v>
      </c>
      <c r="AE135" s="176">
        <v>43164.694490740738</v>
      </c>
      <c r="AF135" s="175"/>
    </row>
    <row r="136" spans="1:32" x14ac:dyDescent="0.25">
      <c r="A136" s="174" t="s">
        <v>461</v>
      </c>
      <c r="B136" s="174" t="s">
        <v>1018</v>
      </c>
      <c r="C136" s="174" t="s">
        <v>478</v>
      </c>
      <c r="D136" s="174" t="s">
        <v>1013</v>
      </c>
      <c r="E136" s="176">
        <v>43164</v>
      </c>
      <c r="F136" s="176">
        <v>43165</v>
      </c>
      <c r="G136" s="174" t="s">
        <v>936</v>
      </c>
      <c r="H136" s="177" t="s">
        <v>466</v>
      </c>
      <c r="I136" s="174" t="s">
        <v>475</v>
      </c>
      <c r="J136" s="178">
        <v>2800000</v>
      </c>
      <c r="K136" s="178">
        <v>98.875</v>
      </c>
      <c r="L136" s="178">
        <v>2.8807705845</v>
      </c>
      <c r="M136" s="178">
        <v>2772541.4364640899</v>
      </c>
      <c r="N136" s="174" t="s">
        <v>337</v>
      </c>
      <c r="O136" s="174" t="s">
        <v>476</v>
      </c>
      <c r="P136" s="174" t="s">
        <v>22</v>
      </c>
      <c r="Q136" s="174" t="s">
        <v>129</v>
      </c>
      <c r="R136" s="174" t="s">
        <v>1019</v>
      </c>
      <c r="S136" s="174" t="s">
        <v>132</v>
      </c>
      <c r="T136" s="175"/>
      <c r="U136" s="175"/>
      <c r="V136" s="174" t="s">
        <v>469</v>
      </c>
      <c r="W136" s="174" t="s">
        <v>1017</v>
      </c>
      <c r="X136" s="174" t="s">
        <v>22</v>
      </c>
      <c r="Y136" s="174"/>
      <c r="Z136" s="175"/>
      <c r="AA136" s="174" t="s">
        <v>927</v>
      </c>
      <c r="AB136" s="176">
        <v>43164.702523148146</v>
      </c>
      <c r="AC136" s="174" t="s">
        <v>1019</v>
      </c>
      <c r="AD136" s="176">
        <v>43164.694606481484</v>
      </c>
      <c r="AE136" s="176">
        <v>43164.694606481484</v>
      </c>
      <c r="AF136" s="175"/>
    </row>
    <row r="137" spans="1:32" x14ac:dyDescent="0.25">
      <c r="A137" s="174" t="s">
        <v>484</v>
      </c>
      <c r="B137" s="174" t="s">
        <v>1020</v>
      </c>
      <c r="C137" s="174" t="s">
        <v>478</v>
      </c>
      <c r="D137" s="174" t="s">
        <v>1021</v>
      </c>
      <c r="E137" s="176">
        <v>43164</v>
      </c>
      <c r="F137" s="176">
        <v>43166</v>
      </c>
      <c r="G137" s="174" t="s">
        <v>936</v>
      </c>
      <c r="H137" s="179" t="s">
        <v>486</v>
      </c>
      <c r="I137" s="174" t="s">
        <v>1022</v>
      </c>
      <c r="J137" s="178">
        <v>2275000</v>
      </c>
      <c r="K137" s="178">
        <v>100</v>
      </c>
      <c r="L137" s="178">
        <v>5.8745374771999996</v>
      </c>
      <c r="M137" s="178">
        <v>-2338857.9861111101</v>
      </c>
      <c r="N137" s="174" t="s">
        <v>337</v>
      </c>
      <c r="O137" s="174" t="s">
        <v>1023</v>
      </c>
      <c r="P137" s="174" t="s">
        <v>23</v>
      </c>
      <c r="Q137" s="174" t="s">
        <v>129</v>
      </c>
      <c r="R137" s="175"/>
      <c r="S137" s="175"/>
      <c r="T137" s="175"/>
      <c r="U137" s="175"/>
      <c r="V137" s="174" t="s">
        <v>489</v>
      </c>
      <c r="W137" s="174" t="s">
        <v>1024</v>
      </c>
      <c r="X137" s="174" t="s">
        <v>24</v>
      </c>
      <c r="Y137" s="174"/>
      <c r="Z137" s="174" t="s">
        <v>1025</v>
      </c>
      <c r="AA137" s="174" t="s">
        <v>483</v>
      </c>
      <c r="AB137" s="176">
        <v>43164.448148148149</v>
      </c>
      <c r="AC137" s="175"/>
      <c r="AD137" s="176">
        <v>43164.531863425924</v>
      </c>
      <c r="AE137" s="176">
        <v>43164.531863425924</v>
      </c>
      <c r="AF137" s="175"/>
    </row>
    <row r="138" spans="1:32" x14ac:dyDescent="0.25">
      <c r="A138" s="174" t="s">
        <v>461</v>
      </c>
      <c r="B138" s="174" t="s">
        <v>1026</v>
      </c>
      <c r="C138" s="174" t="s">
        <v>478</v>
      </c>
      <c r="D138" s="174" t="s">
        <v>582</v>
      </c>
      <c r="E138" s="176">
        <v>43164</v>
      </c>
      <c r="F138" s="176">
        <v>43165</v>
      </c>
      <c r="G138" s="174" t="s">
        <v>936</v>
      </c>
      <c r="H138" s="177" t="s">
        <v>466</v>
      </c>
      <c r="I138" s="174" t="s">
        <v>644</v>
      </c>
      <c r="J138" s="178">
        <v>4550000</v>
      </c>
      <c r="K138" s="178">
        <v>96.94140625</v>
      </c>
      <c r="L138" s="178">
        <v>3.1586312234</v>
      </c>
      <c r="M138" s="178">
        <v>4417998.3490158804</v>
      </c>
      <c r="N138" s="174" t="s">
        <v>337</v>
      </c>
      <c r="O138" s="174" t="s">
        <v>645</v>
      </c>
      <c r="P138" s="174" t="s">
        <v>23</v>
      </c>
      <c r="Q138" s="174" t="s">
        <v>129</v>
      </c>
      <c r="R138" s="175"/>
      <c r="S138" s="175"/>
      <c r="T138" s="175"/>
      <c r="U138" s="175"/>
      <c r="V138" s="174" t="s">
        <v>469</v>
      </c>
      <c r="W138" s="174" t="s">
        <v>586</v>
      </c>
      <c r="X138" s="174" t="s">
        <v>24</v>
      </c>
      <c r="Y138" s="174"/>
      <c r="Z138" s="174" t="s">
        <v>1025</v>
      </c>
      <c r="AA138" s="174" t="s">
        <v>483</v>
      </c>
      <c r="AB138" s="176">
        <v>43164.532129629632</v>
      </c>
      <c r="AC138" s="175"/>
      <c r="AD138" s="176">
        <v>43164.568981481483</v>
      </c>
      <c r="AE138" s="176">
        <v>43164.568981481483</v>
      </c>
      <c r="AF138" s="175"/>
    </row>
    <row r="139" spans="1:32" x14ac:dyDescent="0.25">
      <c r="A139" s="174" t="s">
        <v>461</v>
      </c>
      <c r="B139" s="174" t="s">
        <v>1027</v>
      </c>
      <c r="C139" s="174" t="s">
        <v>478</v>
      </c>
      <c r="D139" s="174" t="s">
        <v>582</v>
      </c>
      <c r="E139" s="176">
        <v>43164</v>
      </c>
      <c r="F139" s="176">
        <v>43165</v>
      </c>
      <c r="G139" s="174" t="s">
        <v>936</v>
      </c>
      <c r="H139" s="177" t="s">
        <v>466</v>
      </c>
      <c r="I139" s="174" t="s">
        <v>644</v>
      </c>
      <c r="J139" s="178">
        <v>9100000</v>
      </c>
      <c r="K139" s="178">
        <v>96.84375</v>
      </c>
      <c r="L139" s="178">
        <v>3.1638055279000001</v>
      </c>
      <c r="M139" s="178">
        <v>8827109.9792817701</v>
      </c>
      <c r="N139" s="174" t="s">
        <v>337</v>
      </c>
      <c r="O139" s="174" t="s">
        <v>645</v>
      </c>
      <c r="P139" s="174" t="s">
        <v>23</v>
      </c>
      <c r="Q139" s="174" t="s">
        <v>129</v>
      </c>
      <c r="R139" s="175"/>
      <c r="S139" s="175"/>
      <c r="T139" s="175"/>
      <c r="U139" s="175"/>
      <c r="V139" s="174" t="s">
        <v>469</v>
      </c>
      <c r="W139" s="174" t="s">
        <v>586</v>
      </c>
      <c r="X139" s="174" t="s">
        <v>24</v>
      </c>
      <c r="Y139" s="174"/>
      <c r="Z139" s="174" t="s">
        <v>1028</v>
      </c>
      <c r="AA139" s="174" t="s">
        <v>483</v>
      </c>
      <c r="AB139" s="176">
        <v>43164.564699074072</v>
      </c>
      <c r="AC139" s="175"/>
      <c r="AD139" s="176">
        <v>43164.615648148145</v>
      </c>
      <c r="AE139" s="176">
        <v>43164.615648148145</v>
      </c>
      <c r="AF139" s="175"/>
    </row>
    <row r="140" spans="1:32" x14ac:dyDescent="0.25">
      <c r="A140" s="174" t="s">
        <v>461</v>
      </c>
      <c r="B140" s="174" t="s">
        <v>1029</v>
      </c>
      <c r="C140" s="174" t="s">
        <v>478</v>
      </c>
      <c r="D140" s="174" t="s">
        <v>582</v>
      </c>
      <c r="E140" s="176">
        <v>43164</v>
      </c>
      <c r="F140" s="176">
        <v>43165</v>
      </c>
      <c r="G140" s="174" t="s">
        <v>936</v>
      </c>
      <c r="H140" s="177" t="s">
        <v>466</v>
      </c>
      <c r="I140" s="174" t="s">
        <v>644</v>
      </c>
      <c r="J140" s="178">
        <v>4550000</v>
      </c>
      <c r="K140" s="178">
        <v>96.84375</v>
      </c>
      <c r="L140" s="178">
        <v>3.1638055279000001</v>
      </c>
      <c r="M140" s="178">
        <v>4413554.9896408804</v>
      </c>
      <c r="N140" s="174" t="s">
        <v>337</v>
      </c>
      <c r="O140" s="174" t="s">
        <v>645</v>
      </c>
      <c r="P140" s="174" t="s">
        <v>23</v>
      </c>
      <c r="Q140" s="174" t="s">
        <v>129</v>
      </c>
      <c r="R140" s="175"/>
      <c r="S140" s="175"/>
      <c r="T140" s="175"/>
      <c r="U140" s="175"/>
      <c r="V140" s="174" t="s">
        <v>469</v>
      </c>
      <c r="W140" s="174" t="s">
        <v>586</v>
      </c>
      <c r="X140" s="174" t="s">
        <v>24</v>
      </c>
      <c r="Y140" s="174"/>
      <c r="Z140" s="174" t="s">
        <v>1028</v>
      </c>
      <c r="AA140" s="174" t="s">
        <v>483</v>
      </c>
      <c r="AB140" s="176">
        <v>43164.584733796299</v>
      </c>
      <c r="AC140" s="175"/>
      <c r="AD140" s="176">
        <v>43164.615648148145</v>
      </c>
      <c r="AE140" s="176">
        <v>43164.615648148145</v>
      </c>
      <c r="AF140" s="175"/>
    </row>
    <row r="141" spans="1:32" x14ac:dyDescent="0.25">
      <c r="A141" s="174" t="s">
        <v>461</v>
      </c>
      <c r="B141" s="174" t="s">
        <v>1030</v>
      </c>
      <c r="C141" s="174" t="s">
        <v>463</v>
      </c>
      <c r="D141" s="174" t="s">
        <v>647</v>
      </c>
      <c r="E141" s="176">
        <v>43164</v>
      </c>
      <c r="F141" s="176">
        <v>43165</v>
      </c>
      <c r="G141" s="174" t="s">
        <v>1031</v>
      </c>
      <c r="H141" s="179" t="s">
        <v>486</v>
      </c>
      <c r="I141" s="174" t="s">
        <v>475</v>
      </c>
      <c r="J141" s="178">
        <v>5000000</v>
      </c>
      <c r="K141" s="178">
        <v>99.203524999999999</v>
      </c>
      <c r="L141" s="178">
        <v>2.8423781038000002</v>
      </c>
      <c r="M141" s="178">
        <v>-4967393.1008287305</v>
      </c>
      <c r="N141" s="174" t="s">
        <v>337</v>
      </c>
      <c r="O141" s="174" t="s">
        <v>476</v>
      </c>
      <c r="P141" s="174" t="s">
        <v>22</v>
      </c>
      <c r="Q141" s="174" t="s">
        <v>129</v>
      </c>
      <c r="R141" s="174" t="s">
        <v>1032</v>
      </c>
      <c r="S141" s="174" t="s">
        <v>132</v>
      </c>
      <c r="T141" s="175"/>
      <c r="U141" s="175"/>
      <c r="V141" s="174" t="s">
        <v>469</v>
      </c>
      <c r="W141" s="174" t="s">
        <v>650</v>
      </c>
      <c r="X141" s="174" t="s">
        <v>22</v>
      </c>
      <c r="Y141" s="174"/>
      <c r="Z141" s="175"/>
      <c r="AA141" s="174" t="s">
        <v>512</v>
      </c>
      <c r="AB141" s="176">
        <v>43164.338460648149</v>
      </c>
      <c r="AC141" s="174" t="s">
        <v>1032</v>
      </c>
      <c r="AD141" s="176">
        <v>43164.330474537041</v>
      </c>
      <c r="AE141" s="176">
        <v>43164.330555555556</v>
      </c>
      <c r="AF141" s="175"/>
    </row>
    <row r="142" spans="1:32" x14ac:dyDescent="0.25">
      <c r="A142" s="174" t="s">
        <v>461</v>
      </c>
      <c r="B142" s="174" t="s">
        <v>1033</v>
      </c>
      <c r="C142" s="174" t="s">
        <v>463</v>
      </c>
      <c r="D142" s="174" t="s">
        <v>647</v>
      </c>
      <c r="E142" s="176">
        <v>43164</v>
      </c>
      <c r="F142" s="176">
        <v>43165</v>
      </c>
      <c r="G142" s="174" t="s">
        <v>1031</v>
      </c>
      <c r="H142" s="179" t="s">
        <v>486</v>
      </c>
      <c r="I142" s="174" t="s">
        <v>475</v>
      </c>
      <c r="J142" s="178">
        <v>5000000</v>
      </c>
      <c r="K142" s="178">
        <v>98.836337499999999</v>
      </c>
      <c r="L142" s="178">
        <v>2.8852983757000001</v>
      </c>
      <c r="M142" s="178">
        <v>-4949033.7258287296</v>
      </c>
      <c r="N142" s="174" t="s">
        <v>337</v>
      </c>
      <c r="O142" s="174" t="s">
        <v>476</v>
      </c>
      <c r="P142" s="174" t="s">
        <v>22</v>
      </c>
      <c r="Q142" s="174" t="s">
        <v>129</v>
      </c>
      <c r="R142" s="174" t="s">
        <v>1034</v>
      </c>
      <c r="S142" s="174" t="s">
        <v>132</v>
      </c>
      <c r="T142" s="175"/>
      <c r="U142" s="175"/>
      <c r="V142" s="174" t="s">
        <v>469</v>
      </c>
      <c r="W142" s="174" t="s">
        <v>650</v>
      </c>
      <c r="X142" s="174" t="s">
        <v>22</v>
      </c>
      <c r="Y142" s="174"/>
      <c r="Z142" s="175"/>
      <c r="AA142" s="174" t="s">
        <v>512</v>
      </c>
      <c r="AB142" s="176">
        <v>43164.57135416667</v>
      </c>
      <c r="AC142" s="174" t="s">
        <v>1034</v>
      </c>
      <c r="AD142" s="176">
        <v>43164.56753472222</v>
      </c>
      <c r="AE142" s="176">
        <v>43164.56763888889</v>
      </c>
      <c r="AF142" s="175"/>
    </row>
    <row r="143" spans="1:32" x14ac:dyDescent="0.25">
      <c r="A143" s="174" t="s">
        <v>651</v>
      </c>
      <c r="B143" s="174" t="s">
        <v>1035</v>
      </c>
      <c r="C143" s="174" t="s">
        <v>653</v>
      </c>
      <c r="D143" s="174" t="s">
        <v>666</v>
      </c>
      <c r="E143" s="176">
        <v>43164</v>
      </c>
      <c r="F143" s="176">
        <v>43172</v>
      </c>
      <c r="G143" s="174" t="s">
        <v>1031</v>
      </c>
      <c r="H143" s="177" t="s">
        <v>466</v>
      </c>
      <c r="I143" s="174" t="s">
        <v>787</v>
      </c>
      <c r="J143" s="178">
        <v>40000000</v>
      </c>
      <c r="K143" s="178">
        <v>96.875</v>
      </c>
      <c r="L143" s="178">
        <v>3.1507059549999998</v>
      </c>
      <c r="M143" s="178">
        <v>38750000</v>
      </c>
      <c r="N143" s="174" t="s">
        <v>337</v>
      </c>
      <c r="O143" s="174" t="s">
        <v>788</v>
      </c>
      <c r="P143" s="174" t="s">
        <v>22</v>
      </c>
      <c r="Q143" s="174" t="s">
        <v>129</v>
      </c>
      <c r="R143" s="174" t="s">
        <v>1036</v>
      </c>
      <c r="S143" s="174" t="s">
        <v>132</v>
      </c>
      <c r="T143" s="175"/>
      <c r="U143" s="175"/>
      <c r="V143" s="174" t="s">
        <v>651</v>
      </c>
      <c r="W143" s="174" t="s">
        <v>670</v>
      </c>
      <c r="X143" s="174" t="s">
        <v>22</v>
      </c>
      <c r="Y143" s="174"/>
      <c r="Z143" s="175"/>
      <c r="AA143" s="174"/>
      <c r="AB143" s="176">
        <v>43164.463402777779</v>
      </c>
      <c r="AC143" s="174" t="s">
        <v>1036</v>
      </c>
      <c r="AD143" s="176">
        <v>43164.46298611111</v>
      </c>
      <c r="AE143" s="176">
        <v>43164.469502314816</v>
      </c>
      <c r="AF143" s="175"/>
    </row>
    <row r="144" spans="1:32" x14ac:dyDescent="0.25">
      <c r="A144" s="174" t="s">
        <v>651</v>
      </c>
      <c r="B144" s="174" t="s">
        <v>1037</v>
      </c>
      <c r="C144" s="174" t="s">
        <v>653</v>
      </c>
      <c r="D144" s="174" t="s">
        <v>666</v>
      </c>
      <c r="E144" s="176">
        <v>43164</v>
      </c>
      <c r="F144" s="176">
        <v>43202</v>
      </c>
      <c r="G144" s="174" t="s">
        <v>1031</v>
      </c>
      <c r="H144" s="179" t="s">
        <v>486</v>
      </c>
      <c r="I144" s="174" t="s">
        <v>1038</v>
      </c>
      <c r="J144" s="178">
        <v>40000000</v>
      </c>
      <c r="K144" s="178">
        <v>96.75</v>
      </c>
      <c r="L144" s="178">
        <v>3.1574385441000001</v>
      </c>
      <c r="M144" s="178">
        <v>-38700000</v>
      </c>
      <c r="N144" s="174" t="s">
        <v>337</v>
      </c>
      <c r="O144" s="174" t="s">
        <v>1039</v>
      </c>
      <c r="P144" s="174" t="s">
        <v>22</v>
      </c>
      <c r="Q144" s="174" t="s">
        <v>129</v>
      </c>
      <c r="R144" s="174" t="s">
        <v>1040</v>
      </c>
      <c r="S144" s="174" t="s">
        <v>132</v>
      </c>
      <c r="T144" s="175"/>
      <c r="U144" s="175"/>
      <c r="V144" s="174" t="s">
        <v>651</v>
      </c>
      <c r="W144" s="174" t="s">
        <v>670</v>
      </c>
      <c r="X144" s="174" t="s">
        <v>22</v>
      </c>
      <c r="Y144" s="174"/>
      <c r="Z144" s="175"/>
      <c r="AA144" s="174"/>
      <c r="AB144" s="176">
        <v>43164.463402777779</v>
      </c>
      <c r="AC144" s="174" t="s">
        <v>1040</v>
      </c>
      <c r="AD144" s="176">
        <v>43164.462893518517</v>
      </c>
      <c r="AE144" s="176">
        <v>43164.469502314816</v>
      </c>
      <c r="AF144" s="175"/>
    </row>
    <row r="145" spans="1:32" x14ac:dyDescent="0.25">
      <c r="A145" s="174" t="s">
        <v>651</v>
      </c>
      <c r="B145" s="174" t="s">
        <v>1041</v>
      </c>
      <c r="C145" s="174" t="s">
        <v>653</v>
      </c>
      <c r="D145" s="174" t="s">
        <v>666</v>
      </c>
      <c r="E145" s="176">
        <v>43164</v>
      </c>
      <c r="F145" s="176">
        <v>43172</v>
      </c>
      <c r="G145" s="174" t="s">
        <v>1031</v>
      </c>
      <c r="H145" s="177" t="s">
        <v>466</v>
      </c>
      <c r="I145" s="174" t="s">
        <v>1042</v>
      </c>
      <c r="J145" s="178">
        <v>53000000</v>
      </c>
      <c r="K145" s="178">
        <v>104.66015625</v>
      </c>
      <c r="L145" s="178">
        <v>4.2084462611999998</v>
      </c>
      <c r="M145" s="178">
        <v>55469882.8125</v>
      </c>
      <c r="N145" s="174" t="s">
        <v>337</v>
      </c>
      <c r="O145" s="174" t="s">
        <v>1043</v>
      </c>
      <c r="P145" s="174" t="s">
        <v>22</v>
      </c>
      <c r="Q145" s="174" t="s">
        <v>129</v>
      </c>
      <c r="R145" s="174" t="s">
        <v>1044</v>
      </c>
      <c r="S145" s="174" t="s">
        <v>132</v>
      </c>
      <c r="T145" s="175"/>
      <c r="U145" s="175"/>
      <c r="V145" s="174" t="s">
        <v>651</v>
      </c>
      <c r="W145" s="174" t="s">
        <v>670</v>
      </c>
      <c r="X145" s="174" t="s">
        <v>22</v>
      </c>
      <c r="Y145" s="174"/>
      <c r="Z145" s="175"/>
      <c r="AA145" s="174"/>
      <c r="AB145" s="176">
        <v>43164.469942129632</v>
      </c>
      <c r="AC145" s="174" t="s">
        <v>1044</v>
      </c>
      <c r="AD145" s="176">
        <v>43164.465196759258</v>
      </c>
      <c r="AE145" s="176">
        <v>43164.476458333331</v>
      </c>
      <c r="AF145" s="175"/>
    </row>
    <row r="146" spans="1:32" x14ac:dyDescent="0.25">
      <c r="A146" s="174" t="s">
        <v>651</v>
      </c>
      <c r="B146" s="174" t="s">
        <v>1045</v>
      </c>
      <c r="C146" s="174" t="s">
        <v>653</v>
      </c>
      <c r="D146" s="174" t="s">
        <v>666</v>
      </c>
      <c r="E146" s="176">
        <v>43164</v>
      </c>
      <c r="F146" s="176">
        <v>43202</v>
      </c>
      <c r="G146" s="174" t="s">
        <v>1031</v>
      </c>
      <c r="H146" s="179" t="s">
        <v>486</v>
      </c>
      <c r="I146" s="174" t="s">
        <v>1046</v>
      </c>
      <c r="J146" s="178">
        <v>53000000</v>
      </c>
      <c r="K146" s="178">
        <v>104.5</v>
      </c>
      <c r="L146" s="178">
        <v>4.2177782335999998</v>
      </c>
      <c r="M146" s="178">
        <v>-55385000</v>
      </c>
      <c r="N146" s="174" t="s">
        <v>337</v>
      </c>
      <c r="O146" s="174" t="s">
        <v>1047</v>
      </c>
      <c r="P146" s="174" t="s">
        <v>22</v>
      </c>
      <c r="Q146" s="174" t="s">
        <v>129</v>
      </c>
      <c r="R146" s="174" t="s">
        <v>1048</v>
      </c>
      <c r="S146" s="174" t="s">
        <v>132</v>
      </c>
      <c r="T146" s="175"/>
      <c r="U146" s="175"/>
      <c r="V146" s="174" t="s">
        <v>651</v>
      </c>
      <c r="W146" s="174" t="s">
        <v>670</v>
      </c>
      <c r="X146" s="174" t="s">
        <v>22</v>
      </c>
      <c r="Y146" s="174"/>
      <c r="Z146" s="175"/>
      <c r="AA146" s="174"/>
      <c r="AB146" s="176">
        <v>43164.502083333333</v>
      </c>
      <c r="AC146" s="174" t="s">
        <v>1048</v>
      </c>
      <c r="AD146" s="176">
        <v>43164.501689814817</v>
      </c>
      <c r="AE146" s="176">
        <v>43164.507777777777</v>
      </c>
      <c r="AF146" s="175"/>
    </row>
    <row r="147" spans="1:32" x14ac:dyDescent="0.25">
      <c r="A147" s="174" t="s">
        <v>461</v>
      </c>
      <c r="B147" s="174" t="s">
        <v>1049</v>
      </c>
      <c r="C147" s="174" t="s">
        <v>463</v>
      </c>
      <c r="D147" s="174" t="s">
        <v>676</v>
      </c>
      <c r="E147" s="176">
        <v>43164</v>
      </c>
      <c r="F147" s="176">
        <v>43165</v>
      </c>
      <c r="G147" s="174" t="s">
        <v>1050</v>
      </c>
      <c r="H147" s="179" t="s">
        <v>486</v>
      </c>
      <c r="I147" s="174" t="s">
        <v>467</v>
      </c>
      <c r="J147" s="178">
        <v>38900000</v>
      </c>
      <c r="K147" s="178">
        <v>100.08735</v>
      </c>
      <c r="L147" s="178">
        <v>2.6061386137999998</v>
      </c>
      <c r="M147" s="178">
        <v>-38950627.927173905</v>
      </c>
      <c r="N147" s="174" t="s">
        <v>337</v>
      </c>
      <c r="O147" s="174" t="s">
        <v>468</v>
      </c>
      <c r="P147" s="174" t="s">
        <v>23</v>
      </c>
      <c r="Q147" s="174" t="s">
        <v>130</v>
      </c>
      <c r="R147" s="175"/>
      <c r="S147" s="175"/>
      <c r="T147" s="175"/>
      <c r="U147" s="175"/>
      <c r="V147" s="174" t="s">
        <v>469</v>
      </c>
      <c r="W147" s="174" t="s">
        <v>683</v>
      </c>
      <c r="X147" s="174" t="s">
        <v>24</v>
      </c>
      <c r="Y147" s="174"/>
      <c r="Z147" s="174" t="s">
        <v>1051</v>
      </c>
      <c r="AA147" s="174" t="s">
        <v>483</v>
      </c>
      <c r="AB147" s="175"/>
      <c r="AC147" s="175"/>
      <c r="AD147" s="176">
        <v>43164.590150462966</v>
      </c>
      <c r="AE147" s="176">
        <v>43164.590150462966</v>
      </c>
      <c r="AF147" s="175"/>
    </row>
    <row r="148" spans="1:32" x14ac:dyDescent="0.25">
      <c r="A148" s="174" t="s">
        <v>461</v>
      </c>
      <c r="B148" s="174" t="s">
        <v>1056</v>
      </c>
      <c r="C148" s="174" t="s">
        <v>497</v>
      </c>
      <c r="D148" s="174" t="s">
        <v>1057</v>
      </c>
      <c r="E148" s="176">
        <v>43164</v>
      </c>
      <c r="F148" s="176">
        <v>43166</v>
      </c>
      <c r="G148" s="174" t="s">
        <v>1058</v>
      </c>
      <c r="H148" s="179" t="s">
        <v>486</v>
      </c>
      <c r="I148" s="174" t="s">
        <v>1059</v>
      </c>
      <c r="J148" s="178">
        <v>3600000</v>
      </c>
      <c r="K148" s="178">
        <v>101.82</v>
      </c>
      <c r="L148" s="178">
        <v>-0.1117042751</v>
      </c>
      <c r="M148" s="178">
        <v>-3669841.4</v>
      </c>
      <c r="N148" s="174" t="s">
        <v>386</v>
      </c>
      <c r="O148" s="174" t="s">
        <v>1060</v>
      </c>
      <c r="P148" s="174" t="s">
        <v>22</v>
      </c>
      <c r="Q148" s="174" t="s">
        <v>129</v>
      </c>
      <c r="R148" s="174" t="s">
        <v>1061</v>
      </c>
      <c r="S148" s="174" t="s">
        <v>132</v>
      </c>
      <c r="T148" s="175"/>
      <c r="U148" s="175"/>
      <c r="V148" s="174" t="s">
        <v>1062</v>
      </c>
      <c r="W148" s="174" t="s">
        <v>1063</v>
      </c>
      <c r="X148" s="174" t="s">
        <v>22</v>
      </c>
      <c r="Y148" s="174"/>
      <c r="Z148" s="175"/>
      <c r="AA148" s="174" t="s">
        <v>512</v>
      </c>
      <c r="AB148" s="176">
        <v>43164.422326388885</v>
      </c>
      <c r="AC148" s="174" t="s">
        <v>1061</v>
      </c>
      <c r="AD148" s="176">
        <v>43164.37023148148</v>
      </c>
      <c r="AE148" s="176">
        <v>43164.37027777778</v>
      </c>
      <c r="AF148" s="175"/>
    </row>
    <row r="149" spans="1:32" x14ac:dyDescent="0.25">
      <c r="A149" s="174" t="s">
        <v>651</v>
      </c>
      <c r="B149" s="174" t="s">
        <v>1064</v>
      </c>
      <c r="C149" s="174" t="s">
        <v>653</v>
      </c>
      <c r="D149" s="174" t="s">
        <v>647</v>
      </c>
      <c r="E149" s="176">
        <v>43164</v>
      </c>
      <c r="F149" s="176">
        <v>43172</v>
      </c>
      <c r="G149" s="174" t="s">
        <v>1065</v>
      </c>
      <c r="H149" s="179" t="s">
        <v>486</v>
      </c>
      <c r="I149" s="174" t="s">
        <v>1066</v>
      </c>
      <c r="J149" s="178">
        <v>17000000</v>
      </c>
      <c r="K149" s="178">
        <v>102.26171875</v>
      </c>
      <c r="L149" s="178">
        <v>3.8574530837999998</v>
      </c>
      <c r="M149" s="178">
        <v>-17384492.1875</v>
      </c>
      <c r="N149" s="174" t="s">
        <v>337</v>
      </c>
      <c r="O149" s="174" t="s">
        <v>1067</v>
      </c>
      <c r="P149" s="174" t="s">
        <v>22</v>
      </c>
      <c r="Q149" s="174" t="s">
        <v>129</v>
      </c>
      <c r="R149" s="174" t="s">
        <v>1068</v>
      </c>
      <c r="S149" s="174" t="s">
        <v>132</v>
      </c>
      <c r="T149" s="175"/>
      <c r="U149" s="175"/>
      <c r="V149" s="174" t="s">
        <v>651</v>
      </c>
      <c r="W149" s="174" t="s">
        <v>650</v>
      </c>
      <c r="X149" s="174" t="s">
        <v>22</v>
      </c>
      <c r="Y149" s="174"/>
      <c r="Z149" s="175"/>
      <c r="AA149" s="174"/>
      <c r="AB149" s="176">
        <v>43164.600266203706</v>
      </c>
      <c r="AC149" s="174" t="s">
        <v>1068</v>
      </c>
      <c r="AD149" s="176">
        <v>43164.598703703705</v>
      </c>
      <c r="AE149" s="176">
        <v>43164.608900462961</v>
      </c>
      <c r="AF149" s="175"/>
    </row>
    <row r="150" spans="1:32" x14ac:dyDescent="0.25">
      <c r="A150" s="174" t="s">
        <v>651</v>
      </c>
      <c r="B150" s="174" t="s">
        <v>1069</v>
      </c>
      <c r="C150" s="174" t="s">
        <v>653</v>
      </c>
      <c r="D150" s="174" t="s">
        <v>666</v>
      </c>
      <c r="E150" s="176">
        <v>43164</v>
      </c>
      <c r="F150" s="176">
        <v>43179</v>
      </c>
      <c r="G150" s="174" t="s">
        <v>1065</v>
      </c>
      <c r="H150" s="177" t="s">
        <v>466</v>
      </c>
      <c r="I150" s="174" t="s">
        <v>1070</v>
      </c>
      <c r="J150" s="178">
        <v>3000000</v>
      </c>
      <c r="K150" s="178">
        <v>103.90625</v>
      </c>
      <c r="L150" s="178">
        <v>4.2552632682000002</v>
      </c>
      <c r="M150" s="178">
        <v>3117187.5</v>
      </c>
      <c r="N150" s="174" t="s">
        <v>337</v>
      </c>
      <c r="O150" s="174" t="s">
        <v>1071</v>
      </c>
      <c r="P150" s="174" t="s">
        <v>23</v>
      </c>
      <c r="Q150" s="174" t="s">
        <v>129</v>
      </c>
      <c r="R150" s="175"/>
      <c r="S150" s="175"/>
      <c r="T150" s="175"/>
      <c r="U150" s="175"/>
      <c r="V150" s="174" t="s">
        <v>651</v>
      </c>
      <c r="W150" s="174" t="s">
        <v>670</v>
      </c>
      <c r="X150" s="174" t="s">
        <v>24</v>
      </c>
      <c r="Y150" s="174"/>
      <c r="Z150" s="174" t="s">
        <v>1072</v>
      </c>
      <c r="AA150" s="174" t="s">
        <v>1073</v>
      </c>
      <c r="AB150" s="176">
        <v>43164.463402777779</v>
      </c>
      <c r="AC150" s="175"/>
      <c r="AD150" s="176">
        <v>43164.45890046296</v>
      </c>
      <c r="AE150" s="176">
        <v>43165.48709490741</v>
      </c>
      <c r="AF150" s="174"/>
    </row>
    <row r="151" spans="1:32" x14ac:dyDescent="0.25">
      <c r="A151" s="174" t="s">
        <v>461</v>
      </c>
      <c r="B151" s="174" t="s">
        <v>1074</v>
      </c>
      <c r="C151" s="174" t="s">
        <v>1075</v>
      </c>
      <c r="D151" s="174" t="s">
        <v>1076</v>
      </c>
      <c r="E151" s="176">
        <v>43164</v>
      </c>
      <c r="F151" s="176">
        <v>43167</v>
      </c>
      <c r="G151" s="174" t="s">
        <v>1077</v>
      </c>
      <c r="H151" s="179" t="s">
        <v>486</v>
      </c>
      <c r="I151" s="174" t="s">
        <v>1078</v>
      </c>
      <c r="J151" s="178">
        <v>125000000</v>
      </c>
      <c r="K151" s="178">
        <v>99.582663999999994</v>
      </c>
      <c r="L151" s="178">
        <v>1.6509995604000001</v>
      </c>
      <c r="M151" s="178">
        <v>-124478329.99999999</v>
      </c>
      <c r="N151" s="174" t="s">
        <v>337</v>
      </c>
      <c r="O151" s="174" t="s">
        <v>1079</v>
      </c>
      <c r="P151" s="174" t="s">
        <v>24</v>
      </c>
      <c r="Q151" s="174" t="s">
        <v>129</v>
      </c>
      <c r="R151" s="175"/>
      <c r="S151" s="175"/>
      <c r="T151" s="175"/>
      <c r="U151" s="175"/>
      <c r="V151" s="174" t="s">
        <v>469</v>
      </c>
      <c r="W151" s="174" t="s">
        <v>1080</v>
      </c>
      <c r="X151" s="174" t="s">
        <v>24</v>
      </c>
      <c r="Y151" s="174"/>
      <c r="Z151" s="175"/>
      <c r="AA151" s="174" t="s">
        <v>472</v>
      </c>
      <c r="AB151" s="176">
        <v>43164.499814814815</v>
      </c>
      <c r="AC151" s="175"/>
      <c r="AD151" s="176">
        <v>43164.494351851848</v>
      </c>
      <c r="AE151" s="176">
        <v>43164.494398148148</v>
      </c>
      <c r="AF151" s="175"/>
    </row>
    <row r="152" spans="1:32" x14ac:dyDescent="0.25">
      <c r="A152" s="174" t="s">
        <v>461</v>
      </c>
      <c r="B152" s="174" t="s">
        <v>1087</v>
      </c>
      <c r="C152" s="174" t="s">
        <v>566</v>
      </c>
      <c r="D152" s="174" t="s">
        <v>837</v>
      </c>
      <c r="E152" s="176">
        <v>43164</v>
      </c>
      <c r="F152" s="176">
        <v>43167</v>
      </c>
      <c r="G152" s="174" t="s">
        <v>1088</v>
      </c>
      <c r="H152" s="177" t="s">
        <v>466</v>
      </c>
      <c r="I152" s="174" t="s">
        <v>838</v>
      </c>
      <c r="J152" s="178">
        <v>50000000</v>
      </c>
      <c r="K152" s="178">
        <v>74.62715</v>
      </c>
      <c r="L152" s="178">
        <v>9.1649995381</v>
      </c>
      <c r="M152" s="178">
        <v>37384810</v>
      </c>
      <c r="N152" s="174" t="s">
        <v>839</v>
      </c>
      <c r="O152" s="174" t="s">
        <v>840</v>
      </c>
      <c r="P152" s="174" t="s">
        <v>22</v>
      </c>
      <c r="Q152" s="174" t="s">
        <v>129</v>
      </c>
      <c r="R152" s="174" t="s">
        <v>1089</v>
      </c>
      <c r="S152" s="174" t="s">
        <v>132</v>
      </c>
      <c r="T152" s="175"/>
      <c r="U152" s="175"/>
      <c r="V152" s="174" t="s">
        <v>842</v>
      </c>
      <c r="W152" s="174" t="s">
        <v>843</v>
      </c>
      <c r="X152" s="174" t="s">
        <v>22</v>
      </c>
      <c r="Y152" s="174"/>
      <c r="Z152" s="175"/>
      <c r="AA152" s="174" t="s">
        <v>844</v>
      </c>
      <c r="AB152" s="176">
        <v>43164.422326388885</v>
      </c>
      <c r="AC152" s="174" t="s">
        <v>1089</v>
      </c>
      <c r="AD152" s="176">
        <v>43164.417199074072</v>
      </c>
      <c r="AE152" s="176">
        <v>43164.417199074072</v>
      </c>
      <c r="AF152" s="175"/>
    </row>
    <row r="153" spans="1:32" x14ac:dyDescent="0.25">
      <c r="A153" s="174" t="s">
        <v>484</v>
      </c>
      <c r="B153" s="174" t="s">
        <v>1090</v>
      </c>
      <c r="C153" s="174" t="s">
        <v>478</v>
      </c>
      <c r="D153" s="174" t="s">
        <v>535</v>
      </c>
      <c r="E153" s="176">
        <v>43164</v>
      </c>
      <c r="F153" s="176">
        <v>43166</v>
      </c>
      <c r="G153" s="174" t="s">
        <v>1088</v>
      </c>
      <c r="H153" s="177" t="s">
        <v>466</v>
      </c>
      <c r="I153" s="174" t="s">
        <v>1091</v>
      </c>
      <c r="J153" s="178">
        <v>2000000</v>
      </c>
      <c r="K153" s="178">
        <v>102.86199999999999</v>
      </c>
      <c r="L153" s="178">
        <v>4.5157622152999997</v>
      </c>
      <c r="M153" s="178">
        <v>2086745.5555555599</v>
      </c>
      <c r="N153" s="174" t="s">
        <v>337</v>
      </c>
      <c r="O153" s="174" t="s">
        <v>1092</v>
      </c>
      <c r="P153" s="174" t="s">
        <v>22</v>
      </c>
      <c r="Q153" s="174" t="s">
        <v>129</v>
      </c>
      <c r="R153" s="174" t="s">
        <v>1093</v>
      </c>
      <c r="S153" s="174" t="s">
        <v>132</v>
      </c>
      <c r="T153" s="175"/>
      <c r="U153" s="175"/>
      <c r="V153" s="174" t="s">
        <v>489</v>
      </c>
      <c r="W153" s="174" t="s">
        <v>540</v>
      </c>
      <c r="X153" s="174" t="s">
        <v>22</v>
      </c>
      <c r="Y153" s="174"/>
      <c r="Z153" s="175"/>
      <c r="AA153" s="174" t="s">
        <v>541</v>
      </c>
      <c r="AB153" s="176">
        <v>43164.538611111115</v>
      </c>
      <c r="AC153" s="174" t="s">
        <v>1093</v>
      </c>
      <c r="AD153" s="176">
        <v>43164.533275462964</v>
      </c>
      <c r="AE153" s="176">
        <v>43164.533275462964</v>
      </c>
      <c r="AF153" s="175"/>
    </row>
    <row r="154" spans="1:32" x14ac:dyDescent="0.25">
      <c r="A154" s="174" t="s">
        <v>461</v>
      </c>
      <c r="B154" s="174" t="s">
        <v>1094</v>
      </c>
      <c r="C154" s="174" t="s">
        <v>478</v>
      </c>
      <c r="D154" s="174" t="s">
        <v>535</v>
      </c>
      <c r="E154" s="176">
        <v>43164</v>
      </c>
      <c r="F154" s="176">
        <v>43165</v>
      </c>
      <c r="G154" s="174" t="s">
        <v>1088</v>
      </c>
      <c r="H154" s="179" t="s">
        <v>486</v>
      </c>
      <c r="I154" s="174" t="s">
        <v>543</v>
      </c>
      <c r="J154" s="178">
        <v>1730000</v>
      </c>
      <c r="K154" s="178">
        <v>92.0625</v>
      </c>
      <c r="L154" s="178">
        <v>3.1640989018000001</v>
      </c>
      <c r="M154" s="178">
        <v>-1607269.1643646399</v>
      </c>
      <c r="N154" s="174" t="s">
        <v>337</v>
      </c>
      <c r="O154" s="174" t="s">
        <v>544</v>
      </c>
      <c r="P154" s="174" t="s">
        <v>22</v>
      </c>
      <c r="Q154" s="174" t="s">
        <v>129</v>
      </c>
      <c r="R154" s="174" t="s">
        <v>1095</v>
      </c>
      <c r="S154" s="174" t="s">
        <v>132</v>
      </c>
      <c r="T154" s="175"/>
      <c r="U154" s="175"/>
      <c r="V154" s="174" t="s">
        <v>469</v>
      </c>
      <c r="W154" s="174" t="s">
        <v>540</v>
      </c>
      <c r="X154" s="174" t="s">
        <v>22</v>
      </c>
      <c r="Y154" s="174"/>
      <c r="Z154" s="175"/>
      <c r="AA154" s="174" t="s">
        <v>541</v>
      </c>
      <c r="AB154" s="176">
        <v>43164.538611111115</v>
      </c>
      <c r="AC154" s="174" t="s">
        <v>1095</v>
      </c>
      <c r="AD154" s="176">
        <v>43164.533414351848</v>
      </c>
      <c r="AE154" s="176">
        <v>43164.533414351848</v>
      </c>
      <c r="AF154" s="175"/>
    </row>
    <row r="155" spans="1:32" x14ac:dyDescent="0.25">
      <c r="A155" s="174" t="s">
        <v>461</v>
      </c>
      <c r="B155" s="174" t="s">
        <v>1096</v>
      </c>
      <c r="C155" s="174" t="s">
        <v>463</v>
      </c>
      <c r="D155" s="174" t="s">
        <v>676</v>
      </c>
      <c r="E155" s="176">
        <v>43164</v>
      </c>
      <c r="F155" s="176">
        <v>43165</v>
      </c>
      <c r="G155" s="174" t="s">
        <v>1088</v>
      </c>
      <c r="H155" s="179" t="s">
        <v>486</v>
      </c>
      <c r="I155" s="174" t="s">
        <v>475</v>
      </c>
      <c r="J155" s="178">
        <v>82500000</v>
      </c>
      <c r="K155" s="178">
        <v>98.875</v>
      </c>
      <c r="L155" s="178">
        <v>2.8807705845</v>
      </c>
      <c r="M155" s="178">
        <v>-81690953.038674042</v>
      </c>
      <c r="N155" s="174" t="s">
        <v>337</v>
      </c>
      <c r="O155" s="174" t="s">
        <v>476</v>
      </c>
      <c r="P155" s="174" t="s">
        <v>22</v>
      </c>
      <c r="Q155" s="174" t="s">
        <v>129</v>
      </c>
      <c r="R155" s="174" t="s">
        <v>1097</v>
      </c>
      <c r="S155" s="174" t="s">
        <v>132</v>
      </c>
      <c r="T155" s="175"/>
      <c r="U155" s="175"/>
      <c r="V155" s="174" t="s">
        <v>469</v>
      </c>
      <c r="W155" s="174" t="s">
        <v>683</v>
      </c>
      <c r="X155" s="174" t="s">
        <v>22</v>
      </c>
      <c r="Y155" s="174"/>
      <c r="Z155" s="175"/>
      <c r="AA155" s="174" t="s">
        <v>512</v>
      </c>
      <c r="AB155" s="176">
        <v>43164.584733796299</v>
      </c>
      <c r="AC155" s="174" t="s">
        <v>1097</v>
      </c>
      <c r="AD155" s="176">
        <v>43164.579502314817</v>
      </c>
      <c r="AE155" s="176">
        <v>43164.579560185186</v>
      </c>
      <c r="AF155" s="175"/>
    </row>
    <row r="156" spans="1:32" x14ac:dyDescent="0.25">
      <c r="A156" s="174" t="s">
        <v>461</v>
      </c>
      <c r="B156" s="174" t="s">
        <v>1098</v>
      </c>
      <c r="C156" s="174" t="s">
        <v>463</v>
      </c>
      <c r="D156" s="174" t="s">
        <v>676</v>
      </c>
      <c r="E156" s="176">
        <v>43164</v>
      </c>
      <c r="F156" s="176">
        <v>43165</v>
      </c>
      <c r="G156" s="174" t="s">
        <v>1088</v>
      </c>
      <c r="H156" s="177" t="s">
        <v>466</v>
      </c>
      <c r="I156" s="174" t="s">
        <v>1099</v>
      </c>
      <c r="J156" s="178">
        <v>90000000</v>
      </c>
      <c r="K156" s="178">
        <v>95.82421875</v>
      </c>
      <c r="L156" s="178">
        <v>2.8953554204</v>
      </c>
      <c r="M156" s="178">
        <v>86897218.145718232</v>
      </c>
      <c r="N156" s="174" t="s">
        <v>337</v>
      </c>
      <c r="O156" s="174" t="s">
        <v>1100</v>
      </c>
      <c r="P156" s="174" t="s">
        <v>22</v>
      </c>
      <c r="Q156" s="174" t="s">
        <v>129</v>
      </c>
      <c r="R156" s="174" t="s">
        <v>1101</v>
      </c>
      <c r="S156" s="174" t="s">
        <v>132</v>
      </c>
      <c r="T156" s="175"/>
      <c r="U156" s="175"/>
      <c r="V156" s="174" t="s">
        <v>469</v>
      </c>
      <c r="W156" s="174" t="s">
        <v>683</v>
      </c>
      <c r="X156" s="174" t="s">
        <v>22</v>
      </c>
      <c r="Y156" s="174"/>
      <c r="Z156" s="175"/>
      <c r="AA156" s="174" t="s">
        <v>512</v>
      </c>
      <c r="AB156" s="176">
        <v>43164.584733796299</v>
      </c>
      <c r="AC156" s="174" t="s">
        <v>1101</v>
      </c>
      <c r="AD156" s="176">
        <v>43164.579525462963</v>
      </c>
      <c r="AE156" s="176">
        <v>43164.579606481479</v>
      </c>
      <c r="AF156" s="175"/>
    </row>
    <row r="157" spans="1:32" x14ac:dyDescent="0.25">
      <c r="A157" s="174" t="s">
        <v>461</v>
      </c>
      <c r="B157" s="174" t="s">
        <v>1102</v>
      </c>
      <c r="C157" s="174" t="s">
        <v>478</v>
      </c>
      <c r="D157" s="174" t="s">
        <v>582</v>
      </c>
      <c r="E157" s="176">
        <v>43164</v>
      </c>
      <c r="F157" s="176">
        <v>43165</v>
      </c>
      <c r="G157" s="174" t="s">
        <v>1088</v>
      </c>
      <c r="H157" s="177" t="s">
        <v>466</v>
      </c>
      <c r="I157" s="174" t="s">
        <v>543</v>
      </c>
      <c r="J157" s="178">
        <v>4131000</v>
      </c>
      <c r="K157" s="178">
        <v>91.9375</v>
      </c>
      <c r="L157" s="178">
        <v>3.170987835</v>
      </c>
      <c r="M157" s="178">
        <v>3832772.04074586</v>
      </c>
      <c r="N157" s="174" t="s">
        <v>337</v>
      </c>
      <c r="O157" s="174" t="s">
        <v>544</v>
      </c>
      <c r="P157" s="174" t="s">
        <v>22</v>
      </c>
      <c r="Q157" s="174" t="s">
        <v>129</v>
      </c>
      <c r="R157" s="174" t="s">
        <v>1103</v>
      </c>
      <c r="S157" s="174" t="s">
        <v>132</v>
      </c>
      <c r="T157" s="175"/>
      <c r="U157" s="175"/>
      <c r="V157" s="174" t="s">
        <v>469</v>
      </c>
      <c r="W157" s="174" t="s">
        <v>586</v>
      </c>
      <c r="X157" s="174" t="s">
        <v>22</v>
      </c>
      <c r="Y157" s="174"/>
      <c r="Z157" s="175"/>
      <c r="AA157" s="174" t="s">
        <v>512</v>
      </c>
      <c r="AB157" s="176">
        <v>43164.610729166663</v>
      </c>
      <c r="AC157" s="174" t="s">
        <v>1103</v>
      </c>
      <c r="AD157" s="176">
        <v>43164.607245370367</v>
      </c>
      <c r="AE157" s="176">
        <v>43164.607303240744</v>
      </c>
      <c r="AF157" s="175"/>
    </row>
    <row r="158" spans="1:32" x14ac:dyDescent="0.25">
      <c r="A158" s="174" t="s">
        <v>484</v>
      </c>
      <c r="B158" s="174" t="s">
        <v>1104</v>
      </c>
      <c r="C158" s="174" t="s">
        <v>478</v>
      </c>
      <c r="D158" s="174" t="s">
        <v>582</v>
      </c>
      <c r="E158" s="176">
        <v>43164</v>
      </c>
      <c r="F158" s="176">
        <v>43166</v>
      </c>
      <c r="G158" s="174" t="s">
        <v>1088</v>
      </c>
      <c r="H158" s="179" t="s">
        <v>486</v>
      </c>
      <c r="I158" s="174" t="s">
        <v>1105</v>
      </c>
      <c r="J158" s="178">
        <v>4550000</v>
      </c>
      <c r="K158" s="178">
        <v>106.73399999999999</v>
      </c>
      <c r="L158" s="178">
        <v>4.4747652727</v>
      </c>
      <c r="M158" s="178">
        <v>-4878692</v>
      </c>
      <c r="N158" s="174" t="s">
        <v>337</v>
      </c>
      <c r="O158" s="174" t="s">
        <v>1106</v>
      </c>
      <c r="P158" s="174" t="s">
        <v>22</v>
      </c>
      <c r="Q158" s="174" t="s">
        <v>129</v>
      </c>
      <c r="R158" s="174" t="s">
        <v>1107</v>
      </c>
      <c r="S158" s="174" t="s">
        <v>132</v>
      </c>
      <c r="T158" s="175"/>
      <c r="U158" s="175"/>
      <c r="V158" s="174" t="s">
        <v>489</v>
      </c>
      <c r="W158" s="174" t="s">
        <v>586</v>
      </c>
      <c r="X158" s="174" t="s">
        <v>22</v>
      </c>
      <c r="Y158" s="174"/>
      <c r="Z158" s="175"/>
      <c r="AA158" s="174" t="s">
        <v>512</v>
      </c>
      <c r="AB158" s="176">
        <v>43164.610729166663</v>
      </c>
      <c r="AC158" s="174" t="s">
        <v>1107</v>
      </c>
      <c r="AD158" s="176">
        <v>43164.607245370367</v>
      </c>
      <c r="AE158" s="176">
        <v>43164.607314814813</v>
      </c>
      <c r="AF158" s="175"/>
    </row>
    <row r="159" spans="1:32" x14ac:dyDescent="0.25">
      <c r="A159" s="174" t="s">
        <v>484</v>
      </c>
      <c r="B159" s="174" t="s">
        <v>1108</v>
      </c>
      <c r="C159" s="174" t="s">
        <v>478</v>
      </c>
      <c r="D159" s="174" t="s">
        <v>535</v>
      </c>
      <c r="E159" s="176">
        <v>43164</v>
      </c>
      <c r="F159" s="176">
        <v>43166</v>
      </c>
      <c r="G159" s="174" t="s">
        <v>1088</v>
      </c>
      <c r="H159" s="177" t="s">
        <v>466</v>
      </c>
      <c r="I159" s="174" t="s">
        <v>1109</v>
      </c>
      <c r="J159" s="178">
        <v>5000000</v>
      </c>
      <c r="K159" s="178">
        <v>101.84</v>
      </c>
      <c r="L159" s="178">
        <v>4.5546931791</v>
      </c>
      <c r="M159" s="178">
        <v>5145106.3888888899</v>
      </c>
      <c r="N159" s="174" t="s">
        <v>337</v>
      </c>
      <c r="O159" s="174" t="s">
        <v>1110</v>
      </c>
      <c r="P159" s="174" t="s">
        <v>22</v>
      </c>
      <c r="Q159" s="174" t="s">
        <v>129</v>
      </c>
      <c r="R159" s="174" t="s">
        <v>1111</v>
      </c>
      <c r="S159" s="174" t="s">
        <v>132</v>
      </c>
      <c r="T159" s="175"/>
      <c r="U159" s="175"/>
      <c r="V159" s="174" t="s">
        <v>489</v>
      </c>
      <c r="W159" s="174" t="s">
        <v>540</v>
      </c>
      <c r="X159" s="174" t="s">
        <v>22</v>
      </c>
      <c r="Y159" s="174"/>
      <c r="Z159" s="175"/>
      <c r="AA159" s="174" t="s">
        <v>541</v>
      </c>
      <c r="AB159" s="176">
        <v>43164.636678240742</v>
      </c>
      <c r="AC159" s="174" t="s">
        <v>1111</v>
      </c>
      <c r="AD159" s="176">
        <v>43164.630115740743</v>
      </c>
      <c r="AE159" s="176">
        <v>43164.630115740743</v>
      </c>
      <c r="AF159" s="175"/>
    </row>
    <row r="160" spans="1:32" x14ac:dyDescent="0.25">
      <c r="A160" s="174" t="s">
        <v>461</v>
      </c>
      <c r="B160" s="174" t="s">
        <v>1112</v>
      </c>
      <c r="C160" s="174" t="s">
        <v>478</v>
      </c>
      <c r="D160" s="174" t="s">
        <v>535</v>
      </c>
      <c r="E160" s="176">
        <v>43164</v>
      </c>
      <c r="F160" s="176">
        <v>43165</v>
      </c>
      <c r="G160" s="174" t="s">
        <v>1088</v>
      </c>
      <c r="H160" s="179" t="s">
        <v>486</v>
      </c>
      <c r="I160" s="174" t="s">
        <v>543</v>
      </c>
      <c r="J160" s="178">
        <v>4715000</v>
      </c>
      <c r="K160" s="178">
        <v>92.25</v>
      </c>
      <c r="L160" s="178">
        <v>3.1537882441999998</v>
      </c>
      <c r="M160" s="178">
        <v>-4389345.8908839794</v>
      </c>
      <c r="N160" s="174" t="s">
        <v>337</v>
      </c>
      <c r="O160" s="174" t="s">
        <v>544</v>
      </c>
      <c r="P160" s="174" t="s">
        <v>22</v>
      </c>
      <c r="Q160" s="174" t="s">
        <v>129</v>
      </c>
      <c r="R160" s="174" t="s">
        <v>1113</v>
      </c>
      <c r="S160" s="174" t="s">
        <v>132</v>
      </c>
      <c r="T160" s="175"/>
      <c r="U160" s="175"/>
      <c r="V160" s="174" t="s">
        <v>469</v>
      </c>
      <c r="W160" s="174" t="s">
        <v>540</v>
      </c>
      <c r="X160" s="174" t="s">
        <v>22</v>
      </c>
      <c r="Y160" s="174"/>
      <c r="Z160" s="175"/>
      <c r="AA160" s="174" t="s">
        <v>541</v>
      </c>
      <c r="AB160" s="176">
        <v>43164.636678240742</v>
      </c>
      <c r="AC160" s="174" t="s">
        <v>1113</v>
      </c>
      <c r="AD160" s="176">
        <v>43164.630266203705</v>
      </c>
      <c r="AE160" s="176">
        <v>43164.630266203705</v>
      </c>
      <c r="AF160" s="175"/>
    </row>
    <row r="161" spans="1:32" x14ac:dyDescent="0.25">
      <c r="A161" s="174" t="s">
        <v>484</v>
      </c>
      <c r="B161" s="174" t="s">
        <v>1114</v>
      </c>
      <c r="C161" s="174" t="s">
        <v>478</v>
      </c>
      <c r="D161" s="174" t="s">
        <v>535</v>
      </c>
      <c r="E161" s="176">
        <v>43164</v>
      </c>
      <c r="F161" s="176">
        <v>43166</v>
      </c>
      <c r="G161" s="174" t="s">
        <v>1088</v>
      </c>
      <c r="H161" s="179" t="s">
        <v>486</v>
      </c>
      <c r="I161" s="174" t="s">
        <v>1115</v>
      </c>
      <c r="J161" s="178">
        <v>5000000</v>
      </c>
      <c r="K161" s="178">
        <v>99.335999999999999</v>
      </c>
      <c r="L161" s="178">
        <v>4.4420153524000003</v>
      </c>
      <c r="M161" s="178">
        <v>-5043800</v>
      </c>
      <c r="N161" s="174" t="s">
        <v>337</v>
      </c>
      <c r="O161" s="174" t="s">
        <v>1116</v>
      </c>
      <c r="P161" s="174" t="s">
        <v>22</v>
      </c>
      <c r="Q161" s="174" t="s">
        <v>129</v>
      </c>
      <c r="R161" s="174" t="s">
        <v>1117</v>
      </c>
      <c r="S161" s="174" t="s">
        <v>132</v>
      </c>
      <c r="T161" s="175"/>
      <c r="U161" s="175"/>
      <c r="V161" s="174" t="s">
        <v>489</v>
      </c>
      <c r="W161" s="174" t="s">
        <v>540</v>
      </c>
      <c r="X161" s="174" t="s">
        <v>22</v>
      </c>
      <c r="Y161" s="174"/>
      <c r="Z161" s="175"/>
      <c r="AA161" s="174" t="s">
        <v>541</v>
      </c>
      <c r="AB161" s="176">
        <v>43164.636678240742</v>
      </c>
      <c r="AC161" s="174" t="s">
        <v>1117</v>
      </c>
      <c r="AD161" s="176">
        <v>43164.631724537037</v>
      </c>
      <c r="AE161" s="176">
        <v>43164.631724537037</v>
      </c>
      <c r="AF161" s="175"/>
    </row>
    <row r="162" spans="1:32" x14ac:dyDescent="0.25">
      <c r="A162" s="174" t="s">
        <v>461</v>
      </c>
      <c r="B162" s="174" t="s">
        <v>1118</v>
      </c>
      <c r="C162" s="174" t="s">
        <v>478</v>
      </c>
      <c r="D162" s="174" t="s">
        <v>535</v>
      </c>
      <c r="E162" s="176">
        <v>43164</v>
      </c>
      <c r="F162" s="176">
        <v>43165</v>
      </c>
      <c r="G162" s="174" t="s">
        <v>1088</v>
      </c>
      <c r="H162" s="177" t="s">
        <v>466</v>
      </c>
      <c r="I162" s="174" t="s">
        <v>543</v>
      </c>
      <c r="J162" s="178">
        <v>4290000</v>
      </c>
      <c r="K162" s="178">
        <v>92.1875</v>
      </c>
      <c r="L162" s="178">
        <v>3.1572221045000002</v>
      </c>
      <c r="M162" s="178">
        <v>3991018.4046961302</v>
      </c>
      <c r="N162" s="174" t="s">
        <v>337</v>
      </c>
      <c r="O162" s="174" t="s">
        <v>544</v>
      </c>
      <c r="P162" s="174" t="s">
        <v>22</v>
      </c>
      <c r="Q162" s="174" t="s">
        <v>129</v>
      </c>
      <c r="R162" s="174" t="s">
        <v>1119</v>
      </c>
      <c r="S162" s="174" t="s">
        <v>132</v>
      </c>
      <c r="T162" s="175"/>
      <c r="U162" s="175"/>
      <c r="V162" s="174" t="s">
        <v>469</v>
      </c>
      <c r="W162" s="174" t="s">
        <v>540</v>
      </c>
      <c r="X162" s="174" t="s">
        <v>22</v>
      </c>
      <c r="Y162" s="174"/>
      <c r="Z162" s="175"/>
      <c r="AA162" s="174" t="s">
        <v>541</v>
      </c>
      <c r="AB162" s="176">
        <v>43164.636678240742</v>
      </c>
      <c r="AC162" s="174" t="s">
        <v>1119</v>
      </c>
      <c r="AD162" s="176">
        <v>43164.631863425922</v>
      </c>
      <c r="AE162" s="176">
        <v>43164.631863425922</v>
      </c>
      <c r="AF162" s="175"/>
    </row>
    <row r="163" spans="1:32" x14ac:dyDescent="0.25">
      <c r="A163" s="174" t="s">
        <v>484</v>
      </c>
      <c r="B163" s="174" t="s">
        <v>1120</v>
      </c>
      <c r="C163" s="174" t="s">
        <v>478</v>
      </c>
      <c r="D163" s="174" t="s">
        <v>491</v>
      </c>
      <c r="E163" s="176">
        <v>43164</v>
      </c>
      <c r="F163" s="176">
        <v>43166</v>
      </c>
      <c r="G163" s="174" t="s">
        <v>1088</v>
      </c>
      <c r="H163" s="179" t="s">
        <v>486</v>
      </c>
      <c r="I163" s="174" t="s">
        <v>1121</v>
      </c>
      <c r="J163" s="178">
        <v>4550000</v>
      </c>
      <c r="K163" s="178">
        <v>95.245999999999995</v>
      </c>
      <c r="L163" s="178">
        <v>4.4247122444000002</v>
      </c>
      <c r="M163" s="178">
        <v>-4393607.9055555603</v>
      </c>
      <c r="N163" s="174" t="s">
        <v>337</v>
      </c>
      <c r="O163" s="174" t="s">
        <v>1122</v>
      </c>
      <c r="P163" s="174" t="s">
        <v>22</v>
      </c>
      <c r="Q163" s="174" t="s">
        <v>129</v>
      </c>
      <c r="R163" s="174" t="s">
        <v>1123</v>
      </c>
      <c r="S163" s="174" t="s">
        <v>132</v>
      </c>
      <c r="T163" s="175"/>
      <c r="U163" s="175"/>
      <c r="V163" s="174" t="s">
        <v>489</v>
      </c>
      <c r="W163" s="174" t="s">
        <v>494</v>
      </c>
      <c r="X163" s="174" t="s">
        <v>22</v>
      </c>
      <c r="Y163" s="174"/>
      <c r="Z163" s="175"/>
      <c r="AA163" s="174" t="s">
        <v>512</v>
      </c>
      <c r="AB163" s="176">
        <v>43164.709270833337</v>
      </c>
      <c r="AC163" s="174" t="s">
        <v>1123</v>
      </c>
      <c r="AD163" s="176">
        <v>43164.700868055559</v>
      </c>
      <c r="AE163" s="176">
        <v>43164.700925925928</v>
      </c>
      <c r="AF163" s="175"/>
    </row>
    <row r="164" spans="1:32" x14ac:dyDescent="0.25">
      <c r="A164" s="174" t="s">
        <v>461</v>
      </c>
      <c r="B164" s="174" t="s">
        <v>1124</v>
      </c>
      <c r="C164" s="174" t="s">
        <v>478</v>
      </c>
      <c r="D164" s="174" t="s">
        <v>491</v>
      </c>
      <c r="E164" s="176">
        <v>43164</v>
      </c>
      <c r="F164" s="176">
        <v>43165</v>
      </c>
      <c r="G164" s="174" t="s">
        <v>1088</v>
      </c>
      <c r="H164" s="177" t="s">
        <v>466</v>
      </c>
      <c r="I164" s="174" t="s">
        <v>475</v>
      </c>
      <c r="J164" s="178">
        <v>4004000</v>
      </c>
      <c r="K164" s="178">
        <v>98.859375</v>
      </c>
      <c r="L164" s="178">
        <v>2.8826001954999998</v>
      </c>
      <c r="M164" s="178">
        <v>3964108.6291436497</v>
      </c>
      <c r="N164" s="174" t="s">
        <v>337</v>
      </c>
      <c r="O164" s="174" t="s">
        <v>476</v>
      </c>
      <c r="P164" s="174" t="s">
        <v>22</v>
      </c>
      <c r="Q164" s="174" t="s">
        <v>129</v>
      </c>
      <c r="R164" s="174" t="s">
        <v>1125</v>
      </c>
      <c r="S164" s="174" t="s">
        <v>132</v>
      </c>
      <c r="T164" s="175"/>
      <c r="U164" s="175"/>
      <c r="V164" s="174" t="s">
        <v>469</v>
      </c>
      <c r="W164" s="174" t="s">
        <v>494</v>
      </c>
      <c r="X164" s="174" t="s">
        <v>22</v>
      </c>
      <c r="Y164" s="174"/>
      <c r="Z164" s="175"/>
      <c r="AA164" s="174" t="s">
        <v>512</v>
      </c>
      <c r="AB164" s="176">
        <v>43164.709270833337</v>
      </c>
      <c r="AC164" s="174" t="s">
        <v>1125</v>
      </c>
      <c r="AD164" s="176">
        <v>43164.700787037036</v>
      </c>
      <c r="AE164" s="176">
        <v>43164.700960648152</v>
      </c>
      <c r="AF164" s="175"/>
    </row>
    <row r="165" spans="1:32" x14ac:dyDescent="0.25">
      <c r="A165" s="174" t="s">
        <v>461</v>
      </c>
      <c r="B165" s="174" t="s">
        <v>1126</v>
      </c>
      <c r="C165" s="174" t="s">
        <v>478</v>
      </c>
      <c r="D165" s="174" t="s">
        <v>768</v>
      </c>
      <c r="E165" s="176">
        <v>43164</v>
      </c>
      <c r="F165" s="176">
        <v>43165</v>
      </c>
      <c r="G165" s="174" t="s">
        <v>1088</v>
      </c>
      <c r="H165" s="179" t="s">
        <v>486</v>
      </c>
      <c r="I165" s="174" t="s">
        <v>475</v>
      </c>
      <c r="J165" s="178">
        <v>4340000</v>
      </c>
      <c r="K165" s="178">
        <v>98.875</v>
      </c>
      <c r="L165" s="178">
        <v>2.8807705845</v>
      </c>
      <c r="M165" s="178">
        <v>-4297439.2265193397</v>
      </c>
      <c r="N165" s="174" t="s">
        <v>337</v>
      </c>
      <c r="O165" s="174" t="s">
        <v>476</v>
      </c>
      <c r="P165" s="174" t="s">
        <v>22</v>
      </c>
      <c r="Q165" s="174" t="s">
        <v>129</v>
      </c>
      <c r="R165" s="174" t="s">
        <v>1127</v>
      </c>
      <c r="S165" s="174" t="s">
        <v>132</v>
      </c>
      <c r="T165" s="175"/>
      <c r="U165" s="175"/>
      <c r="V165" s="174" t="s">
        <v>469</v>
      </c>
      <c r="W165" s="174" t="s">
        <v>770</v>
      </c>
      <c r="X165" s="174" t="s">
        <v>22</v>
      </c>
      <c r="Y165" s="174"/>
      <c r="Z165" s="175"/>
      <c r="AA165" s="174" t="s">
        <v>512</v>
      </c>
      <c r="AB165" s="176">
        <v>43165.340671296297</v>
      </c>
      <c r="AC165" s="174" t="s">
        <v>1127</v>
      </c>
      <c r="AD165" s="176">
        <v>43165.333067129628</v>
      </c>
      <c r="AE165" s="176">
        <v>43165.33315972222</v>
      </c>
      <c r="AF165" s="175"/>
    </row>
    <row r="166" spans="1:32" x14ac:dyDescent="0.25">
      <c r="A166" s="174" t="s">
        <v>484</v>
      </c>
      <c r="B166" s="174" t="s">
        <v>1128</v>
      </c>
      <c r="C166" s="174" t="s">
        <v>478</v>
      </c>
      <c r="D166" s="174" t="s">
        <v>768</v>
      </c>
      <c r="E166" s="176">
        <v>43164</v>
      </c>
      <c r="F166" s="176">
        <v>43166</v>
      </c>
      <c r="G166" s="174" t="s">
        <v>1088</v>
      </c>
      <c r="H166" s="177" t="s">
        <v>466</v>
      </c>
      <c r="I166" s="174" t="s">
        <v>772</v>
      </c>
      <c r="J166" s="178">
        <v>4745000</v>
      </c>
      <c r="K166" s="178">
        <v>95.744</v>
      </c>
      <c r="L166" s="178">
        <v>4.4755266104000002</v>
      </c>
      <c r="M166" s="178">
        <v>4629477.7027777806</v>
      </c>
      <c r="N166" s="174" t="s">
        <v>337</v>
      </c>
      <c r="O166" s="174" t="s">
        <v>773</v>
      </c>
      <c r="P166" s="174" t="s">
        <v>22</v>
      </c>
      <c r="Q166" s="174" t="s">
        <v>129</v>
      </c>
      <c r="R166" s="174" t="s">
        <v>1129</v>
      </c>
      <c r="S166" s="174" t="s">
        <v>132</v>
      </c>
      <c r="T166" s="175"/>
      <c r="U166" s="175"/>
      <c r="V166" s="174" t="s">
        <v>489</v>
      </c>
      <c r="W166" s="174" t="s">
        <v>770</v>
      </c>
      <c r="X166" s="174" t="s">
        <v>22</v>
      </c>
      <c r="Y166" s="174"/>
      <c r="Z166" s="175"/>
      <c r="AA166" s="174" t="s">
        <v>512</v>
      </c>
      <c r="AB166" s="176">
        <v>43165.340671296297</v>
      </c>
      <c r="AC166" s="174" t="s">
        <v>1129</v>
      </c>
      <c r="AD166" s="176">
        <v>43165.333124999997</v>
      </c>
      <c r="AE166" s="176">
        <v>43165.333194444444</v>
      </c>
      <c r="AF166" s="175"/>
    </row>
    <row r="167" spans="1:32" x14ac:dyDescent="0.25">
      <c r="A167" s="174" t="s">
        <v>461</v>
      </c>
      <c r="B167" s="174" t="s">
        <v>1130</v>
      </c>
      <c r="C167" s="174" t="s">
        <v>1075</v>
      </c>
      <c r="D167" s="174" t="s">
        <v>1076</v>
      </c>
      <c r="E167" s="176">
        <v>43164</v>
      </c>
      <c r="F167" s="176">
        <v>43167</v>
      </c>
      <c r="G167" s="174" t="s">
        <v>1088</v>
      </c>
      <c r="H167" s="179" t="s">
        <v>486</v>
      </c>
      <c r="I167" s="174" t="s">
        <v>1078</v>
      </c>
      <c r="J167" s="178">
        <v>125000000</v>
      </c>
      <c r="K167" s="178">
        <v>99.581652779999999</v>
      </c>
      <c r="L167" s="178">
        <v>1.655</v>
      </c>
      <c r="M167" s="178">
        <v>-124477065.972222</v>
      </c>
      <c r="N167" s="174" t="s">
        <v>337</v>
      </c>
      <c r="O167" s="174" t="s">
        <v>1079</v>
      </c>
      <c r="P167" s="174" t="s">
        <v>23</v>
      </c>
      <c r="Q167" s="174" t="s">
        <v>129</v>
      </c>
      <c r="R167" s="175"/>
      <c r="S167" s="175"/>
      <c r="T167" s="175"/>
      <c r="U167" s="175"/>
      <c r="V167" s="174" t="s">
        <v>469</v>
      </c>
      <c r="W167" s="174" t="s">
        <v>1080</v>
      </c>
      <c r="X167" s="174" t="s">
        <v>24</v>
      </c>
      <c r="Y167" s="174"/>
      <c r="Z167" s="174" t="s">
        <v>1131</v>
      </c>
      <c r="AA167" s="174" t="s">
        <v>483</v>
      </c>
      <c r="AB167" s="176">
        <v>43164.422326388885</v>
      </c>
      <c r="AC167" s="175"/>
      <c r="AD167" s="176">
        <v>43164.554247685184</v>
      </c>
      <c r="AE167" s="176">
        <v>43164.554247685184</v>
      </c>
      <c r="AF167" s="175"/>
    </row>
    <row r="168" spans="1:32" x14ac:dyDescent="0.25">
      <c r="A168" s="174" t="s">
        <v>461</v>
      </c>
      <c r="B168" s="174" t="s">
        <v>1132</v>
      </c>
      <c r="C168" s="174" t="s">
        <v>478</v>
      </c>
      <c r="D168" s="174" t="s">
        <v>582</v>
      </c>
      <c r="E168" s="176">
        <v>43164</v>
      </c>
      <c r="F168" s="176">
        <v>43165</v>
      </c>
      <c r="G168" s="174" t="s">
        <v>1088</v>
      </c>
      <c r="H168" s="177" t="s">
        <v>466</v>
      </c>
      <c r="I168" s="174" t="s">
        <v>644</v>
      </c>
      <c r="J168" s="178">
        <v>4550000</v>
      </c>
      <c r="K168" s="178">
        <v>97.1953125</v>
      </c>
      <c r="L168" s="178">
        <v>3.1452099844000001</v>
      </c>
      <c r="M168" s="178">
        <v>4429551.0833908794</v>
      </c>
      <c r="N168" s="174" t="s">
        <v>337</v>
      </c>
      <c r="O168" s="174" t="s">
        <v>645</v>
      </c>
      <c r="P168" s="174" t="s">
        <v>23</v>
      </c>
      <c r="Q168" s="174" t="s">
        <v>129</v>
      </c>
      <c r="R168" s="175"/>
      <c r="S168" s="175"/>
      <c r="T168" s="175"/>
      <c r="U168" s="175"/>
      <c r="V168" s="174" t="s">
        <v>469</v>
      </c>
      <c r="W168" s="174" t="s">
        <v>586</v>
      </c>
      <c r="X168" s="174" t="s">
        <v>24</v>
      </c>
      <c r="Y168" s="174"/>
      <c r="Z168" s="174" t="s">
        <v>1133</v>
      </c>
      <c r="AA168" s="174" t="s">
        <v>483</v>
      </c>
      <c r="AB168" s="176">
        <v>43164.486863425926</v>
      </c>
      <c r="AC168" s="175"/>
      <c r="AD168" s="176">
        <v>43164.572731481479</v>
      </c>
      <c r="AE168" s="176">
        <v>43164.572731481479</v>
      </c>
      <c r="AF168" s="175"/>
    </row>
    <row r="169" spans="1:32" x14ac:dyDescent="0.25">
      <c r="A169" s="174" t="s">
        <v>461</v>
      </c>
      <c r="B169" s="174" t="s">
        <v>1134</v>
      </c>
      <c r="C169" s="174" t="s">
        <v>478</v>
      </c>
      <c r="D169" s="174" t="s">
        <v>582</v>
      </c>
      <c r="E169" s="176">
        <v>43164</v>
      </c>
      <c r="F169" s="176">
        <v>43165</v>
      </c>
      <c r="G169" s="174" t="s">
        <v>1088</v>
      </c>
      <c r="H169" s="179" t="s">
        <v>486</v>
      </c>
      <c r="I169" s="174" t="s">
        <v>644</v>
      </c>
      <c r="J169" s="178">
        <v>6825000</v>
      </c>
      <c r="K169" s="178">
        <v>97.1875</v>
      </c>
      <c r="L169" s="178">
        <v>3.1456222594000001</v>
      </c>
      <c r="M169" s="178">
        <v>-6643793.4219613299</v>
      </c>
      <c r="N169" s="174" t="s">
        <v>337</v>
      </c>
      <c r="O169" s="174" t="s">
        <v>645</v>
      </c>
      <c r="P169" s="174" t="s">
        <v>23</v>
      </c>
      <c r="Q169" s="174" t="s">
        <v>129</v>
      </c>
      <c r="R169" s="175"/>
      <c r="S169" s="175"/>
      <c r="T169" s="175"/>
      <c r="U169" s="175"/>
      <c r="V169" s="174" t="s">
        <v>469</v>
      </c>
      <c r="W169" s="174" t="s">
        <v>586</v>
      </c>
      <c r="X169" s="174" t="s">
        <v>24</v>
      </c>
      <c r="Y169" s="174"/>
      <c r="Z169" s="174" t="s">
        <v>1133</v>
      </c>
      <c r="AA169" s="174" t="s">
        <v>483</v>
      </c>
      <c r="AB169" s="176">
        <v>43164.486863425926</v>
      </c>
      <c r="AC169" s="175"/>
      <c r="AD169" s="176">
        <v>43164.572731481479</v>
      </c>
      <c r="AE169" s="176">
        <v>43164.572731481479</v>
      </c>
      <c r="AF169" s="175"/>
    </row>
    <row r="170" spans="1:32" x14ac:dyDescent="0.25">
      <c r="A170" s="174" t="s">
        <v>461</v>
      </c>
      <c r="B170" s="174" t="s">
        <v>1135</v>
      </c>
      <c r="C170" s="174" t="s">
        <v>478</v>
      </c>
      <c r="D170" s="174" t="s">
        <v>582</v>
      </c>
      <c r="E170" s="176">
        <v>43164</v>
      </c>
      <c r="F170" s="176">
        <v>43165</v>
      </c>
      <c r="G170" s="174" t="s">
        <v>1088</v>
      </c>
      <c r="H170" s="179" t="s">
        <v>486</v>
      </c>
      <c r="I170" s="174" t="s">
        <v>644</v>
      </c>
      <c r="J170" s="178">
        <v>6825000</v>
      </c>
      <c r="K170" s="178">
        <v>97.21484375</v>
      </c>
      <c r="L170" s="178">
        <v>3.1441794870000002</v>
      </c>
      <c r="M170" s="178">
        <v>-6645659.6328988299</v>
      </c>
      <c r="N170" s="174" t="s">
        <v>337</v>
      </c>
      <c r="O170" s="174" t="s">
        <v>645</v>
      </c>
      <c r="P170" s="174" t="s">
        <v>23</v>
      </c>
      <c r="Q170" s="174" t="s">
        <v>129</v>
      </c>
      <c r="R170" s="175"/>
      <c r="S170" s="175"/>
      <c r="T170" s="175"/>
      <c r="U170" s="175"/>
      <c r="V170" s="174" t="s">
        <v>469</v>
      </c>
      <c r="W170" s="174" t="s">
        <v>586</v>
      </c>
      <c r="X170" s="174" t="s">
        <v>24</v>
      </c>
      <c r="Y170" s="174"/>
      <c r="Z170" s="174" t="s">
        <v>1133</v>
      </c>
      <c r="AA170" s="174" t="s">
        <v>483</v>
      </c>
      <c r="AB170" s="176">
        <v>43164.486863425926</v>
      </c>
      <c r="AC170" s="175"/>
      <c r="AD170" s="176">
        <v>43164.572743055556</v>
      </c>
      <c r="AE170" s="176">
        <v>43164.572743055556</v>
      </c>
      <c r="AF170" s="175"/>
    </row>
    <row r="171" spans="1:32" x14ac:dyDescent="0.25">
      <c r="A171" s="174" t="s">
        <v>461</v>
      </c>
      <c r="B171" s="174" t="s">
        <v>1136</v>
      </c>
      <c r="C171" s="174" t="s">
        <v>478</v>
      </c>
      <c r="D171" s="174" t="s">
        <v>582</v>
      </c>
      <c r="E171" s="176">
        <v>43164</v>
      </c>
      <c r="F171" s="176">
        <v>43165</v>
      </c>
      <c r="G171" s="174" t="s">
        <v>1088</v>
      </c>
      <c r="H171" s="177" t="s">
        <v>466</v>
      </c>
      <c r="I171" s="174" t="s">
        <v>644</v>
      </c>
      <c r="J171" s="178">
        <v>4550000</v>
      </c>
      <c r="K171" s="178">
        <v>97.0390625</v>
      </c>
      <c r="L171" s="178">
        <v>3.1534637554999998</v>
      </c>
      <c r="M171" s="178">
        <v>4422441.7083908804</v>
      </c>
      <c r="N171" s="174" t="s">
        <v>337</v>
      </c>
      <c r="O171" s="174" t="s">
        <v>645</v>
      </c>
      <c r="P171" s="174" t="s">
        <v>23</v>
      </c>
      <c r="Q171" s="174" t="s">
        <v>129</v>
      </c>
      <c r="R171" s="175"/>
      <c r="S171" s="175"/>
      <c r="T171" s="175"/>
      <c r="U171" s="175"/>
      <c r="V171" s="174" t="s">
        <v>469</v>
      </c>
      <c r="W171" s="174" t="s">
        <v>586</v>
      </c>
      <c r="X171" s="174" t="s">
        <v>24</v>
      </c>
      <c r="Y171" s="174"/>
      <c r="Z171" s="174" t="s">
        <v>1133</v>
      </c>
      <c r="AA171" s="174" t="s">
        <v>483</v>
      </c>
      <c r="AB171" s="176">
        <v>43164.499814814815</v>
      </c>
      <c r="AC171" s="175"/>
      <c r="AD171" s="176">
        <v>43164.572743055556</v>
      </c>
      <c r="AE171" s="176">
        <v>43164.572743055556</v>
      </c>
      <c r="AF171" s="175"/>
    </row>
    <row r="172" spans="1:32" x14ac:dyDescent="0.25">
      <c r="A172" s="174" t="s">
        <v>461</v>
      </c>
      <c r="B172" s="174" t="s">
        <v>1137</v>
      </c>
      <c r="C172" s="174" t="s">
        <v>478</v>
      </c>
      <c r="D172" s="174" t="s">
        <v>582</v>
      </c>
      <c r="E172" s="176">
        <v>43164</v>
      </c>
      <c r="F172" s="176">
        <v>43165</v>
      </c>
      <c r="G172" s="174" t="s">
        <v>1088</v>
      </c>
      <c r="H172" s="179" t="s">
        <v>486</v>
      </c>
      <c r="I172" s="174" t="s">
        <v>644</v>
      </c>
      <c r="J172" s="178">
        <v>9100000</v>
      </c>
      <c r="K172" s="178">
        <v>96.79296875</v>
      </c>
      <c r="L172" s="178">
        <v>3.1664988738000002</v>
      </c>
      <c r="M172" s="178">
        <v>-8822488.8855317701</v>
      </c>
      <c r="N172" s="174" t="s">
        <v>337</v>
      </c>
      <c r="O172" s="174" t="s">
        <v>645</v>
      </c>
      <c r="P172" s="174" t="s">
        <v>23</v>
      </c>
      <c r="Q172" s="174" t="s">
        <v>129</v>
      </c>
      <c r="R172" s="175"/>
      <c r="S172" s="175"/>
      <c r="T172" s="175"/>
      <c r="U172" s="175"/>
      <c r="V172" s="174" t="s">
        <v>469</v>
      </c>
      <c r="W172" s="174" t="s">
        <v>586</v>
      </c>
      <c r="X172" s="174" t="s">
        <v>24</v>
      </c>
      <c r="Y172" s="174"/>
      <c r="Z172" s="174" t="s">
        <v>1133</v>
      </c>
      <c r="AA172" s="174" t="s">
        <v>483</v>
      </c>
      <c r="AB172" s="176">
        <v>43164.564699074072</v>
      </c>
      <c r="AC172" s="175"/>
      <c r="AD172" s="176">
        <v>43164.65016203704</v>
      </c>
      <c r="AE172" s="176">
        <v>43164.65016203704</v>
      </c>
      <c r="AF172" s="175"/>
    </row>
    <row r="173" spans="1:32" x14ac:dyDescent="0.25">
      <c r="A173" s="174" t="s">
        <v>461</v>
      </c>
      <c r="B173" s="174" t="s">
        <v>1138</v>
      </c>
      <c r="C173" s="174" t="s">
        <v>478</v>
      </c>
      <c r="D173" s="174" t="s">
        <v>582</v>
      </c>
      <c r="E173" s="176">
        <v>43164</v>
      </c>
      <c r="F173" s="176">
        <v>43165</v>
      </c>
      <c r="G173" s="174" t="s">
        <v>1088</v>
      </c>
      <c r="H173" s="177" t="s">
        <v>466</v>
      </c>
      <c r="I173" s="174" t="s">
        <v>644</v>
      </c>
      <c r="J173" s="178">
        <v>4550000</v>
      </c>
      <c r="K173" s="178">
        <v>96.77734375</v>
      </c>
      <c r="L173" s="178">
        <v>3.1673279689</v>
      </c>
      <c r="M173" s="178">
        <v>4410533.5052658804</v>
      </c>
      <c r="N173" s="174" t="s">
        <v>337</v>
      </c>
      <c r="O173" s="174" t="s">
        <v>645</v>
      </c>
      <c r="P173" s="174" t="s">
        <v>23</v>
      </c>
      <c r="Q173" s="174" t="s">
        <v>129</v>
      </c>
      <c r="R173" s="175"/>
      <c r="S173" s="175"/>
      <c r="T173" s="175"/>
      <c r="U173" s="175"/>
      <c r="V173" s="174" t="s">
        <v>469</v>
      </c>
      <c r="W173" s="174" t="s">
        <v>586</v>
      </c>
      <c r="X173" s="174" t="s">
        <v>24</v>
      </c>
      <c r="Y173" s="174"/>
      <c r="Z173" s="174" t="s">
        <v>1133</v>
      </c>
      <c r="AA173" s="174" t="s">
        <v>483</v>
      </c>
      <c r="AB173" s="176">
        <v>43164.564699074072</v>
      </c>
      <c r="AC173" s="175"/>
      <c r="AD173" s="176">
        <v>43164.65016203704</v>
      </c>
      <c r="AE173" s="176">
        <v>43164.65016203704</v>
      </c>
      <c r="AF173" s="175"/>
    </row>
    <row r="174" spans="1:32" x14ac:dyDescent="0.25">
      <c r="A174" s="174" t="s">
        <v>461</v>
      </c>
      <c r="B174" s="174" t="s">
        <v>1139</v>
      </c>
      <c r="C174" s="174" t="s">
        <v>478</v>
      </c>
      <c r="D174" s="174" t="s">
        <v>582</v>
      </c>
      <c r="E174" s="176">
        <v>43164</v>
      </c>
      <c r="F174" s="176">
        <v>43165</v>
      </c>
      <c r="G174" s="174" t="s">
        <v>1088</v>
      </c>
      <c r="H174" s="179" t="s">
        <v>486</v>
      </c>
      <c r="I174" s="174" t="s">
        <v>644</v>
      </c>
      <c r="J174" s="178">
        <v>6825000</v>
      </c>
      <c r="K174" s="178">
        <v>96.9296875</v>
      </c>
      <c r="L174" s="178">
        <v>3.1592517785999998</v>
      </c>
      <c r="M174" s="178">
        <v>-6626197.7188363308</v>
      </c>
      <c r="N174" s="174" t="s">
        <v>337</v>
      </c>
      <c r="O174" s="174" t="s">
        <v>645</v>
      </c>
      <c r="P174" s="174" t="s">
        <v>23</v>
      </c>
      <c r="Q174" s="174" t="s">
        <v>129</v>
      </c>
      <c r="R174" s="175"/>
      <c r="S174" s="175"/>
      <c r="T174" s="175"/>
      <c r="U174" s="175"/>
      <c r="V174" s="174" t="s">
        <v>469</v>
      </c>
      <c r="W174" s="174" t="s">
        <v>586</v>
      </c>
      <c r="X174" s="174" t="s">
        <v>24</v>
      </c>
      <c r="Y174" s="174"/>
      <c r="Z174" s="174" t="s">
        <v>1133</v>
      </c>
      <c r="AA174" s="174" t="s">
        <v>483</v>
      </c>
      <c r="AB174" s="176">
        <v>43164.57135416667</v>
      </c>
      <c r="AC174" s="175"/>
      <c r="AD174" s="176">
        <v>43164.650173611109</v>
      </c>
      <c r="AE174" s="176">
        <v>43164.650173611109</v>
      </c>
      <c r="AF174" s="175"/>
    </row>
    <row r="175" spans="1:32" x14ac:dyDescent="0.25">
      <c r="A175" s="174" t="s">
        <v>461</v>
      </c>
      <c r="B175" s="174" t="s">
        <v>1140</v>
      </c>
      <c r="C175" s="174" t="s">
        <v>463</v>
      </c>
      <c r="D175" s="174" t="s">
        <v>506</v>
      </c>
      <c r="E175" s="176">
        <v>43164</v>
      </c>
      <c r="F175" s="176">
        <v>43167</v>
      </c>
      <c r="G175" s="174" t="s">
        <v>1088</v>
      </c>
      <c r="H175" s="179" t="s">
        <v>486</v>
      </c>
      <c r="I175" s="174" t="s">
        <v>1083</v>
      </c>
      <c r="J175" s="178">
        <v>250000000</v>
      </c>
      <c r="K175" s="178">
        <v>99.069777779999995</v>
      </c>
      <c r="L175" s="178">
        <v>1.84</v>
      </c>
      <c r="M175" s="178">
        <v>-247674444.444444</v>
      </c>
      <c r="N175" s="174" t="s">
        <v>337</v>
      </c>
      <c r="O175" s="174" t="s">
        <v>1084</v>
      </c>
      <c r="P175" s="174" t="s">
        <v>23</v>
      </c>
      <c r="Q175" s="174" t="s">
        <v>129</v>
      </c>
      <c r="R175" s="175"/>
      <c r="S175" s="175"/>
      <c r="T175" s="175"/>
      <c r="U175" s="175"/>
      <c r="V175" s="174" t="s">
        <v>469</v>
      </c>
      <c r="W175" s="174" t="s">
        <v>511</v>
      </c>
      <c r="X175" s="174" t="s">
        <v>24</v>
      </c>
      <c r="Y175" s="174"/>
      <c r="Z175" s="174" t="s">
        <v>1085</v>
      </c>
      <c r="AA175" s="174" t="s">
        <v>472</v>
      </c>
      <c r="AB175" s="176">
        <v>43164.749062499999</v>
      </c>
      <c r="AC175" s="175"/>
      <c r="AD175" s="176">
        <v>43165.339571759258</v>
      </c>
      <c r="AE175" s="176">
        <v>43165.339571759258</v>
      </c>
      <c r="AF175" s="175"/>
    </row>
    <row r="176" spans="1:32" x14ac:dyDescent="0.25">
      <c r="A176" s="174" t="s">
        <v>461</v>
      </c>
      <c r="B176" s="174" t="s">
        <v>1141</v>
      </c>
      <c r="C176" s="174" t="s">
        <v>463</v>
      </c>
      <c r="D176" s="174" t="s">
        <v>935</v>
      </c>
      <c r="E176" s="176">
        <v>43164</v>
      </c>
      <c r="F176" s="176">
        <v>43165</v>
      </c>
      <c r="G176" s="174" t="s">
        <v>1142</v>
      </c>
      <c r="H176" s="179" t="s">
        <v>486</v>
      </c>
      <c r="I176" s="174" t="s">
        <v>467</v>
      </c>
      <c r="J176" s="178">
        <v>16200000</v>
      </c>
      <c r="K176" s="178">
        <v>99.924308999999994</v>
      </c>
      <c r="L176" s="178">
        <v>2.6412507645000001</v>
      </c>
      <c r="M176" s="178">
        <v>-16194671.481913041</v>
      </c>
      <c r="N176" s="174" t="s">
        <v>337</v>
      </c>
      <c r="O176" s="174" t="s">
        <v>468</v>
      </c>
      <c r="P176" s="174" t="s">
        <v>23</v>
      </c>
      <c r="Q176" s="174" t="s">
        <v>130</v>
      </c>
      <c r="R176" s="175"/>
      <c r="S176" s="175"/>
      <c r="T176" s="175"/>
      <c r="U176" s="175"/>
      <c r="V176" s="174" t="s">
        <v>469</v>
      </c>
      <c r="W176" s="174" t="s">
        <v>938</v>
      </c>
      <c r="X176" s="174" t="s">
        <v>24</v>
      </c>
      <c r="Y176" s="174"/>
      <c r="Z176" s="174" t="s">
        <v>1143</v>
      </c>
      <c r="AA176" s="174" t="s">
        <v>483</v>
      </c>
      <c r="AB176" s="175"/>
      <c r="AC176" s="175"/>
      <c r="AD176" s="176">
        <v>43164.657743055555</v>
      </c>
      <c r="AE176" s="176">
        <v>43164.657743055555</v>
      </c>
      <c r="AF176" s="175"/>
    </row>
    <row r="177" spans="1:32" x14ac:dyDescent="0.25">
      <c r="A177" s="174" t="s">
        <v>461</v>
      </c>
      <c r="B177" s="174" t="s">
        <v>1144</v>
      </c>
      <c r="C177" s="174" t="s">
        <v>463</v>
      </c>
      <c r="D177" s="174" t="s">
        <v>935</v>
      </c>
      <c r="E177" s="176">
        <v>43164</v>
      </c>
      <c r="F177" s="176">
        <v>43165</v>
      </c>
      <c r="G177" s="174" t="s">
        <v>1142</v>
      </c>
      <c r="H177" s="177" t="s">
        <v>466</v>
      </c>
      <c r="I177" s="174" t="s">
        <v>524</v>
      </c>
      <c r="J177" s="178">
        <v>26600000</v>
      </c>
      <c r="K177" s="178">
        <v>99.570312000000001</v>
      </c>
      <c r="L177" s="178">
        <v>2.4016510394999999</v>
      </c>
      <c r="M177" s="178">
        <v>26517115.975425407</v>
      </c>
      <c r="N177" s="174" t="s">
        <v>337</v>
      </c>
      <c r="O177" s="174" t="s">
        <v>525</v>
      </c>
      <c r="P177" s="174" t="s">
        <v>23</v>
      </c>
      <c r="Q177" s="174" t="s">
        <v>130</v>
      </c>
      <c r="R177" s="175"/>
      <c r="S177" s="175"/>
      <c r="T177" s="175"/>
      <c r="U177" s="175"/>
      <c r="V177" s="174" t="s">
        <v>469</v>
      </c>
      <c r="W177" s="174" t="s">
        <v>938</v>
      </c>
      <c r="X177" s="174" t="s">
        <v>24</v>
      </c>
      <c r="Y177" s="174"/>
      <c r="Z177" s="174" t="s">
        <v>1143</v>
      </c>
      <c r="AA177" s="174" t="s">
        <v>483</v>
      </c>
      <c r="AB177" s="175"/>
      <c r="AC177" s="175"/>
      <c r="AD177" s="176">
        <v>43164.657743055555</v>
      </c>
      <c r="AE177" s="176">
        <v>43164.657743055555</v>
      </c>
      <c r="AF177" s="175"/>
    </row>
    <row r="178" spans="1:32" x14ac:dyDescent="0.25">
      <c r="A178" s="174" t="s">
        <v>461</v>
      </c>
      <c r="B178" s="174" t="s">
        <v>1145</v>
      </c>
      <c r="C178" s="174" t="s">
        <v>463</v>
      </c>
      <c r="D178" s="174" t="s">
        <v>935</v>
      </c>
      <c r="E178" s="176">
        <v>43164</v>
      </c>
      <c r="F178" s="176">
        <v>43165</v>
      </c>
      <c r="G178" s="174" t="s">
        <v>1142</v>
      </c>
      <c r="H178" s="179" t="s">
        <v>486</v>
      </c>
      <c r="I178" s="174" t="s">
        <v>508</v>
      </c>
      <c r="J178" s="178">
        <v>11900000</v>
      </c>
      <c r="K178" s="178">
        <v>99.628147999999996</v>
      </c>
      <c r="L178" s="178">
        <v>2.8089629302999999</v>
      </c>
      <c r="M178" s="178">
        <v>-11861085.209826091</v>
      </c>
      <c r="N178" s="174" t="s">
        <v>337</v>
      </c>
      <c r="O178" s="174" t="s">
        <v>509</v>
      </c>
      <c r="P178" s="174" t="s">
        <v>23</v>
      </c>
      <c r="Q178" s="174" t="s">
        <v>130</v>
      </c>
      <c r="R178" s="175"/>
      <c r="S178" s="175"/>
      <c r="T178" s="175"/>
      <c r="U178" s="175"/>
      <c r="V178" s="174" t="s">
        <v>469</v>
      </c>
      <c r="W178" s="174" t="s">
        <v>938</v>
      </c>
      <c r="X178" s="174" t="s">
        <v>24</v>
      </c>
      <c r="Y178" s="174"/>
      <c r="Z178" s="174" t="s">
        <v>1143</v>
      </c>
      <c r="AA178" s="174" t="s">
        <v>483</v>
      </c>
      <c r="AB178" s="175"/>
      <c r="AC178" s="175"/>
      <c r="AD178" s="176">
        <v>43164.657743055555</v>
      </c>
      <c r="AE178" s="176">
        <v>43164.657743055555</v>
      </c>
      <c r="AF178" s="175"/>
    </row>
    <row r="179" spans="1:32" x14ac:dyDescent="0.25">
      <c r="A179" s="174" t="s">
        <v>461</v>
      </c>
      <c r="B179" s="174" t="s">
        <v>1146</v>
      </c>
      <c r="C179" s="174" t="s">
        <v>463</v>
      </c>
      <c r="D179" s="174" t="s">
        <v>935</v>
      </c>
      <c r="E179" s="176">
        <v>43164</v>
      </c>
      <c r="F179" s="176">
        <v>43165</v>
      </c>
      <c r="G179" s="174" t="s">
        <v>1142</v>
      </c>
      <c r="H179" s="177" t="s">
        <v>466</v>
      </c>
      <c r="I179" s="174" t="s">
        <v>754</v>
      </c>
      <c r="J179" s="178">
        <v>9200000</v>
      </c>
      <c r="K179" s="178">
        <v>94.476562000000001</v>
      </c>
      <c r="L179" s="178">
        <v>2.9077634458000001</v>
      </c>
      <c r="M179" s="178">
        <v>8755316.0796906091</v>
      </c>
      <c r="N179" s="174" t="s">
        <v>337</v>
      </c>
      <c r="O179" s="174" t="s">
        <v>755</v>
      </c>
      <c r="P179" s="174" t="s">
        <v>23</v>
      </c>
      <c r="Q179" s="174" t="s">
        <v>130</v>
      </c>
      <c r="R179" s="175"/>
      <c r="S179" s="175"/>
      <c r="T179" s="175"/>
      <c r="U179" s="175"/>
      <c r="V179" s="174" t="s">
        <v>469</v>
      </c>
      <c r="W179" s="174" t="s">
        <v>938</v>
      </c>
      <c r="X179" s="174" t="s">
        <v>24</v>
      </c>
      <c r="Y179" s="174"/>
      <c r="Z179" s="174" t="s">
        <v>1143</v>
      </c>
      <c r="AA179" s="174" t="s">
        <v>483</v>
      </c>
      <c r="AB179" s="175"/>
      <c r="AC179" s="175"/>
      <c r="AD179" s="176">
        <v>43164.657754629632</v>
      </c>
      <c r="AE179" s="176">
        <v>43164.657754629632</v>
      </c>
      <c r="AF179" s="175"/>
    </row>
    <row r="180" spans="1:32" x14ac:dyDescent="0.25">
      <c r="A180" s="174" t="s">
        <v>461</v>
      </c>
      <c r="B180" s="174" t="s">
        <v>1147</v>
      </c>
      <c r="C180" s="174" t="s">
        <v>463</v>
      </c>
      <c r="D180" s="174" t="s">
        <v>1148</v>
      </c>
      <c r="E180" s="176">
        <v>43164</v>
      </c>
      <c r="F180" s="176">
        <v>43165</v>
      </c>
      <c r="G180" s="174" t="s">
        <v>1142</v>
      </c>
      <c r="H180" s="177" t="s">
        <v>466</v>
      </c>
      <c r="I180" s="174" t="s">
        <v>524</v>
      </c>
      <c r="J180" s="178">
        <v>35400000</v>
      </c>
      <c r="K180" s="178">
        <v>99.589843999999999</v>
      </c>
      <c r="L180" s="178">
        <v>2.3947311765000001</v>
      </c>
      <c r="M180" s="178">
        <v>35296610.024618782</v>
      </c>
      <c r="N180" s="174" t="s">
        <v>337</v>
      </c>
      <c r="O180" s="174" t="s">
        <v>525</v>
      </c>
      <c r="P180" s="174" t="s">
        <v>23</v>
      </c>
      <c r="Q180" s="174" t="s">
        <v>130</v>
      </c>
      <c r="R180" s="175"/>
      <c r="S180" s="175"/>
      <c r="T180" s="175"/>
      <c r="U180" s="175"/>
      <c r="V180" s="174" t="s">
        <v>469</v>
      </c>
      <c r="W180" s="174" t="s">
        <v>1149</v>
      </c>
      <c r="X180" s="174" t="s">
        <v>24</v>
      </c>
      <c r="Y180" s="174"/>
      <c r="Z180" s="174" t="s">
        <v>1150</v>
      </c>
      <c r="AA180" s="174" t="s">
        <v>483</v>
      </c>
      <c r="AB180" s="175"/>
      <c r="AC180" s="175"/>
      <c r="AD180" s="176">
        <v>43164.662268518521</v>
      </c>
      <c r="AE180" s="176">
        <v>43164.662268518521</v>
      </c>
      <c r="AF180" s="175"/>
    </row>
    <row r="181" spans="1:32" x14ac:dyDescent="0.25">
      <c r="A181" s="174" t="s">
        <v>461</v>
      </c>
      <c r="B181" s="174" t="s">
        <v>1151</v>
      </c>
      <c r="C181" s="174" t="s">
        <v>463</v>
      </c>
      <c r="D181" s="174" t="s">
        <v>1148</v>
      </c>
      <c r="E181" s="176">
        <v>43164</v>
      </c>
      <c r="F181" s="176">
        <v>43165</v>
      </c>
      <c r="G181" s="174" t="s">
        <v>1142</v>
      </c>
      <c r="H181" s="179" t="s">
        <v>486</v>
      </c>
      <c r="I181" s="174" t="s">
        <v>508</v>
      </c>
      <c r="J181" s="178">
        <v>15800000</v>
      </c>
      <c r="K181" s="178">
        <v>99.76491</v>
      </c>
      <c r="L181" s="178">
        <v>2.7872309620000002</v>
      </c>
      <c r="M181" s="178">
        <v>-15769940.019130429</v>
      </c>
      <c r="N181" s="174" t="s">
        <v>337</v>
      </c>
      <c r="O181" s="174" t="s">
        <v>509</v>
      </c>
      <c r="P181" s="174" t="s">
        <v>23</v>
      </c>
      <c r="Q181" s="174" t="s">
        <v>130</v>
      </c>
      <c r="R181" s="175"/>
      <c r="S181" s="175"/>
      <c r="T181" s="175"/>
      <c r="U181" s="175"/>
      <c r="V181" s="174" t="s">
        <v>469</v>
      </c>
      <c r="W181" s="174" t="s">
        <v>1149</v>
      </c>
      <c r="X181" s="174" t="s">
        <v>24</v>
      </c>
      <c r="Y181" s="174"/>
      <c r="Z181" s="174" t="s">
        <v>1150</v>
      </c>
      <c r="AA181" s="174" t="s">
        <v>483</v>
      </c>
      <c r="AB181" s="175"/>
      <c r="AC181" s="175"/>
      <c r="AD181" s="176">
        <v>43164.662280092591</v>
      </c>
      <c r="AE181" s="176">
        <v>43164.662280092591</v>
      </c>
      <c r="AF181" s="175"/>
    </row>
    <row r="182" spans="1:32" x14ac:dyDescent="0.25">
      <c r="A182" s="174" t="s">
        <v>461</v>
      </c>
      <c r="B182" s="174" t="s">
        <v>1152</v>
      </c>
      <c r="C182" s="174" t="s">
        <v>463</v>
      </c>
      <c r="D182" s="174" t="s">
        <v>1148</v>
      </c>
      <c r="E182" s="176">
        <v>43164</v>
      </c>
      <c r="F182" s="176">
        <v>43165</v>
      </c>
      <c r="G182" s="174" t="s">
        <v>1142</v>
      </c>
      <c r="H182" s="179" t="s">
        <v>486</v>
      </c>
      <c r="I182" s="174" t="s">
        <v>871</v>
      </c>
      <c r="J182" s="178">
        <v>51800000</v>
      </c>
      <c r="K182" s="178">
        <v>100.00189399999999</v>
      </c>
      <c r="L182" s="178">
        <v>2.2489157518999998</v>
      </c>
      <c r="M182" s="178">
        <v>-51819983.809391297</v>
      </c>
      <c r="N182" s="174" t="s">
        <v>337</v>
      </c>
      <c r="O182" s="174" t="s">
        <v>872</v>
      </c>
      <c r="P182" s="174" t="s">
        <v>23</v>
      </c>
      <c r="Q182" s="174" t="s">
        <v>130</v>
      </c>
      <c r="R182" s="175"/>
      <c r="S182" s="175"/>
      <c r="T182" s="175"/>
      <c r="U182" s="175"/>
      <c r="V182" s="174" t="s">
        <v>469</v>
      </c>
      <c r="W182" s="174" t="s">
        <v>1149</v>
      </c>
      <c r="X182" s="174" t="s">
        <v>24</v>
      </c>
      <c r="Y182" s="174"/>
      <c r="Z182" s="174" t="s">
        <v>1150</v>
      </c>
      <c r="AA182" s="174" t="s">
        <v>483</v>
      </c>
      <c r="AB182" s="175"/>
      <c r="AC182" s="175"/>
      <c r="AD182" s="176">
        <v>43164.662291666667</v>
      </c>
      <c r="AE182" s="176">
        <v>43164.662291666667</v>
      </c>
      <c r="AF182" s="175"/>
    </row>
    <row r="183" spans="1:32" x14ac:dyDescent="0.25">
      <c r="A183" s="174" t="s">
        <v>461</v>
      </c>
      <c r="B183" s="174" t="s">
        <v>1153</v>
      </c>
      <c r="C183" s="174" t="s">
        <v>463</v>
      </c>
      <c r="D183" s="174" t="s">
        <v>1148</v>
      </c>
      <c r="E183" s="176">
        <v>43164</v>
      </c>
      <c r="F183" s="176">
        <v>43165</v>
      </c>
      <c r="G183" s="174" t="s">
        <v>1142</v>
      </c>
      <c r="H183" s="177" t="s">
        <v>466</v>
      </c>
      <c r="I183" s="174" t="s">
        <v>754</v>
      </c>
      <c r="J183" s="178">
        <v>12200000</v>
      </c>
      <c r="K183" s="178">
        <v>94.40625</v>
      </c>
      <c r="L183" s="178">
        <v>2.9164156384000002</v>
      </c>
      <c r="M183" s="178">
        <v>11601732.389502758</v>
      </c>
      <c r="N183" s="174" t="s">
        <v>337</v>
      </c>
      <c r="O183" s="174" t="s">
        <v>755</v>
      </c>
      <c r="P183" s="174" t="s">
        <v>23</v>
      </c>
      <c r="Q183" s="174" t="s">
        <v>130</v>
      </c>
      <c r="R183" s="175"/>
      <c r="S183" s="175"/>
      <c r="T183" s="175"/>
      <c r="U183" s="175"/>
      <c r="V183" s="174" t="s">
        <v>469</v>
      </c>
      <c r="W183" s="174" t="s">
        <v>1149</v>
      </c>
      <c r="X183" s="174" t="s">
        <v>24</v>
      </c>
      <c r="Y183" s="174"/>
      <c r="Z183" s="174" t="s">
        <v>1150</v>
      </c>
      <c r="AA183" s="174" t="s">
        <v>483</v>
      </c>
      <c r="AB183" s="175"/>
      <c r="AC183" s="175"/>
      <c r="AD183" s="176">
        <v>43164.662291666667</v>
      </c>
      <c r="AE183" s="176">
        <v>43164.662291666667</v>
      </c>
      <c r="AF183" s="175"/>
    </row>
    <row r="184" spans="1:32" x14ac:dyDescent="0.25">
      <c r="A184" s="174" t="s">
        <v>484</v>
      </c>
      <c r="B184" s="174" t="s">
        <v>1154</v>
      </c>
      <c r="C184" s="174" t="s">
        <v>478</v>
      </c>
      <c r="D184" s="174" t="s">
        <v>479</v>
      </c>
      <c r="E184" s="176">
        <v>43164</v>
      </c>
      <c r="F184" s="176">
        <v>43174</v>
      </c>
      <c r="G184" s="174" t="s">
        <v>1155</v>
      </c>
      <c r="H184" s="177" t="s">
        <v>466</v>
      </c>
      <c r="I184" s="174" t="s">
        <v>1156</v>
      </c>
      <c r="J184" s="178">
        <v>455000</v>
      </c>
      <c r="K184" s="178">
        <v>100.25</v>
      </c>
      <c r="L184" s="178">
        <v>3.9108712932</v>
      </c>
      <c r="M184" s="178">
        <v>456137.5</v>
      </c>
      <c r="N184" s="174" t="s">
        <v>337</v>
      </c>
      <c r="O184" s="174" t="s">
        <v>1157</v>
      </c>
      <c r="P184" s="174" t="s">
        <v>22</v>
      </c>
      <c r="Q184" s="174" t="s">
        <v>129</v>
      </c>
      <c r="R184" s="174" t="s">
        <v>1158</v>
      </c>
      <c r="S184" s="174" t="s">
        <v>132</v>
      </c>
      <c r="T184" s="175"/>
      <c r="U184" s="175"/>
      <c r="V184" s="174" t="s">
        <v>489</v>
      </c>
      <c r="W184" s="174" t="s">
        <v>481</v>
      </c>
      <c r="X184" s="174" t="s">
        <v>22</v>
      </c>
      <c r="Y184" s="174"/>
      <c r="Z184" s="175"/>
      <c r="AA184" s="174" t="s">
        <v>512</v>
      </c>
      <c r="AB184" s="176">
        <v>43164.390046296299</v>
      </c>
      <c r="AC184" s="174" t="s">
        <v>1158</v>
      </c>
      <c r="AD184" s="176">
        <v>43164.388287037036</v>
      </c>
      <c r="AE184" s="176">
        <v>43164.388356481482</v>
      </c>
      <c r="AF184" s="175"/>
    </row>
    <row r="185" spans="1:32" x14ac:dyDescent="0.25">
      <c r="A185" s="174" t="s">
        <v>461</v>
      </c>
      <c r="B185" s="174" t="s">
        <v>1159</v>
      </c>
      <c r="C185" s="174" t="s">
        <v>463</v>
      </c>
      <c r="D185" s="174" t="s">
        <v>1160</v>
      </c>
      <c r="E185" s="176">
        <v>43164</v>
      </c>
      <c r="F185" s="176">
        <v>43165</v>
      </c>
      <c r="G185" s="174" t="s">
        <v>1155</v>
      </c>
      <c r="H185" s="177" t="s">
        <v>466</v>
      </c>
      <c r="I185" s="174" t="s">
        <v>467</v>
      </c>
      <c r="J185" s="178">
        <v>25000000</v>
      </c>
      <c r="K185" s="178">
        <v>99.972321249999993</v>
      </c>
      <c r="L185" s="178">
        <v>2.6309041535</v>
      </c>
      <c r="M185" s="178">
        <v>25003780.040760867</v>
      </c>
      <c r="N185" s="174" t="s">
        <v>337</v>
      </c>
      <c r="O185" s="174" t="s">
        <v>468</v>
      </c>
      <c r="P185" s="174" t="s">
        <v>22</v>
      </c>
      <c r="Q185" s="174" t="s">
        <v>129</v>
      </c>
      <c r="R185" s="174" t="s">
        <v>1161</v>
      </c>
      <c r="S185" s="174" t="s">
        <v>132</v>
      </c>
      <c r="T185" s="175"/>
      <c r="U185" s="175"/>
      <c r="V185" s="174" t="s">
        <v>469</v>
      </c>
      <c r="W185" s="174" t="s">
        <v>1162</v>
      </c>
      <c r="X185" s="174" t="s">
        <v>22</v>
      </c>
      <c r="Y185" s="174"/>
      <c r="Z185" s="175"/>
      <c r="AA185" s="174" t="s">
        <v>512</v>
      </c>
      <c r="AB185" s="176">
        <v>43164.480451388888</v>
      </c>
      <c r="AC185" s="174" t="s">
        <v>1161</v>
      </c>
      <c r="AD185" s="176">
        <v>43164.47625</v>
      </c>
      <c r="AE185" s="176">
        <v>43164.476331018515</v>
      </c>
      <c r="AF185" s="175"/>
    </row>
    <row r="186" spans="1:32" x14ac:dyDescent="0.25">
      <c r="A186" s="174" t="s">
        <v>461</v>
      </c>
      <c r="B186" s="174" t="s">
        <v>1163</v>
      </c>
      <c r="C186" s="174" t="s">
        <v>463</v>
      </c>
      <c r="D186" s="174" t="s">
        <v>516</v>
      </c>
      <c r="E186" s="176">
        <v>43164</v>
      </c>
      <c r="F186" s="176">
        <v>43165</v>
      </c>
      <c r="G186" s="174" t="s">
        <v>1155</v>
      </c>
      <c r="H186" s="179" t="s">
        <v>486</v>
      </c>
      <c r="I186" s="174" t="s">
        <v>475</v>
      </c>
      <c r="J186" s="178">
        <v>150000</v>
      </c>
      <c r="K186" s="178">
        <v>98.87109375</v>
      </c>
      <c r="L186" s="178">
        <v>2.8812279563000001</v>
      </c>
      <c r="M186" s="178">
        <v>-148523.14614986</v>
      </c>
      <c r="N186" s="174" t="s">
        <v>337</v>
      </c>
      <c r="O186" s="174" t="s">
        <v>476</v>
      </c>
      <c r="P186" s="174" t="s">
        <v>22</v>
      </c>
      <c r="Q186" s="174" t="s">
        <v>129</v>
      </c>
      <c r="R186" s="174" t="s">
        <v>1164</v>
      </c>
      <c r="S186" s="174" t="s">
        <v>132</v>
      </c>
      <c r="T186" s="175"/>
      <c r="U186" s="175"/>
      <c r="V186" s="174" t="s">
        <v>469</v>
      </c>
      <c r="W186" s="174" t="s">
        <v>518</v>
      </c>
      <c r="X186" s="174" t="s">
        <v>22</v>
      </c>
      <c r="Y186" s="174"/>
      <c r="Z186" s="175"/>
      <c r="AA186" s="174" t="s">
        <v>512</v>
      </c>
      <c r="AB186" s="176">
        <v>43164.532129629632</v>
      </c>
      <c r="AC186" s="174" t="s">
        <v>1164</v>
      </c>
      <c r="AD186" s="176">
        <v>43164.528333333335</v>
      </c>
      <c r="AE186" s="176">
        <v>43164.528391203705</v>
      </c>
      <c r="AF186" s="175"/>
    </row>
    <row r="187" spans="1:32" x14ac:dyDescent="0.25">
      <c r="A187" s="174" t="s">
        <v>461</v>
      </c>
      <c r="B187" s="174" t="s">
        <v>1165</v>
      </c>
      <c r="C187" s="174" t="s">
        <v>463</v>
      </c>
      <c r="D187" s="174" t="s">
        <v>516</v>
      </c>
      <c r="E187" s="176">
        <v>43164</v>
      </c>
      <c r="F187" s="176">
        <v>43165</v>
      </c>
      <c r="G187" s="174" t="s">
        <v>1155</v>
      </c>
      <c r="H187" s="177" t="s">
        <v>466</v>
      </c>
      <c r="I187" s="174" t="s">
        <v>467</v>
      </c>
      <c r="J187" s="178">
        <v>100000</v>
      </c>
      <c r="K187" s="178">
        <v>99.92578125</v>
      </c>
      <c r="L187" s="178">
        <v>2.6409334109999998</v>
      </c>
      <c r="M187" s="178">
        <v>99968.580163039995</v>
      </c>
      <c r="N187" s="174" t="s">
        <v>337</v>
      </c>
      <c r="O187" s="174" t="s">
        <v>468</v>
      </c>
      <c r="P187" s="174" t="s">
        <v>22</v>
      </c>
      <c r="Q187" s="174" t="s">
        <v>129</v>
      </c>
      <c r="R187" s="174" t="s">
        <v>1166</v>
      </c>
      <c r="S187" s="174" t="s">
        <v>132</v>
      </c>
      <c r="T187" s="175"/>
      <c r="U187" s="175"/>
      <c r="V187" s="174" t="s">
        <v>469</v>
      </c>
      <c r="W187" s="174" t="s">
        <v>518</v>
      </c>
      <c r="X187" s="174" t="s">
        <v>22</v>
      </c>
      <c r="Y187" s="174"/>
      <c r="Z187" s="175"/>
      <c r="AA187" s="174" t="s">
        <v>1167</v>
      </c>
      <c r="AB187" s="176">
        <v>43164.532129629632</v>
      </c>
      <c r="AC187" s="174" t="s">
        <v>1166</v>
      </c>
      <c r="AD187" s="176">
        <v>43164.547731481478</v>
      </c>
      <c r="AE187" s="176">
        <v>43164.547731481478</v>
      </c>
      <c r="AF187" s="175"/>
    </row>
    <row r="188" spans="1:32" x14ac:dyDescent="0.25">
      <c r="A188" s="174" t="s">
        <v>461</v>
      </c>
      <c r="B188" s="174" t="s">
        <v>1168</v>
      </c>
      <c r="C188" s="174" t="s">
        <v>478</v>
      </c>
      <c r="D188" s="174" t="s">
        <v>582</v>
      </c>
      <c r="E188" s="176">
        <v>43164</v>
      </c>
      <c r="F188" s="176">
        <v>43165</v>
      </c>
      <c r="G188" s="174" t="s">
        <v>1155</v>
      </c>
      <c r="H188" s="179" t="s">
        <v>486</v>
      </c>
      <c r="I188" s="174" t="s">
        <v>644</v>
      </c>
      <c r="J188" s="178">
        <v>4550000</v>
      </c>
      <c r="K188" s="178">
        <v>96.85546875</v>
      </c>
      <c r="L188" s="178">
        <v>3.1631842498</v>
      </c>
      <c r="M188" s="178">
        <v>-4414088.1927658794</v>
      </c>
      <c r="N188" s="174" t="s">
        <v>337</v>
      </c>
      <c r="O188" s="174" t="s">
        <v>645</v>
      </c>
      <c r="P188" s="174" t="s">
        <v>22</v>
      </c>
      <c r="Q188" s="174" t="s">
        <v>129</v>
      </c>
      <c r="R188" s="174" t="s">
        <v>1169</v>
      </c>
      <c r="S188" s="174" t="s">
        <v>132</v>
      </c>
      <c r="T188" s="175"/>
      <c r="U188" s="175"/>
      <c r="V188" s="174" t="s">
        <v>469</v>
      </c>
      <c r="W188" s="174" t="s">
        <v>586</v>
      </c>
      <c r="X188" s="174" t="s">
        <v>22</v>
      </c>
      <c r="Y188" s="174"/>
      <c r="Z188" s="175"/>
      <c r="AA188" s="174" t="s">
        <v>512</v>
      </c>
      <c r="AB188" s="176">
        <v>43164.604398148149</v>
      </c>
      <c r="AC188" s="174" t="s">
        <v>1169</v>
      </c>
      <c r="AD188" s="176">
        <v>43164.597233796296</v>
      </c>
      <c r="AE188" s="176">
        <v>43164.597303240742</v>
      </c>
      <c r="AF188" s="175"/>
    </row>
    <row r="189" spans="1:32" x14ac:dyDescent="0.25">
      <c r="A189" s="174" t="s">
        <v>651</v>
      </c>
      <c r="B189" s="174" t="s">
        <v>1170</v>
      </c>
      <c r="C189" s="174" t="s">
        <v>824</v>
      </c>
      <c r="D189" s="174" t="s">
        <v>464</v>
      </c>
      <c r="E189" s="176">
        <v>43164</v>
      </c>
      <c r="F189" s="176">
        <v>43172</v>
      </c>
      <c r="G189" s="174" t="s">
        <v>1155</v>
      </c>
      <c r="H189" s="179" t="s">
        <v>486</v>
      </c>
      <c r="I189" s="174" t="s">
        <v>825</v>
      </c>
      <c r="J189" s="178">
        <v>35000000</v>
      </c>
      <c r="K189" s="178">
        <v>99.88671875</v>
      </c>
      <c r="L189" s="178">
        <v>3.4933710344</v>
      </c>
      <c r="M189" s="178">
        <v>-34960351.5625</v>
      </c>
      <c r="N189" s="174" t="s">
        <v>337</v>
      </c>
      <c r="O189" s="174" t="s">
        <v>826</v>
      </c>
      <c r="P189" s="174" t="s">
        <v>23</v>
      </c>
      <c r="Q189" s="174" t="s">
        <v>133</v>
      </c>
      <c r="R189" s="175"/>
      <c r="S189" s="175"/>
      <c r="T189" s="175"/>
      <c r="U189" s="175"/>
      <c r="V189" s="174" t="s">
        <v>651</v>
      </c>
      <c r="W189" s="174" t="s">
        <v>470</v>
      </c>
      <c r="X189" s="174" t="s">
        <v>24</v>
      </c>
      <c r="Y189" s="174"/>
      <c r="Z189" s="174" t="s">
        <v>1171</v>
      </c>
      <c r="AA189" s="174" t="s">
        <v>483</v>
      </c>
      <c r="AB189" s="176">
        <v>43164.442037037035</v>
      </c>
      <c r="AC189" s="175"/>
      <c r="AD189" s="176">
        <v>43164.440706018519</v>
      </c>
      <c r="AE189" s="176">
        <v>43164.648263888892</v>
      </c>
      <c r="AF189" s="175"/>
    </row>
    <row r="190" spans="1:32" x14ac:dyDescent="0.25">
      <c r="A190" s="174" t="s">
        <v>651</v>
      </c>
      <c r="B190" s="174" t="s">
        <v>1172</v>
      </c>
      <c r="C190" s="174" t="s">
        <v>653</v>
      </c>
      <c r="D190" s="174" t="s">
        <v>666</v>
      </c>
      <c r="E190" s="176">
        <v>43164</v>
      </c>
      <c r="F190" s="176">
        <v>43174</v>
      </c>
      <c r="G190" s="174" t="s">
        <v>1155</v>
      </c>
      <c r="H190" s="177" t="s">
        <v>466</v>
      </c>
      <c r="I190" s="174" t="s">
        <v>1173</v>
      </c>
      <c r="J190" s="178">
        <v>2000000</v>
      </c>
      <c r="K190" s="178">
        <v>101.7109375</v>
      </c>
      <c r="L190" s="178">
        <v>3.3960529664000001</v>
      </c>
      <c r="M190" s="178">
        <v>2034218.75</v>
      </c>
      <c r="N190" s="174" t="s">
        <v>337</v>
      </c>
      <c r="O190" s="174" t="s">
        <v>1174</v>
      </c>
      <c r="P190" s="174" t="s">
        <v>23</v>
      </c>
      <c r="Q190" s="174" t="s">
        <v>133</v>
      </c>
      <c r="R190" s="175"/>
      <c r="S190" s="175"/>
      <c r="T190" s="175"/>
      <c r="U190" s="175"/>
      <c r="V190" s="174" t="s">
        <v>651</v>
      </c>
      <c r="W190" s="174" t="s">
        <v>670</v>
      </c>
      <c r="X190" s="174" t="s">
        <v>24</v>
      </c>
      <c r="Y190" s="174"/>
      <c r="Z190" s="174" t="s">
        <v>1171</v>
      </c>
      <c r="AA190" s="174" t="s">
        <v>483</v>
      </c>
      <c r="AB190" s="176">
        <v>43164.460405092592</v>
      </c>
      <c r="AC190" s="175"/>
      <c r="AD190" s="176">
        <v>43164.459965277776</v>
      </c>
      <c r="AE190" s="176">
        <v>43164.648275462961</v>
      </c>
      <c r="AF190" s="175"/>
    </row>
    <row r="191" spans="1:32" x14ac:dyDescent="0.25">
      <c r="A191" s="174" t="s">
        <v>651</v>
      </c>
      <c r="B191" s="174" t="s">
        <v>1175</v>
      </c>
      <c r="C191" s="174" t="s">
        <v>653</v>
      </c>
      <c r="D191" s="174" t="s">
        <v>666</v>
      </c>
      <c r="E191" s="176">
        <v>43164</v>
      </c>
      <c r="F191" s="176">
        <v>43179</v>
      </c>
      <c r="G191" s="174" t="s">
        <v>1155</v>
      </c>
      <c r="H191" s="177" t="s">
        <v>466</v>
      </c>
      <c r="I191" s="174" t="s">
        <v>1176</v>
      </c>
      <c r="J191" s="178">
        <v>9000000</v>
      </c>
      <c r="K191" s="178">
        <v>97.69921875</v>
      </c>
      <c r="L191" s="178">
        <v>3.1099359517999998</v>
      </c>
      <c r="M191" s="178">
        <v>8792929.6875</v>
      </c>
      <c r="N191" s="174" t="s">
        <v>337</v>
      </c>
      <c r="O191" s="174" t="s">
        <v>1177</v>
      </c>
      <c r="P191" s="174" t="s">
        <v>23</v>
      </c>
      <c r="Q191" s="174" t="s">
        <v>133</v>
      </c>
      <c r="R191" s="175"/>
      <c r="S191" s="175"/>
      <c r="T191" s="175"/>
      <c r="U191" s="175"/>
      <c r="V191" s="174" t="s">
        <v>651</v>
      </c>
      <c r="W191" s="174" t="s">
        <v>670</v>
      </c>
      <c r="X191" s="174" t="s">
        <v>24</v>
      </c>
      <c r="Y191" s="174"/>
      <c r="Z191" s="174" t="s">
        <v>1171</v>
      </c>
      <c r="AA191" s="174" t="s">
        <v>483</v>
      </c>
      <c r="AB191" s="176">
        <v>43164.467141203706</v>
      </c>
      <c r="AC191" s="175"/>
      <c r="AD191" s="176">
        <v>43164.46607638889</v>
      </c>
      <c r="AE191" s="176">
        <v>43164.648275462961</v>
      </c>
      <c r="AF191" s="175"/>
    </row>
    <row r="192" spans="1:32" x14ac:dyDescent="0.25">
      <c r="A192" s="174" t="s">
        <v>651</v>
      </c>
      <c r="B192" s="174" t="s">
        <v>1178</v>
      </c>
      <c r="C192" s="174" t="s">
        <v>653</v>
      </c>
      <c r="D192" s="174" t="s">
        <v>666</v>
      </c>
      <c r="E192" s="176">
        <v>43164</v>
      </c>
      <c r="F192" s="176">
        <v>43209</v>
      </c>
      <c r="G192" s="174" t="s">
        <v>1155</v>
      </c>
      <c r="H192" s="179" t="s">
        <v>486</v>
      </c>
      <c r="I192" s="174" t="s">
        <v>1179</v>
      </c>
      <c r="J192" s="178">
        <v>9000000</v>
      </c>
      <c r="K192" s="178">
        <v>97.5859375</v>
      </c>
      <c r="L192" s="178">
        <v>3.1179036891999998</v>
      </c>
      <c r="M192" s="178">
        <v>-8782734.375</v>
      </c>
      <c r="N192" s="174" t="s">
        <v>337</v>
      </c>
      <c r="O192" s="174" t="s">
        <v>1180</v>
      </c>
      <c r="P192" s="174" t="s">
        <v>23</v>
      </c>
      <c r="Q192" s="174" t="s">
        <v>133</v>
      </c>
      <c r="R192" s="175"/>
      <c r="S192" s="175"/>
      <c r="T192" s="175"/>
      <c r="U192" s="175"/>
      <c r="V192" s="174" t="s">
        <v>651</v>
      </c>
      <c r="W192" s="174" t="s">
        <v>670</v>
      </c>
      <c r="X192" s="174" t="s">
        <v>24</v>
      </c>
      <c r="Y192" s="174"/>
      <c r="Z192" s="174" t="s">
        <v>1171</v>
      </c>
      <c r="AA192" s="174" t="s">
        <v>483</v>
      </c>
      <c r="AB192" s="176">
        <v>43164.467141203706</v>
      </c>
      <c r="AC192" s="175"/>
      <c r="AD192" s="176">
        <v>43164.46607638889</v>
      </c>
      <c r="AE192" s="176">
        <v>43164.648287037038</v>
      </c>
      <c r="AF192" s="175"/>
    </row>
    <row r="193" spans="1:32" x14ac:dyDescent="0.25">
      <c r="A193" s="174" t="s">
        <v>461</v>
      </c>
      <c r="B193" s="174" t="s">
        <v>1181</v>
      </c>
      <c r="C193" s="174" t="s">
        <v>463</v>
      </c>
      <c r="D193" s="174" t="s">
        <v>870</v>
      </c>
      <c r="E193" s="176">
        <v>43164</v>
      </c>
      <c r="F193" s="176">
        <v>43165</v>
      </c>
      <c r="G193" s="174" t="s">
        <v>1182</v>
      </c>
      <c r="H193" s="177" t="s">
        <v>466</v>
      </c>
      <c r="I193" s="174" t="s">
        <v>644</v>
      </c>
      <c r="J193" s="178">
        <v>8000000</v>
      </c>
      <c r="K193" s="178">
        <v>98.00390625</v>
      </c>
      <c r="L193" s="178">
        <v>3.1027730010000001</v>
      </c>
      <c r="M193" s="178">
        <v>7852909.1850828696</v>
      </c>
      <c r="N193" s="174" t="s">
        <v>337</v>
      </c>
      <c r="O193" s="174" t="s">
        <v>645</v>
      </c>
      <c r="P193" s="174" t="s">
        <v>22</v>
      </c>
      <c r="Q193" s="174" t="s">
        <v>129</v>
      </c>
      <c r="R193" s="174" t="s">
        <v>1183</v>
      </c>
      <c r="S193" s="174" t="s">
        <v>132</v>
      </c>
      <c r="T193" s="175"/>
      <c r="U193" s="175"/>
      <c r="V193" s="174" t="s">
        <v>469</v>
      </c>
      <c r="W193" s="174" t="s">
        <v>873</v>
      </c>
      <c r="X193" s="174" t="s">
        <v>22</v>
      </c>
      <c r="Y193" s="174"/>
      <c r="Z193" s="175"/>
      <c r="AA193" s="174" t="s">
        <v>512</v>
      </c>
      <c r="AB193" s="176">
        <v>43164.14875</v>
      </c>
      <c r="AC193" s="174" t="s">
        <v>1183</v>
      </c>
      <c r="AD193" s="176">
        <v>43164.145949074074</v>
      </c>
      <c r="AE193" s="176">
        <v>43164.146018518521</v>
      </c>
      <c r="AF193" s="175"/>
    </row>
    <row r="194" spans="1:32" x14ac:dyDescent="0.25">
      <c r="A194" s="174" t="s">
        <v>484</v>
      </c>
      <c r="B194" s="174" t="s">
        <v>1184</v>
      </c>
      <c r="C194" s="174" t="s">
        <v>478</v>
      </c>
      <c r="D194" s="174" t="s">
        <v>590</v>
      </c>
      <c r="E194" s="176">
        <v>43164</v>
      </c>
      <c r="F194" s="176">
        <v>43166</v>
      </c>
      <c r="G194" s="174" t="s">
        <v>1182</v>
      </c>
      <c r="H194" s="177" t="s">
        <v>466</v>
      </c>
      <c r="I194" s="174" t="s">
        <v>1185</v>
      </c>
      <c r="J194" s="178">
        <v>3000000</v>
      </c>
      <c r="K194" s="178">
        <v>97</v>
      </c>
      <c r="L194" s="178">
        <v>11.6342897657</v>
      </c>
      <c r="M194" s="178">
        <v>3028333.3333333298</v>
      </c>
      <c r="N194" s="174" t="s">
        <v>337</v>
      </c>
      <c r="O194" s="174" t="s">
        <v>1186</v>
      </c>
      <c r="P194" s="174" t="s">
        <v>22</v>
      </c>
      <c r="Q194" s="174" t="s">
        <v>129</v>
      </c>
      <c r="R194" s="174" t="s">
        <v>1187</v>
      </c>
      <c r="S194" s="174" t="s">
        <v>132</v>
      </c>
      <c r="T194" s="175"/>
      <c r="U194" s="175"/>
      <c r="V194" s="174" t="s">
        <v>489</v>
      </c>
      <c r="W194" s="174" t="s">
        <v>594</v>
      </c>
      <c r="X194" s="174" t="s">
        <v>22</v>
      </c>
      <c r="Y194" s="174"/>
      <c r="Z194" s="175"/>
      <c r="AA194" s="174" t="s">
        <v>512</v>
      </c>
      <c r="AB194" s="176">
        <v>43164.454664351855</v>
      </c>
      <c r="AC194" s="174" t="s">
        <v>1187</v>
      </c>
      <c r="AD194" s="176">
        <v>43164.446921296294</v>
      </c>
      <c r="AE194" s="176">
        <v>43164.446979166663</v>
      </c>
      <c r="AF194" s="175"/>
    </row>
    <row r="195" spans="1:32" x14ac:dyDescent="0.25">
      <c r="A195" s="174" t="s">
        <v>484</v>
      </c>
      <c r="B195" s="174" t="s">
        <v>1188</v>
      </c>
      <c r="C195" s="174" t="s">
        <v>478</v>
      </c>
      <c r="D195" s="174" t="s">
        <v>535</v>
      </c>
      <c r="E195" s="176">
        <v>43164</v>
      </c>
      <c r="F195" s="176">
        <v>43166</v>
      </c>
      <c r="G195" s="174" t="s">
        <v>1182</v>
      </c>
      <c r="H195" s="179" t="s">
        <v>486</v>
      </c>
      <c r="I195" s="174" t="s">
        <v>1189</v>
      </c>
      <c r="J195" s="178">
        <v>8000000</v>
      </c>
      <c r="K195" s="178">
        <v>106.49</v>
      </c>
      <c r="L195" s="178">
        <v>4.2437808076000003</v>
      </c>
      <c r="M195" s="178">
        <v>-8621588.8888888899</v>
      </c>
      <c r="N195" s="174" t="s">
        <v>337</v>
      </c>
      <c r="O195" s="174" t="s">
        <v>1190</v>
      </c>
      <c r="P195" s="174" t="s">
        <v>22</v>
      </c>
      <c r="Q195" s="174" t="s">
        <v>129</v>
      </c>
      <c r="R195" s="174" t="s">
        <v>1191</v>
      </c>
      <c r="S195" s="174" t="s">
        <v>132</v>
      </c>
      <c r="T195" s="175"/>
      <c r="U195" s="175"/>
      <c r="V195" s="174" t="s">
        <v>489</v>
      </c>
      <c r="W195" s="174" t="s">
        <v>540</v>
      </c>
      <c r="X195" s="174" t="s">
        <v>22</v>
      </c>
      <c r="Y195" s="174"/>
      <c r="Z195" s="175"/>
      <c r="AA195" s="174" t="s">
        <v>541</v>
      </c>
      <c r="AB195" s="176">
        <v>43164.467534722222</v>
      </c>
      <c r="AC195" s="174" t="s">
        <v>1191</v>
      </c>
      <c r="AD195" s="176">
        <v>43164.472326388888</v>
      </c>
      <c r="AE195" s="176">
        <v>43164.472326388888</v>
      </c>
      <c r="AF195" s="175"/>
    </row>
    <row r="196" spans="1:32" x14ac:dyDescent="0.25">
      <c r="A196" s="174" t="s">
        <v>461</v>
      </c>
      <c r="B196" s="174" t="s">
        <v>1192</v>
      </c>
      <c r="C196" s="174" t="s">
        <v>478</v>
      </c>
      <c r="D196" s="174" t="s">
        <v>535</v>
      </c>
      <c r="E196" s="176">
        <v>43164</v>
      </c>
      <c r="F196" s="176">
        <v>43165</v>
      </c>
      <c r="G196" s="174" t="s">
        <v>1182</v>
      </c>
      <c r="H196" s="177" t="s">
        <v>466</v>
      </c>
      <c r="I196" s="174" t="s">
        <v>543</v>
      </c>
      <c r="J196" s="178">
        <v>5740000</v>
      </c>
      <c r="K196" s="178">
        <v>92.5859375</v>
      </c>
      <c r="L196" s="178">
        <v>3.1353828385</v>
      </c>
      <c r="M196" s="178">
        <v>5362834.3318370199</v>
      </c>
      <c r="N196" s="174" t="s">
        <v>337</v>
      </c>
      <c r="O196" s="174" t="s">
        <v>544</v>
      </c>
      <c r="P196" s="174" t="s">
        <v>22</v>
      </c>
      <c r="Q196" s="174" t="s">
        <v>129</v>
      </c>
      <c r="R196" s="174" t="s">
        <v>1193</v>
      </c>
      <c r="S196" s="174" t="s">
        <v>132</v>
      </c>
      <c r="T196" s="175"/>
      <c r="U196" s="175"/>
      <c r="V196" s="174" t="s">
        <v>469</v>
      </c>
      <c r="W196" s="174" t="s">
        <v>540</v>
      </c>
      <c r="X196" s="174" t="s">
        <v>22</v>
      </c>
      <c r="Y196" s="174"/>
      <c r="Z196" s="175"/>
      <c r="AA196" s="174" t="s">
        <v>541</v>
      </c>
      <c r="AB196" s="176">
        <v>43164.467534722222</v>
      </c>
      <c r="AC196" s="174" t="s">
        <v>1193</v>
      </c>
      <c r="AD196" s="176">
        <v>43164.472488425927</v>
      </c>
      <c r="AE196" s="176">
        <v>43164.472488425927</v>
      </c>
      <c r="AF196" s="175"/>
    </row>
    <row r="197" spans="1:32" x14ac:dyDescent="0.25">
      <c r="A197" s="174" t="s">
        <v>461</v>
      </c>
      <c r="B197" s="174" t="s">
        <v>1194</v>
      </c>
      <c r="C197" s="174" t="s">
        <v>463</v>
      </c>
      <c r="D197" s="174" t="s">
        <v>553</v>
      </c>
      <c r="E197" s="176">
        <v>43164</v>
      </c>
      <c r="F197" s="176">
        <v>43165</v>
      </c>
      <c r="G197" s="174" t="s">
        <v>1182</v>
      </c>
      <c r="H197" s="179" t="s">
        <v>486</v>
      </c>
      <c r="I197" s="174" t="s">
        <v>1195</v>
      </c>
      <c r="J197" s="178">
        <v>100000000</v>
      </c>
      <c r="K197" s="178">
        <v>93.1796875</v>
      </c>
      <c r="L197" s="178">
        <v>2.8927259644999999</v>
      </c>
      <c r="M197" s="178">
        <v>-93792947.168508291</v>
      </c>
      <c r="N197" s="174" t="s">
        <v>337</v>
      </c>
      <c r="O197" s="174" t="s">
        <v>1196</v>
      </c>
      <c r="P197" s="174" t="s">
        <v>22</v>
      </c>
      <c r="Q197" s="174" t="s">
        <v>129</v>
      </c>
      <c r="R197" s="174" t="s">
        <v>1197</v>
      </c>
      <c r="S197" s="174" t="s">
        <v>132</v>
      </c>
      <c r="T197" s="175"/>
      <c r="U197" s="175"/>
      <c r="V197" s="174" t="s">
        <v>469</v>
      </c>
      <c r="W197" s="174" t="s">
        <v>555</v>
      </c>
      <c r="X197" s="174" t="s">
        <v>22</v>
      </c>
      <c r="Y197" s="174"/>
      <c r="Z197" s="175"/>
      <c r="AA197" s="174" t="s">
        <v>512</v>
      </c>
      <c r="AB197" s="176">
        <v>43164.486863425926</v>
      </c>
      <c r="AC197" s="174" t="s">
        <v>1197</v>
      </c>
      <c r="AD197" s="176">
        <v>43164.482442129629</v>
      </c>
      <c r="AE197" s="176">
        <v>43164.482523148145</v>
      </c>
      <c r="AF197" s="175"/>
    </row>
    <row r="198" spans="1:32" x14ac:dyDescent="0.25">
      <c r="A198" s="174" t="s">
        <v>461</v>
      </c>
      <c r="B198" s="174" t="s">
        <v>1198</v>
      </c>
      <c r="C198" s="174" t="s">
        <v>463</v>
      </c>
      <c r="D198" s="174" t="s">
        <v>553</v>
      </c>
      <c r="E198" s="176">
        <v>43164</v>
      </c>
      <c r="F198" s="176">
        <v>43165</v>
      </c>
      <c r="G198" s="174" t="s">
        <v>1182</v>
      </c>
      <c r="H198" s="177" t="s">
        <v>466</v>
      </c>
      <c r="I198" s="174" t="s">
        <v>475</v>
      </c>
      <c r="J198" s="178">
        <v>85900000</v>
      </c>
      <c r="K198" s="178">
        <v>98.875</v>
      </c>
      <c r="L198" s="178">
        <v>2.8807705845</v>
      </c>
      <c r="M198" s="178">
        <v>85057610.497237563</v>
      </c>
      <c r="N198" s="174" t="s">
        <v>337</v>
      </c>
      <c r="O198" s="174" t="s">
        <v>476</v>
      </c>
      <c r="P198" s="174" t="s">
        <v>22</v>
      </c>
      <c r="Q198" s="174" t="s">
        <v>129</v>
      </c>
      <c r="R198" s="174" t="s">
        <v>1199</v>
      </c>
      <c r="S198" s="174" t="s">
        <v>132</v>
      </c>
      <c r="T198" s="175"/>
      <c r="U198" s="175"/>
      <c r="V198" s="174" t="s">
        <v>469</v>
      </c>
      <c r="W198" s="174" t="s">
        <v>555</v>
      </c>
      <c r="X198" s="174" t="s">
        <v>22</v>
      </c>
      <c r="Y198" s="174"/>
      <c r="Z198" s="175"/>
      <c r="AA198" s="174" t="s">
        <v>512</v>
      </c>
      <c r="AB198" s="176">
        <v>43164.486863425926</v>
      </c>
      <c r="AC198" s="174" t="s">
        <v>1199</v>
      </c>
      <c r="AD198" s="176">
        <v>43164.482488425929</v>
      </c>
      <c r="AE198" s="176">
        <v>43164.482569444444</v>
      </c>
      <c r="AF198" s="175"/>
    </row>
    <row r="199" spans="1:32" x14ac:dyDescent="0.25">
      <c r="A199" s="174" t="s">
        <v>484</v>
      </c>
      <c r="B199" s="174" t="s">
        <v>1200</v>
      </c>
      <c r="C199" s="174" t="s">
        <v>478</v>
      </c>
      <c r="D199" s="174" t="s">
        <v>1201</v>
      </c>
      <c r="E199" s="176">
        <v>43164</v>
      </c>
      <c r="F199" s="176">
        <v>43166</v>
      </c>
      <c r="G199" s="174" t="s">
        <v>1182</v>
      </c>
      <c r="H199" s="179" t="s">
        <v>486</v>
      </c>
      <c r="I199" s="174" t="s">
        <v>1202</v>
      </c>
      <c r="J199" s="178">
        <v>3000000</v>
      </c>
      <c r="K199" s="178">
        <v>96.5</v>
      </c>
      <c r="L199" s="178">
        <v>10.4383617261</v>
      </c>
      <c r="M199" s="178">
        <v>-2937250</v>
      </c>
      <c r="N199" s="174" t="s">
        <v>337</v>
      </c>
      <c r="O199" s="174" t="s">
        <v>1203</v>
      </c>
      <c r="P199" s="174" t="s">
        <v>22</v>
      </c>
      <c r="Q199" s="174" t="s">
        <v>129</v>
      </c>
      <c r="R199" s="174" t="s">
        <v>1204</v>
      </c>
      <c r="S199" s="174" t="s">
        <v>132</v>
      </c>
      <c r="T199" s="175"/>
      <c r="U199" s="175"/>
      <c r="V199" s="174" t="s">
        <v>1205</v>
      </c>
      <c r="W199" s="174" t="s">
        <v>1206</v>
      </c>
      <c r="X199" s="174" t="s">
        <v>22</v>
      </c>
      <c r="Y199" s="174"/>
      <c r="Z199" s="175"/>
      <c r="AA199" s="174" t="s">
        <v>1207</v>
      </c>
      <c r="AB199" s="176">
        <v>43164.454664351855</v>
      </c>
      <c r="AC199" s="174" t="s">
        <v>1204</v>
      </c>
      <c r="AD199" s="176">
        <v>43164.486608796295</v>
      </c>
      <c r="AE199" s="176">
        <v>43164.486608796295</v>
      </c>
      <c r="AF199" s="175"/>
    </row>
    <row r="200" spans="1:32" x14ac:dyDescent="0.25">
      <c r="A200" s="174" t="s">
        <v>461</v>
      </c>
      <c r="B200" s="174" t="s">
        <v>1208</v>
      </c>
      <c r="C200" s="174" t="s">
        <v>463</v>
      </c>
      <c r="D200" s="174" t="s">
        <v>516</v>
      </c>
      <c r="E200" s="176">
        <v>43164</v>
      </c>
      <c r="F200" s="176">
        <v>43165</v>
      </c>
      <c r="G200" s="174" t="s">
        <v>1182</v>
      </c>
      <c r="H200" s="179" t="s">
        <v>486</v>
      </c>
      <c r="I200" s="174" t="s">
        <v>467</v>
      </c>
      <c r="J200" s="178">
        <v>480000000</v>
      </c>
      <c r="K200" s="178">
        <v>99.9296875</v>
      </c>
      <c r="L200" s="178">
        <v>2.6400914183999999</v>
      </c>
      <c r="M200" s="178">
        <v>-479867934.78260869</v>
      </c>
      <c r="N200" s="174" t="s">
        <v>337</v>
      </c>
      <c r="O200" s="174" t="s">
        <v>468</v>
      </c>
      <c r="P200" s="174" t="s">
        <v>22</v>
      </c>
      <c r="Q200" s="174" t="s">
        <v>129</v>
      </c>
      <c r="R200" s="174" t="s">
        <v>1209</v>
      </c>
      <c r="S200" s="174" t="s">
        <v>132</v>
      </c>
      <c r="T200" s="175"/>
      <c r="U200" s="175"/>
      <c r="V200" s="174" t="s">
        <v>469</v>
      </c>
      <c r="W200" s="174" t="s">
        <v>518</v>
      </c>
      <c r="X200" s="174" t="s">
        <v>22</v>
      </c>
      <c r="Y200" s="174"/>
      <c r="Z200" s="175"/>
      <c r="AA200" s="174" t="s">
        <v>512</v>
      </c>
      <c r="AB200" s="176">
        <v>43164.519016203703</v>
      </c>
      <c r="AC200" s="174" t="s">
        <v>1209</v>
      </c>
      <c r="AD200" s="176">
        <v>43164.514479166668</v>
      </c>
      <c r="AE200" s="176">
        <v>43164.514525462961</v>
      </c>
      <c r="AF200" s="175"/>
    </row>
    <row r="201" spans="1:32" x14ac:dyDescent="0.25">
      <c r="A201" s="174" t="s">
        <v>461</v>
      </c>
      <c r="B201" s="174" t="s">
        <v>1210</v>
      </c>
      <c r="C201" s="174" t="s">
        <v>463</v>
      </c>
      <c r="D201" s="174" t="s">
        <v>516</v>
      </c>
      <c r="E201" s="176">
        <v>43164</v>
      </c>
      <c r="F201" s="176">
        <v>43165</v>
      </c>
      <c r="G201" s="174" t="s">
        <v>1182</v>
      </c>
      <c r="H201" s="177" t="s">
        <v>466</v>
      </c>
      <c r="I201" s="174" t="s">
        <v>1211</v>
      </c>
      <c r="J201" s="178">
        <v>490000000</v>
      </c>
      <c r="K201" s="178">
        <v>98.789212000000006</v>
      </c>
      <c r="L201" s="178">
        <v>2.6394809173999998</v>
      </c>
      <c r="M201" s="178">
        <v>485160163.66187847</v>
      </c>
      <c r="N201" s="174" t="s">
        <v>337</v>
      </c>
      <c r="O201" s="174" t="s">
        <v>1212</v>
      </c>
      <c r="P201" s="174" t="s">
        <v>22</v>
      </c>
      <c r="Q201" s="174" t="s">
        <v>129</v>
      </c>
      <c r="R201" s="174" t="s">
        <v>1213</v>
      </c>
      <c r="S201" s="174" t="s">
        <v>132</v>
      </c>
      <c r="T201" s="175"/>
      <c r="U201" s="175"/>
      <c r="V201" s="174" t="s">
        <v>469</v>
      </c>
      <c r="W201" s="174" t="s">
        <v>518</v>
      </c>
      <c r="X201" s="174" t="s">
        <v>22</v>
      </c>
      <c r="Y201" s="174"/>
      <c r="Z201" s="175"/>
      <c r="AA201" s="174" t="s">
        <v>512</v>
      </c>
      <c r="AB201" s="176">
        <v>43164.519016203703</v>
      </c>
      <c r="AC201" s="174" t="s">
        <v>1213</v>
      </c>
      <c r="AD201" s="176">
        <v>43164.514479166668</v>
      </c>
      <c r="AE201" s="176">
        <v>43164.514537037037</v>
      </c>
      <c r="AF201" s="175"/>
    </row>
    <row r="202" spans="1:32" x14ac:dyDescent="0.25">
      <c r="A202" s="174" t="s">
        <v>461</v>
      </c>
      <c r="B202" s="174" t="s">
        <v>1214</v>
      </c>
      <c r="C202" s="174" t="s">
        <v>463</v>
      </c>
      <c r="D202" s="174" t="s">
        <v>506</v>
      </c>
      <c r="E202" s="176">
        <v>43164</v>
      </c>
      <c r="F202" s="176">
        <v>43165</v>
      </c>
      <c r="G202" s="174" t="s">
        <v>1182</v>
      </c>
      <c r="H202" s="177" t="s">
        <v>466</v>
      </c>
      <c r="I202" s="174" t="s">
        <v>467</v>
      </c>
      <c r="J202" s="178">
        <v>207600000</v>
      </c>
      <c r="K202" s="178">
        <v>99.75</v>
      </c>
      <c r="L202" s="178">
        <v>2.6788620698000001</v>
      </c>
      <c r="M202" s="178">
        <v>207169850.54347828</v>
      </c>
      <c r="N202" s="174" t="s">
        <v>337</v>
      </c>
      <c r="O202" s="174" t="s">
        <v>468</v>
      </c>
      <c r="P202" s="174" t="s">
        <v>22</v>
      </c>
      <c r="Q202" s="174" t="s">
        <v>129</v>
      </c>
      <c r="R202" s="174" t="s">
        <v>1215</v>
      </c>
      <c r="S202" s="174" t="s">
        <v>132</v>
      </c>
      <c r="T202" s="175"/>
      <c r="U202" s="175"/>
      <c r="V202" s="174" t="s">
        <v>469</v>
      </c>
      <c r="W202" s="174" t="s">
        <v>511</v>
      </c>
      <c r="X202" s="174" t="s">
        <v>22</v>
      </c>
      <c r="Y202" s="174"/>
      <c r="Z202" s="175"/>
      <c r="AA202" s="174" t="s">
        <v>512</v>
      </c>
      <c r="AB202" s="176">
        <v>43164.538611111115</v>
      </c>
      <c r="AC202" s="174" t="s">
        <v>1215</v>
      </c>
      <c r="AD202" s="176">
        <v>43164.533229166664</v>
      </c>
      <c r="AE202" s="176">
        <v>43164.53328703704</v>
      </c>
      <c r="AF202" s="175"/>
    </row>
    <row r="203" spans="1:32" x14ac:dyDescent="0.25">
      <c r="A203" s="174" t="s">
        <v>461</v>
      </c>
      <c r="B203" s="174" t="s">
        <v>1216</v>
      </c>
      <c r="C203" s="174" t="s">
        <v>463</v>
      </c>
      <c r="D203" s="174" t="s">
        <v>506</v>
      </c>
      <c r="E203" s="176">
        <v>43164</v>
      </c>
      <c r="F203" s="176">
        <v>43165</v>
      </c>
      <c r="G203" s="174" t="s">
        <v>1182</v>
      </c>
      <c r="H203" s="179" t="s">
        <v>486</v>
      </c>
      <c r="I203" s="174" t="s">
        <v>1217</v>
      </c>
      <c r="J203" s="178">
        <v>250000000</v>
      </c>
      <c r="K203" s="178">
        <v>97.1015625</v>
      </c>
      <c r="L203" s="178">
        <v>2.6159110225000002</v>
      </c>
      <c r="M203" s="178">
        <v>-244385467.02348065</v>
      </c>
      <c r="N203" s="174" t="s">
        <v>337</v>
      </c>
      <c r="O203" s="174" t="s">
        <v>1218</v>
      </c>
      <c r="P203" s="174" t="s">
        <v>22</v>
      </c>
      <c r="Q203" s="174" t="s">
        <v>129</v>
      </c>
      <c r="R203" s="174" t="s">
        <v>1219</v>
      </c>
      <c r="S203" s="174" t="s">
        <v>132</v>
      </c>
      <c r="T203" s="175"/>
      <c r="U203" s="175"/>
      <c r="V203" s="174" t="s">
        <v>469</v>
      </c>
      <c r="W203" s="174" t="s">
        <v>511</v>
      </c>
      <c r="X203" s="174" t="s">
        <v>22</v>
      </c>
      <c r="Y203" s="174"/>
      <c r="Z203" s="175"/>
      <c r="AA203" s="174" t="s">
        <v>512</v>
      </c>
      <c r="AB203" s="176">
        <v>43164.538611111115</v>
      </c>
      <c r="AC203" s="174" t="s">
        <v>1219</v>
      </c>
      <c r="AD203" s="176">
        <v>43164.533229166664</v>
      </c>
      <c r="AE203" s="176">
        <v>43164.53329861111</v>
      </c>
      <c r="AF203" s="175"/>
    </row>
    <row r="204" spans="1:32" x14ac:dyDescent="0.25">
      <c r="A204" s="174" t="s">
        <v>484</v>
      </c>
      <c r="B204" s="174" t="s">
        <v>1220</v>
      </c>
      <c r="C204" s="174" t="s">
        <v>478</v>
      </c>
      <c r="D204" s="174" t="s">
        <v>535</v>
      </c>
      <c r="E204" s="176">
        <v>43164</v>
      </c>
      <c r="F204" s="176">
        <v>43166</v>
      </c>
      <c r="G204" s="174" t="s">
        <v>1182</v>
      </c>
      <c r="H204" s="179" t="s">
        <v>486</v>
      </c>
      <c r="I204" s="174" t="s">
        <v>547</v>
      </c>
      <c r="J204" s="178">
        <v>4000000</v>
      </c>
      <c r="K204" s="178">
        <v>88.481999999999999</v>
      </c>
      <c r="L204" s="178">
        <v>4.5899902355000002</v>
      </c>
      <c r="M204" s="178">
        <v>-3613766.1111111101</v>
      </c>
      <c r="N204" s="174" t="s">
        <v>337</v>
      </c>
      <c r="O204" s="174" t="s">
        <v>548</v>
      </c>
      <c r="P204" s="174" t="s">
        <v>22</v>
      </c>
      <c r="Q204" s="174" t="s">
        <v>129</v>
      </c>
      <c r="R204" s="174" t="s">
        <v>1221</v>
      </c>
      <c r="S204" s="174" t="s">
        <v>132</v>
      </c>
      <c r="T204" s="175"/>
      <c r="U204" s="175"/>
      <c r="V204" s="174" t="s">
        <v>489</v>
      </c>
      <c r="W204" s="174" t="s">
        <v>540</v>
      </c>
      <c r="X204" s="174" t="s">
        <v>22</v>
      </c>
      <c r="Y204" s="174"/>
      <c r="Z204" s="175"/>
      <c r="AA204" s="174" t="s">
        <v>541</v>
      </c>
      <c r="AB204" s="176">
        <v>43164.577835648146</v>
      </c>
      <c r="AC204" s="174" t="s">
        <v>1221</v>
      </c>
      <c r="AD204" s="176">
        <v>43164.571261574078</v>
      </c>
      <c r="AE204" s="176">
        <v>43164.571261574078</v>
      </c>
      <c r="AF204" s="175"/>
    </row>
    <row r="205" spans="1:32" x14ac:dyDescent="0.25">
      <c r="A205" s="174" t="s">
        <v>461</v>
      </c>
      <c r="B205" s="174" t="s">
        <v>1222</v>
      </c>
      <c r="C205" s="174" t="s">
        <v>478</v>
      </c>
      <c r="D205" s="174" t="s">
        <v>535</v>
      </c>
      <c r="E205" s="176">
        <v>43164</v>
      </c>
      <c r="F205" s="176">
        <v>43165</v>
      </c>
      <c r="G205" s="174" t="s">
        <v>1182</v>
      </c>
      <c r="H205" s="177" t="s">
        <v>466</v>
      </c>
      <c r="I205" s="174" t="s">
        <v>543</v>
      </c>
      <c r="J205" s="178">
        <v>3260000</v>
      </c>
      <c r="K205" s="178">
        <v>91.94921875</v>
      </c>
      <c r="L205" s="178">
        <v>3.1703414808999999</v>
      </c>
      <c r="M205" s="178">
        <v>3025033.8958908799</v>
      </c>
      <c r="N205" s="174" t="s">
        <v>337</v>
      </c>
      <c r="O205" s="174" t="s">
        <v>544</v>
      </c>
      <c r="P205" s="174" t="s">
        <v>22</v>
      </c>
      <c r="Q205" s="174" t="s">
        <v>129</v>
      </c>
      <c r="R205" s="174" t="s">
        <v>1223</v>
      </c>
      <c r="S205" s="174" t="s">
        <v>132</v>
      </c>
      <c r="T205" s="175"/>
      <c r="U205" s="175"/>
      <c r="V205" s="174" t="s">
        <v>469</v>
      </c>
      <c r="W205" s="174" t="s">
        <v>540</v>
      </c>
      <c r="X205" s="174" t="s">
        <v>22</v>
      </c>
      <c r="Y205" s="174"/>
      <c r="Z205" s="175"/>
      <c r="AA205" s="174" t="s">
        <v>541</v>
      </c>
      <c r="AB205" s="176">
        <v>43164.57135416667</v>
      </c>
      <c r="AC205" s="174" t="s">
        <v>1223</v>
      </c>
      <c r="AD205" s="176">
        <v>43164.57135416667</v>
      </c>
      <c r="AE205" s="176">
        <v>43164.57135416667</v>
      </c>
      <c r="AF205" s="175"/>
    </row>
    <row r="206" spans="1:32" x14ac:dyDescent="0.25">
      <c r="A206" s="174" t="s">
        <v>461</v>
      </c>
      <c r="B206" s="174" t="s">
        <v>1224</v>
      </c>
      <c r="C206" s="174" t="s">
        <v>463</v>
      </c>
      <c r="D206" s="174" t="s">
        <v>935</v>
      </c>
      <c r="E206" s="176">
        <v>43164</v>
      </c>
      <c r="F206" s="176">
        <v>43165</v>
      </c>
      <c r="G206" s="174" t="s">
        <v>1182</v>
      </c>
      <c r="H206" s="177" t="s">
        <v>466</v>
      </c>
      <c r="I206" s="174" t="s">
        <v>475</v>
      </c>
      <c r="J206" s="178">
        <v>6000000</v>
      </c>
      <c r="K206" s="178">
        <v>98.81640625</v>
      </c>
      <c r="L206" s="178">
        <v>2.8876333270000001</v>
      </c>
      <c r="M206" s="178">
        <v>5937644.59599448</v>
      </c>
      <c r="N206" s="174" t="s">
        <v>337</v>
      </c>
      <c r="O206" s="174" t="s">
        <v>476</v>
      </c>
      <c r="P206" s="174" t="s">
        <v>22</v>
      </c>
      <c r="Q206" s="174" t="s">
        <v>129</v>
      </c>
      <c r="R206" s="174" t="s">
        <v>1225</v>
      </c>
      <c r="S206" s="174" t="s">
        <v>132</v>
      </c>
      <c r="T206" s="175"/>
      <c r="U206" s="175"/>
      <c r="V206" s="174" t="s">
        <v>469</v>
      </c>
      <c r="W206" s="174" t="s">
        <v>938</v>
      </c>
      <c r="X206" s="174" t="s">
        <v>22</v>
      </c>
      <c r="Y206" s="174"/>
      <c r="Z206" s="175"/>
      <c r="AA206" s="174" t="s">
        <v>512</v>
      </c>
      <c r="AB206" s="176">
        <v>43164.623680555553</v>
      </c>
      <c r="AC206" s="174" t="s">
        <v>1225</v>
      </c>
      <c r="AD206" s="176">
        <v>43164.616122685184</v>
      </c>
      <c r="AE206" s="176">
        <v>43164.616215277776</v>
      </c>
      <c r="AF206" s="175"/>
    </row>
    <row r="207" spans="1:32" x14ac:dyDescent="0.25">
      <c r="A207" s="174" t="s">
        <v>461</v>
      </c>
      <c r="B207" s="174" t="s">
        <v>1226</v>
      </c>
      <c r="C207" s="174" t="s">
        <v>463</v>
      </c>
      <c r="D207" s="174" t="s">
        <v>806</v>
      </c>
      <c r="E207" s="176">
        <v>43164</v>
      </c>
      <c r="F207" s="176">
        <v>43165</v>
      </c>
      <c r="G207" s="174" t="s">
        <v>1182</v>
      </c>
      <c r="H207" s="179" t="s">
        <v>486</v>
      </c>
      <c r="I207" s="174" t="s">
        <v>1227</v>
      </c>
      <c r="J207" s="178">
        <v>50000000</v>
      </c>
      <c r="K207" s="178">
        <v>110.69051</v>
      </c>
      <c r="L207" s="178">
        <v>3.1404360138</v>
      </c>
      <c r="M207" s="178">
        <v>-55920185.939226516</v>
      </c>
      <c r="N207" s="174" t="s">
        <v>337</v>
      </c>
      <c r="O207" s="174" t="s">
        <v>1228</v>
      </c>
      <c r="P207" s="174" t="s">
        <v>22</v>
      </c>
      <c r="Q207" s="174" t="s">
        <v>129</v>
      </c>
      <c r="R207" s="174" t="s">
        <v>1229</v>
      </c>
      <c r="S207" s="174" t="s">
        <v>132</v>
      </c>
      <c r="T207" s="175"/>
      <c r="U207" s="175"/>
      <c r="V207" s="174" t="s">
        <v>469</v>
      </c>
      <c r="W207" s="174" t="s">
        <v>809</v>
      </c>
      <c r="X207" s="174" t="s">
        <v>22</v>
      </c>
      <c r="Y207" s="174"/>
      <c r="Z207" s="175"/>
      <c r="AA207" s="174" t="s">
        <v>512</v>
      </c>
      <c r="AB207" s="176">
        <v>43164.643252314818</v>
      </c>
      <c r="AC207" s="174" t="s">
        <v>1229</v>
      </c>
      <c r="AD207" s="176">
        <v>43164.636747685188</v>
      </c>
      <c r="AE207" s="176">
        <v>43164.636817129627</v>
      </c>
      <c r="AF207" s="175"/>
    </row>
    <row r="208" spans="1:32" x14ac:dyDescent="0.25">
      <c r="A208" s="174" t="s">
        <v>484</v>
      </c>
      <c r="B208" s="174" t="s">
        <v>1230</v>
      </c>
      <c r="C208" s="174" t="s">
        <v>478</v>
      </c>
      <c r="D208" s="174" t="s">
        <v>1201</v>
      </c>
      <c r="E208" s="176">
        <v>43164</v>
      </c>
      <c r="F208" s="176">
        <v>43166</v>
      </c>
      <c r="G208" s="174" t="s">
        <v>1182</v>
      </c>
      <c r="H208" s="179" t="s">
        <v>486</v>
      </c>
      <c r="I208" s="174" t="s">
        <v>1231</v>
      </c>
      <c r="J208" s="178">
        <v>3000000</v>
      </c>
      <c r="K208" s="178">
        <v>92.75</v>
      </c>
      <c r="L208" s="178">
        <v>9.9008517931999993</v>
      </c>
      <c r="M208" s="178">
        <v>-2796708.3333333298</v>
      </c>
      <c r="N208" s="174" t="s">
        <v>337</v>
      </c>
      <c r="O208" s="174" t="s">
        <v>1232</v>
      </c>
      <c r="P208" s="174" t="s">
        <v>22</v>
      </c>
      <c r="Q208" s="174" t="s">
        <v>129</v>
      </c>
      <c r="R208" s="174" t="s">
        <v>1233</v>
      </c>
      <c r="S208" s="174" t="s">
        <v>132</v>
      </c>
      <c r="T208" s="175"/>
      <c r="U208" s="175"/>
      <c r="V208" s="174" t="s">
        <v>1205</v>
      </c>
      <c r="W208" s="174" t="s">
        <v>1206</v>
      </c>
      <c r="X208" s="174" t="s">
        <v>22</v>
      </c>
      <c r="Y208" s="174"/>
      <c r="Z208" s="175"/>
      <c r="AA208" s="174" t="s">
        <v>1207</v>
      </c>
      <c r="AB208" s="176">
        <v>43164.578206018516</v>
      </c>
      <c r="AC208" s="174" t="s">
        <v>1233</v>
      </c>
      <c r="AD208" s="176">
        <v>43164.639803240738</v>
      </c>
      <c r="AE208" s="176">
        <v>43164.639803240738</v>
      </c>
      <c r="AF208" s="175"/>
    </row>
    <row r="209" spans="1:32" x14ac:dyDescent="0.25">
      <c r="A209" s="174" t="s">
        <v>484</v>
      </c>
      <c r="B209" s="174" t="s">
        <v>1234</v>
      </c>
      <c r="C209" s="174" t="s">
        <v>478</v>
      </c>
      <c r="D209" s="174" t="s">
        <v>590</v>
      </c>
      <c r="E209" s="176">
        <v>43164</v>
      </c>
      <c r="F209" s="176">
        <v>43166</v>
      </c>
      <c r="G209" s="174" t="s">
        <v>1182</v>
      </c>
      <c r="H209" s="177" t="s">
        <v>466</v>
      </c>
      <c r="I209" s="174" t="s">
        <v>1235</v>
      </c>
      <c r="J209" s="178">
        <v>2000000</v>
      </c>
      <c r="K209" s="178">
        <v>65.375</v>
      </c>
      <c r="L209" s="178">
        <v>18.141715797500002</v>
      </c>
      <c r="M209" s="178">
        <v>1328083.33333333</v>
      </c>
      <c r="N209" s="174" t="s">
        <v>337</v>
      </c>
      <c r="O209" s="174" t="s">
        <v>1236</v>
      </c>
      <c r="P209" s="174" t="s">
        <v>22</v>
      </c>
      <c r="Q209" s="174" t="s">
        <v>129</v>
      </c>
      <c r="R209" s="174" t="s">
        <v>1237</v>
      </c>
      <c r="S209" s="174" t="s">
        <v>132</v>
      </c>
      <c r="T209" s="175"/>
      <c r="U209" s="175"/>
      <c r="V209" s="174" t="s">
        <v>489</v>
      </c>
      <c r="W209" s="174" t="s">
        <v>594</v>
      </c>
      <c r="X209" s="174" t="s">
        <v>22</v>
      </c>
      <c r="Y209" s="174"/>
      <c r="Z209" s="175"/>
      <c r="AA209" s="174" t="s">
        <v>512</v>
      </c>
      <c r="AB209" s="176">
        <v>43164.689270833333</v>
      </c>
      <c r="AC209" s="174" t="s">
        <v>1237</v>
      </c>
      <c r="AD209" s="176">
        <v>43164.682222222225</v>
      </c>
      <c r="AE209" s="176">
        <v>43164.682280092595</v>
      </c>
      <c r="AF209" s="175"/>
    </row>
    <row r="210" spans="1:32" x14ac:dyDescent="0.25">
      <c r="A210" s="174" t="s">
        <v>461</v>
      </c>
      <c r="B210" s="174" t="s">
        <v>1238</v>
      </c>
      <c r="C210" s="174" t="s">
        <v>566</v>
      </c>
      <c r="D210" s="174" t="s">
        <v>1239</v>
      </c>
      <c r="E210" s="176">
        <v>43164</v>
      </c>
      <c r="F210" s="176">
        <v>43167</v>
      </c>
      <c r="G210" s="174" t="s">
        <v>1240</v>
      </c>
      <c r="H210" s="177" t="s">
        <v>466</v>
      </c>
      <c r="I210" s="174" t="s">
        <v>1241</v>
      </c>
      <c r="J210" s="178">
        <v>150000000</v>
      </c>
      <c r="K210" s="178">
        <v>94.197519999999997</v>
      </c>
      <c r="L210" s="178">
        <v>9.1499994749999995</v>
      </c>
      <c r="M210" s="178">
        <v>142553820</v>
      </c>
      <c r="N210" s="174" t="s">
        <v>839</v>
      </c>
      <c r="O210" s="174" t="s">
        <v>1242</v>
      </c>
      <c r="P210" s="174" t="s">
        <v>22</v>
      </c>
      <c r="Q210" s="174" t="s">
        <v>129</v>
      </c>
      <c r="R210" s="174" t="s">
        <v>1243</v>
      </c>
      <c r="S210" s="174" t="s">
        <v>132</v>
      </c>
      <c r="T210" s="175"/>
      <c r="U210" s="175"/>
      <c r="V210" s="174" t="s">
        <v>842</v>
      </c>
      <c r="W210" s="174" t="s">
        <v>1244</v>
      </c>
      <c r="X210" s="174" t="s">
        <v>22</v>
      </c>
      <c r="Y210" s="174"/>
      <c r="Z210" s="175"/>
      <c r="AA210" s="174" t="s">
        <v>512</v>
      </c>
      <c r="AB210" s="176">
        <v>43164.300023148149</v>
      </c>
      <c r="AC210" s="174" t="s">
        <v>1243</v>
      </c>
      <c r="AD210" s="176">
        <v>43164.294710648152</v>
      </c>
      <c r="AE210" s="176">
        <v>43164.294791666667</v>
      </c>
      <c r="AF210" s="175"/>
    </row>
    <row r="211" spans="1:32" x14ac:dyDescent="0.25">
      <c r="A211" s="174" t="s">
        <v>461</v>
      </c>
      <c r="B211" s="174" t="s">
        <v>1245</v>
      </c>
      <c r="C211" s="174" t="s">
        <v>463</v>
      </c>
      <c r="D211" s="174" t="s">
        <v>506</v>
      </c>
      <c r="E211" s="176">
        <v>43164</v>
      </c>
      <c r="F211" s="176">
        <v>43165</v>
      </c>
      <c r="G211" s="174" t="s">
        <v>1240</v>
      </c>
      <c r="H211" s="177" t="s">
        <v>466</v>
      </c>
      <c r="I211" s="174" t="s">
        <v>871</v>
      </c>
      <c r="J211" s="178">
        <v>83000000</v>
      </c>
      <c r="K211" s="178">
        <v>100</v>
      </c>
      <c r="L211" s="178">
        <v>2.2498973025</v>
      </c>
      <c r="M211" s="178">
        <v>83030448.369565219</v>
      </c>
      <c r="N211" s="174" t="s">
        <v>337</v>
      </c>
      <c r="O211" s="174" t="s">
        <v>872</v>
      </c>
      <c r="P211" s="174" t="s">
        <v>22</v>
      </c>
      <c r="Q211" s="174" t="s">
        <v>129</v>
      </c>
      <c r="R211" s="174" t="s">
        <v>1246</v>
      </c>
      <c r="S211" s="174" t="s">
        <v>132</v>
      </c>
      <c r="T211" s="175"/>
      <c r="U211" s="175"/>
      <c r="V211" s="174" t="s">
        <v>469</v>
      </c>
      <c r="W211" s="174" t="s">
        <v>511</v>
      </c>
      <c r="X211" s="174" t="s">
        <v>22</v>
      </c>
      <c r="Y211" s="174"/>
      <c r="Z211" s="175"/>
      <c r="AA211" s="174" t="s">
        <v>512</v>
      </c>
      <c r="AB211" s="176">
        <v>43164.370659722219</v>
      </c>
      <c r="AC211" s="174" t="s">
        <v>1246</v>
      </c>
      <c r="AD211" s="176">
        <v>43164.367881944447</v>
      </c>
      <c r="AE211" s="176">
        <v>43164.367928240739</v>
      </c>
      <c r="AF211" s="175"/>
    </row>
    <row r="212" spans="1:32" x14ac:dyDescent="0.25">
      <c r="A212" s="174" t="s">
        <v>461</v>
      </c>
      <c r="B212" s="174" t="s">
        <v>1247</v>
      </c>
      <c r="C212" s="174" t="s">
        <v>463</v>
      </c>
      <c r="D212" s="174" t="s">
        <v>506</v>
      </c>
      <c r="E212" s="176">
        <v>43164</v>
      </c>
      <c r="F212" s="176">
        <v>43165</v>
      </c>
      <c r="G212" s="174" t="s">
        <v>1240</v>
      </c>
      <c r="H212" s="179" t="s">
        <v>486</v>
      </c>
      <c r="I212" s="174" t="s">
        <v>1248</v>
      </c>
      <c r="J212" s="178">
        <v>100000000</v>
      </c>
      <c r="K212" s="178">
        <v>98.83984375</v>
      </c>
      <c r="L212" s="178">
        <v>2.2185950198</v>
      </c>
      <c r="M212" s="178">
        <v>-99361943.197513804</v>
      </c>
      <c r="N212" s="174" t="s">
        <v>337</v>
      </c>
      <c r="O212" s="174" t="s">
        <v>1249</v>
      </c>
      <c r="P212" s="174" t="s">
        <v>22</v>
      </c>
      <c r="Q212" s="174" t="s">
        <v>129</v>
      </c>
      <c r="R212" s="174" t="s">
        <v>1250</v>
      </c>
      <c r="S212" s="174" t="s">
        <v>132</v>
      </c>
      <c r="T212" s="175"/>
      <c r="U212" s="175"/>
      <c r="V212" s="174" t="s">
        <v>469</v>
      </c>
      <c r="W212" s="174" t="s">
        <v>511</v>
      </c>
      <c r="X212" s="174" t="s">
        <v>22</v>
      </c>
      <c r="Y212" s="174"/>
      <c r="Z212" s="175"/>
      <c r="AA212" s="174" t="s">
        <v>512</v>
      </c>
      <c r="AB212" s="176">
        <v>43164.370659722219</v>
      </c>
      <c r="AC212" s="174" t="s">
        <v>1250</v>
      </c>
      <c r="AD212" s="176">
        <v>43164.367893518516</v>
      </c>
      <c r="AE212" s="176">
        <v>43164.367939814816</v>
      </c>
      <c r="AF212" s="175"/>
    </row>
    <row r="213" spans="1:32" x14ac:dyDescent="0.25">
      <c r="A213" s="174" t="s">
        <v>461</v>
      </c>
      <c r="B213" s="174" t="s">
        <v>1251</v>
      </c>
      <c r="C213" s="174" t="s">
        <v>566</v>
      </c>
      <c r="D213" s="174" t="s">
        <v>946</v>
      </c>
      <c r="E213" s="176">
        <v>43164</v>
      </c>
      <c r="F213" s="176">
        <v>43166</v>
      </c>
      <c r="G213" s="174" t="s">
        <v>1240</v>
      </c>
      <c r="H213" s="177" t="s">
        <v>466</v>
      </c>
      <c r="I213" s="174" t="s">
        <v>1252</v>
      </c>
      <c r="J213" s="178">
        <v>2000000</v>
      </c>
      <c r="K213" s="178">
        <v>89.8</v>
      </c>
      <c r="L213" s="178">
        <v>4.8782533953999998</v>
      </c>
      <c r="M213" s="178">
        <v>1803693.1506849399</v>
      </c>
      <c r="N213" s="174" t="s">
        <v>386</v>
      </c>
      <c r="O213" s="174" t="s">
        <v>1253</v>
      </c>
      <c r="P213" s="174" t="s">
        <v>22</v>
      </c>
      <c r="Q213" s="174" t="s">
        <v>129</v>
      </c>
      <c r="R213" s="174" t="s">
        <v>1254</v>
      </c>
      <c r="S213" s="174" t="s">
        <v>132</v>
      </c>
      <c r="T213" s="175"/>
      <c r="U213" s="175"/>
      <c r="V213" s="174" t="s">
        <v>950</v>
      </c>
      <c r="W213" s="174" t="s">
        <v>951</v>
      </c>
      <c r="X213" s="174" t="s">
        <v>22</v>
      </c>
      <c r="Y213" s="174"/>
      <c r="Z213" s="175"/>
      <c r="AA213" s="174" t="s">
        <v>952</v>
      </c>
      <c r="AB213" s="176">
        <v>43164.415682870371</v>
      </c>
      <c r="AC213" s="174" t="s">
        <v>1254</v>
      </c>
      <c r="AD213" s="176">
        <v>43164.408645833333</v>
      </c>
      <c r="AE213" s="176">
        <v>43164.408645833333</v>
      </c>
      <c r="AF213" s="175"/>
    </row>
    <row r="214" spans="1:32" x14ac:dyDescent="0.25">
      <c r="A214" s="174" t="s">
        <v>484</v>
      </c>
      <c r="B214" s="174" t="s">
        <v>1255</v>
      </c>
      <c r="C214" s="174" t="s">
        <v>478</v>
      </c>
      <c r="D214" s="174" t="s">
        <v>903</v>
      </c>
      <c r="E214" s="176">
        <v>43164</v>
      </c>
      <c r="F214" s="176">
        <v>43166</v>
      </c>
      <c r="G214" s="174" t="s">
        <v>1240</v>
      </c>
      <c r="H214" s="177" t="s">
        <v>466</v>
      </c>
      <c r="I214" s="174" t="s">
        <v>1256</v>
      </c>
      <c r="J214" s="178">
        <v>3250000</v>
      </c>
      <c r="K214" s="178">
        <v>99.25</v>
      </c>
      <c r="L214" s="178">
        <v>8.0026650730999993</v>
      </c>
      <c r="M214" s="178">
        <v>3251929.6875000005</v>
      </c>
      <c r="N214" s="174" t="s">
        <v>337</v>
      </c>
      <c r="O214" s="174" t="s">
        <v>1257</v>
      </c>
      <c r="P214" s="174" t="s">
        <v>22</v>
      </c>
      <c r="Q214" s="174" t="s">
        <v>129</v>
      </c>
      <c r="R214" s="174" t="s">
        <v>1258</v>
      </c>
      <c r="S214" s="174" t="s">
        <v>132</v>
      </c>
      <c r="T214" s="175"/>
      <c r="U214" s="175"/>
      <c r="V214" s="174" t="s">
        <v>633</v>
      </c>
      <c r="W214" s="174" t="s">
        <v>906</v>
      </c>
      <c r="X214" s="174" t="s">
        <v>22</v>
      </c>
      <c r="Y214" s="174"/>
      <c r="Z214" s="175"/>
      <c r="AA214" s="174" t="s">
        <v>907</v>
      </c>
      <c r="AB214" s="176">
        <v>43164.38354166667</v>
      </c>
      <c r="AC214" s="174" t="s">
        <v>1258</v>
      </c>
      <c r="AD214" s="176">
        <v>43164.450277777774</v>
      </c>
      <c r="AE214" s="176">
        <v>43164.450277777774</v>
      </c>
      <c r="AF214" s="175"/>
    </row>
    <row r="215" spans="1:32" x14ac:dyDescent="0.25">
      <c r="A215" s="174" t="s">
        <v>461</v>
      </c>
      <c r="B215" s="174" t="s">
        <v>1259</v>
      </c>
      <c r="C215" s="174" t="s">
        <v>566</v>
      </c>
      <c r="D215" s="174" t="s">
        <v>1260</v>
      </c>
      <c r="E215" s="176">
        <v>43164</v>
      </c>
      <c r="F215" s="176">
        <v>43166</v>
      </c>
      <c r="G215" s="174" t="s">
        <v>1240</v>
      </c>
      <c r="H215" s="179" t="s">
        <v>486</v>
      </c>
      <c r="I215" s="174" t="s">
        <v>1261</v>
      </c>
      <c r="J215" s="178">
        <v>89400000</v>
      </c>
      <c r="K215" s="178">
        <v>101.65</v>
      </c>
      <c r="L215" s="178">
        <v>0.2599613543</v>
      </c>
      <c r="M215" s="178">
        <v>-90899593.150684923</v>
      </c>
      <c r="N215" s="174" t="s">
        <v>386</v>
      </c>
      <c r="O215" s="174" t="s">
        <v>1262</v>
      </c>
      <c r="P215" s="174" t="s">
        <v>22</v>
      </c>
      <c r="Q215" s="174" t="s">
        <v>129</v>
      </c>
      <c r="R215" s="174" t="s">
        <v>1263</v>
      </c>
      <c r="S215" s="174" t="s">
        <v>132</v>
      </c>
      <c r="T215" s="175"/>
      <c r="U215" s="175"/>
      <c r="V215" s="174" t="s">
        <v>575</v>
      </c>
      <c r="W215" s="174" t="s">
        <v>1264</v>
      </c>
      <c r="X215" s="174" t="s">
        <v>22</v>
      </c>
      <c r="Y215" s="174"/>
      <c r="Z215" s="175"/>
      <c r="AA215" s="174" t="s">
        <v>512</v>
      </c>
      <c r="AB215" s="176">
        <v>43164.577835648146</v>
      </c>
      <c r="AC215" s="174" t="s">
        <v>1263</v>
      </c>
      <c r="AD215" s="176">
        <v>43164.573622685188</v>
      </c>
      <c r="AE215" s="176">
        <v>43164.57366898148</v>
      </c>
      <c r="AF215" s="175"/>
    </row>
    <row r="216" spans="1:32" x14ac:dyDescent="0.25">
      <c r="A216" s="174" t="s">
        <v>461</v>
      </c>
      <c r="B216" s="174" t="s">
        <v>1265</v>
      </c>
      <c r="C216" s="174" t="s">
        <v>566</v>
      </c>
      <c r="D216" s="174" t="s">
        <v>1260</v>
      </c>
      <c r="E216" s="176">
        <v>43164</v>
      </c>
      <c r="F216" s="176">
        <v>43166</v>
      </c>
      <c r="G216" s="174" t="s">
        <v>1240</v>
      </c>
      <c r="H216" s="177" t="s">
        <v>466</v>
      </c>
      <c r="I216" s="174" t="s">
        <v>1266</v>
      </c>
      <c r="J216" s="178">
        <v>72000000</v>
      </c>
      <c r="K216" s="178">
        <v>97.762590000000003</v>
      </c>
      <c r="L216" s="178">
        <v>0.50646152870000005</v>
      </c>
      <c r="M216" s="178">
        <v>70398927.813698635</v>
      </c>
      <c r="N216" s="174" t="s">
        <v>386</v>
      </c>
      <c r="O216" s="174" t="s">
        <v>1267</v>
      </c>
      <c r="P216" s="174" t="s">
        <v>22</v>
      </c>
      <c r="Q216" s="174" t="s">
        <v>129</v>
      </c>
      <c r="R216" s="174" t="s">
        <v>1268</v>
      </c>
      <c r="S216" s="174" t="s">
        <v>132</v>
      </c>
      <c r="T216" s="175"/>
      <c r="U216" s="175"/>
      <c r="V216" s="174" t="s">
        <v>575</v>
      </c>
      <c r="W216" s="174" t="s">
        <v>1264</v>
      </c>
      <c r="X216" s="174" t="s">
        <v>22</v>
      </c>
      <c r="Y216" s="174"/>
      <c r="Z216" s="175"/>
      <c r="AA216" s="174" t="s">
        <v>512</v>
      </c>
      <c r="AB216" s="176">
        <v>43164.577835648146</v>
      </c>
      <c r="AC216" s="174" t="s">
        <v>1268</v>
      </c>
      <c r="AD216" s="176">
        <v>43164.573634259257</v>
      </c>
      <c r="AE216" s="176">
        <v>43164.57371527778</v>
      </c>
      <c r="AF216" s="175"/>
    </row>
    <row r="217" spans="1:32" x14ac:dyDescent="0.25">
      <c r="A217" s="174" t="s">
        <v>461</v>
      </c>
      <c r="B217" s="174" t="s">
        <v>1269</v>
      </c>
      <c r="C217" s="174" t="s">
        <v>497</v>
      </c>
      <c r="D217" s="174" t="s">
        <v>753</v>
      </c>
      <c r="E217" s="176">
        <v>43164</v>
      </c>
      <c r="F217" s="176">
        <v>43165</v>
      </c>
      <c r="G217" s="174" t="s">
        <v>1240</v>
      </c>
      <c r="H217" s="179" t="s">
        <v>486</v>
      </c>
      <c r="I217" s="174" t="s">
        <v>997</v>
      </c>
      <c r="J217" s="178">
        <v>6300000</v>
      </c>
      <c r="K217" s="178">
        <v>125.11539999999999</v>
      </c>
      <c r="L217" s="178">
        <v>1.4760233615</v>
      </c>
      <c r="M217" s="178">
        <v>-7947736.5461538499</v>
      </c>
      <c r="N217" s="174" t="s">
        <v>998</v>
      </c>
      <c r="O217" s="174" t="s">
        <v>999</v>
      </c>
      <c r="P217" s="174" t="s">
        <v>22</v>
      </c>
      <c r="Q217" s="174" t="s">
        <v>129</v>
      </c>
      <c r="R217" s="174" t="s">
        <v>1270</v>
      </c>
      <c r="S217" s="174" t="s">
        <v>132</v>
      </c>
      <c r="T217" s="175"/>
      <c r="U217" s="175"/>
      <c r="V217" s="174" t="s">
        <v>1001</v>
      </c>
      <c r="W217" s="174" t="s">
        <v>757</v>
      </c>
      <c r="X217" s="174" t="s">
        <v>22</v>
      </c>
      <c r="Y217" s="174"/>
      <c r="Z217" s="175"/>
      <c r="AA217" s="174" t="s">
        <v>512</v>
      </c>
      <c r="AB217" s="176">
        <v>43164.610729166663</v>
      </c>
      <c r="AC217" s="174" t="s">
        <v>1270</v>
      </c>
      <c r="AD217" s="176">
        <v>43164.607303240744</v>
      </c>
      <c r="AE217" s="176">
        <v>43164.607395833336</v>
      </c>
      <c r="AF217" s="175"/>
    </row>
    <row r="218" spans="1:32" x14ac:dyDescent="0.25">
      <c r="A218" s="174" t="s">
        <v>461</v>
      </c>
      <c r="B218" s="174" t="s">
        <v>1271</v>
      </c>
      <c r="C218" s="174" t="s">
        <v>497</v>
      </c>
      <c r="D218" s="174" t="s">
        <v>753</v>
      </c>
      <c r="E218" s="176">
        <v>43164</v>
      </c>
      <c r="F218" s="176">
        <v>43165</v>
      </c>
      <c r="G218" s="174" t="s">
        <v>1240</v>
      </c>
      <c r="H218" s="177" t="s">
        <v>466</v>
      </c>
      <c r="I218" s="174" t="s">
        <v>1272</v>
      </c>
      <c r="J218" s="178">
        <v>8200000</v>
      </c>
      <c r="K218" s="178">
        <v>100.95</v>
      </c>
      <c r="L218" s="178">
        <v>1.3795231228</v>
      </c>
      <c r="M218" s="178">
        <v>8292510.4972375697</v>
      </c>
      <c r="N218" s="174" t="s">
        <v>998</v>
      </c>
      <c r="O218" s="174" t="s">
        <v>1273</v>
      </c>
      <c r="P218" s="174" t="s">
        <v>22</v>
      </c>
      <c r="Q218" s="174" t="s">
        <v>129</v>
      </c>
      <c r="R218" s="174" t="s">
        <v>1274</v>
      </c>
      <c r="S218" s="174" t="s">
        <v>132</v>
      </c>
      <c r="T218" s="175"/>
      <c r="U218" s="175"/>
      <c r="V218" s="174" t="s">
        <v>1001</v>
      </c>
      <c r="W218" s="174" t="s">
        <v>757</v>
      </c>
      <c r="X218" s="174" t="s">
        <v>22</v>
      </c>
      <c r="Y218" s="174"/>
      <c r="Z218" s="175"/>
      <c r="AA218" s="174" t="s">
        <v>512</v>
      </c>
      <c r="AB218" s="176">
        <v>43164.610729166663</v>
      </c>
      <c r="AC218" s="174" t="s">
        <v>1274</v>
      </c>
      <c r="AD218" s="176">
        <v>43164.607303240744</v>
      </c>
      <c r="AE218" s="176">
        <v>43164.607418981483</v>
      </c>
      <c r="AF218" s="175"/>
    </row>
    <row r="219" spans="1:32" x14ac:dyDescent="0.25">
      <c r="A219" s="174" t="s">
        <v>461</v>
      </c>
      <c r="B219" s="174" t="s">
        <v>1275</v>
      </c>
      <c r="C219" s="174" t="s">
        <v>478</v>
      </c>
      <c r="D219" s="174" t="s">
        <v>582</v>
      </c>
      <c r="E219" s="176">
        <v>43164</v>
      </c>
      <c r="F219" s="176">
        <v>43165</v>
      </c>
      <c r="G219" s="174" t="s">
        <v>1276</v>
      </c>
      <c r="H219" s="177" t="s">
        <v>466</v>
      </c>
      <c r="I219" s="174" t="s">
        <v>644</v>
      </c>
      <c r="J219" s="178">
        <v>9100000</v>
      </c>
      <c r="K219" s="178">
        <v>97.03125</v>
      </c>
      <c r="L219" s="178">
        <v>3.1538769017999999</v>
      </c>
      <c r="M219" s="178">
        <v>8844172.4792817701</v>
      </c>
      <c r="N219" s="174" t="s">
        <v>337</v>
      </c>
      <c r="O219" s="174" t="s">
        <v>645</v>
      </c>
      <c r="P219" s="174" t="s">
        <v>23</v>
      </c>
      <c r="Q219" s="174" t="s">
        <v>129</v>
      </c>
      <c r="R219" s="175"/>
      <c r="S219" s="175"/>
      <c r="T219" s="175"/>
      <c r="U219" s="175"/>
      <c r="V219" s="174" t="s">
        <v>469</v>
      </c>
      <c r="W219" s="174" t="s">
        <v>586</v>
      </c>
      <c r="X219" s="174" t="s">
        <v>24</v>
      </c>
      <c r="Y219" s="174"/>
      <c r="Z219" s="174" t="s">
        <v>1277</v>
      </c>
      <c r="AA219" s="174" t="s">
        <v>483</v>
      </c>
      <c r="AB219" s="176">
        <v>43164.525648148148</v>
      </c>
      <c r="AC219" s="175"/>
      <c r="AD219" s="176">
        <v>43164.600752314815</v>
      </c>
      <c r="AE219" s="176">
        <v>43164.600752314815</v>
      </c>
      <c r="AF219" s="175"/>
    </row>
    <row r="220" spans="1:32" x14ac:dyDescent="0.25">
      <c r="A220" s="174" t="s">
        <v>484</v>
      </c>
      <c r="B220" s="174" t="s">
        <v>1278</v>
      </c>
      <c r="C220" s="174" t="s">
        <v>478</v>
      </c>
      <c r="D220" s="174" t="s">
        <v>479</v>
      </c>
      <c r="E220" s="176">
        <v>43164</v>
      </c>
      <c r="F220" s="176">
        <v>43166</v>
      </c>
      <c r="G220" s="174" t="s">
        <v>1276</v>
      </c>
      <c r="H220" s="179" t="s">
        <v>486</v>
      </c>
      <c r="I220" s="174" t="s">
        <v>1279</v>
      </c>
      <c r="J220" s="178">
        <v>614000</v>
      </c>
      <c r="K220" s="178">
        <v>104.22499999999999</v>
      </c>
      <c r="L220" s="178">
        <v>2.9870166341000002</v>
      </c>
      <c r="M220" s="178">
        <v>-641630</v>
      </c>
      <c r="N220" s="174" t="s">
        <v>337</v>
      </c>
      <c r="O220" s="174" t="s">
        <v>1280</v>
      </c>
      <c r="P220" s="174" t="s">
        <v>23</v>
      </c>
      <c r="Q220" s="174" t="s">
        <v>129</v>
      </c>
      <c r="R220" s="175"/>
      <c r="S220" s="175"/>
      <c r="T220" s="175"/>
      <c r="U220" s="175"/>
      <c r="V220" s="174" t="s">
        <v>489</v>
      </c>
      <c r="W220" s="174" t="s">
        <v>481</v>
      </c>
      <c r="X220" s="174" t="s">
        <v>24</v>
      </c>
      <c r="Y220" s="174"/>
      <c r="Z220" s="174" t="s">
        <v>1277</v>
      </c>
      <c r="AA220" s="174" t="s">
        <v>483</v>
      </c>
      <c r="AB220" s="176">
        <v>43164.564699074072</v>
      </c>
      <c r="AC220" s="175"/>
      <c r="AD220" s="176">
        <v>43164.619444444441</v>
      </c>
      <c r="AE220" s="176">
        <v>43164.619444444441</v>
      </c>
      <c r="AF220" s="175"/>
    </row>
    <row r="221" spans="1:32" x14ac:dyDescent="0.25">
      <c r="A221" s="174" t="s">
        <v>461</v>
      </c>
      <c r="B221" s="174" t="s">
        <v>1281</v>
      </c>
      <c r="C221" s="174" t="s">
        <v>478</v>
      </c>
      <c r="D221" s="174" t="s">
        <v>479</v>
      </c>
      <c r="E221" s="176">
        <v>43164</v>
      </c>
      <c r="F221" s="176">
        <v>43165</v>
      </c>
      <c r="G221" s="174" t="s">
        <v>1276</v>
      </c>
      <c r="H221" s="177" t="s">
        <v>466</v>
      </c>
      <c r="I221" s="174" t="s">
        <v>524</v>
      </c>
      <c r="J221" s="178">
        <v>628000</v>
      </c>
      <c r="K221" s="178">
        <v>99.5546875</v>
      </c>
      <c r="L221" s="178">
        <v>2.4071877039</v>
      </c>
      <c r="M221" s="178">
        <v>625945.06733424996</v>
      </c>
      <c r="N221" s="174" t="s">
        <v>337</v>
      </c>
      <c r="O221" s="174" t="s">
        <v>525</v>
      </c>
      <c r="P221" s="174" t="s">
        <v>23</v>
      </c>
      <c r="Q221" s="174" t="s">
        <v>129</v>
      </c>
      <c r="R221" s="175"/>
      <c r="S221" s="175"/>
      <c r="T221" s="175"/>
      <c r="U221" s="175"/>
      <c r="V221" s="174" t="s">
        <v>469</v>
      </c>
      <c r="W221" s="174" t="s">
        <v>481</v>
      </c>
      <c r="X221" s="174" t="s">
        <v>24</v>
      </c>
      <c r="Y221" s="174"/>
      <c r="Z221" s="174" t="s">
        <v>1277</v>
      </c>
      <c r="AA221" s="174" t="s">
        <v>483</v>
      </c>
      <c r="AB221" s="176">
        <v>43164.564699074072</v>
      </c>
      <c r="AC221" s="175"/>
      <c r="AD221" s="176">
        <v>43164.619444444441</v>
      </c>
      <c r="AE221" s="176">
        <v>43164.619444444441</v>
      </c>
      <c r="AF221" s="175"/>
    </row>
    <row r="222" spans="1:32" x14ac:dyDescent="0.25">
      <c r="A222" s="174" t="s">
        <v>461</v>
      </c>
      <c r="B222" s="174" t="s">
        <v>1282</v>
      </c>
      <c r="C222" s="174" t="s">
        <v>463</v>
      </c>
      <c r="D222" s="174" t="s">
        <v>516</v>
      </c>
      <c r="E222" s="176">
        <v>43164</v>
      </c>
      <c r="F222" s="176">
        <v>43165</v>
      </c>
      <c r="G222" s="174" t="s">
        <v>1283</v>
      </c>
      <c r="H222" s="179" t="s">
        <v>486</v>
      </c>
      <c r="I222" s="174" t="s">
        <v>475</v>
      </c>
      <c r="J222" s="178">
        <v>8200000</v>
      </c>
      <c r="K222" s="178">
        <v>98.875</v>
      </c>
      <c r="L222" s="178">
        <v>2.8807705845</v>
      </c>
      <c r="M222" s="178">
        <v>-8119585.6353591206</v>
      </c>
      <c r="N222" s="174" t="s">
        <v>337</v>
      </c>
      <c r="O222" s="174" t="s">
        <v>476</v>
      </c>
      <c r="P222" s="174" t="s">
        <v>23</v>
      </c>
      <c r="Q222" s="174" t="s">
        <v>130</v>
      </c>
      <c r="R222" s="175"/>
      <c r="S222" s="175"/>
      <c r="T222" s="175"/>
      <c r="U222" s="175"/>
      <c r="V222" s="174" t="s">
        <v>469</v>
      </c>
      <c r="W222" s="174" t="s">
        <v>518</v>
      </c>
      <c r="X222" s="174" t="s">
        <v>24</v>
      </c>
      <c r="Y222" s="174"/>
      <c r="Z222" s="174" t="s">
        <v>794</v>
      </c>
      <c r="AA222" s="174" t="s">
        <v>483</v>
      </c>
      <c r="AB222" s="175"/>
      <c r="AC222" s="175"/>
      <c r="AD222" s="176">
        <v>43164.75640046296</v>
      </c>
      <c r="AE222" s="176">
        <v>43164.75640046296</v>
      </c>
      <c r="AF222" s="175"/>
    </row>
    <row r="223" spans="1:32" x14ac:dyDescent="0.25">
      <c r="A223" s="174" t="s">
        <v>461</v>
      </c>
      <c r="B223" s="174" t="s">
        <v>1284</v>
      </c>
      <c r="C223" s="174" t="s">
        <v>463</v>
      </c>
      <c r="D223" s="174" t="s">
        <v>516</v>
      </c>
      <c r="E223" s="176">
        <v>43164</v>
      </c>
      <c r="F223" s="176">
        <v>43165</v>
      </c>
      <c r="G223" s="174" t="s">
        <v>1283</v>
      </c>
      <c r="H223" s="177" t="s">
        <v>466</v>
      </c>
      <c r="I223" s="174" t="s">
        <v>1285</v>
      </c>
      <c r="J223" s="178">
        <v>10000000</v>
      </c>
      <c r="K223" s="178">
        <v>89.671875</v>
      </c>
      <c r="L223" s="178">
        <v>2.8864217342999998</v>
      </c>
      <c r="M223" s="178">
        <v>8975060.4281767998</v>
      </c>
      <c r="N223" s="174" t="s">
        <v>337</v>
      </c>
      <c r="O223" s="174" t="s">
        <v>1286</v>
      </c>
      <c r="P223" s="174" t="s">
        <v>23</v>
      </c>
      <c r="Q223" s="174" t="s">
        <v>130</v>
      </c>
      <c r="R223" s="175"/>
      <c r="S223" s="175"/>
      <c r="T223" s="175"/>
      <c r="U223" s="175"/>
      <c r="V223" s="174" t="s">
        <v>469</v>
      </c>
      <c r="W223" s="174" t="s">
        <v>518</v>
      </c>
      <c r="X223" s="174" t="s">
        <v>24</v>
      </c>
      <c r="Y223" s="174"/>
      <c r="Z223" s="174" t="s">
        <v>794</v>
      </c>
      <c r="AA223" s="174" t="s">
        <v>483</v>
      </c>
      <c r="AB223" s="175"/>
      <c r="AC223" s="175"/>
      <c r="AD223" s="176">
        <v>43164.756412037037</v>
      </c>
      <c r="AE223" s="176">
        <v>43164.756412037037</v>
      </c>
      <c r="AF223" s="175"/>
    </row>
    <row r="224" spans="1:32" x14ac:dyDescent="0.25">
      <c r="A224" s="174" t="s">
        <v>461</v>
      </c>
      <c r="B224" s="174" t="s">
        <v>1287</v>
      </c>
      <c r="C224" s="174" t="s">
        <v>463</v>
      </c>
      <c r="D224" s="174" t="s">
        <v>516</v>
      </c>
      <c r="E224" s="176">
        <v>43164</v>
      </c>
      <c r="F224" s="176">
        <v>43165</v>
      </c>
      <c r="G224" s="174" t="s">
        <v>1283</v>
      </c>
      <c r="H224" s="179" t="s">
        <v>486</v>
      </c>
      <c r="I224" s="174" t="s">
        <v>475</v>
      </c>
      <c r="J224" s="178">
        <v>41250000</v>
      </c>
      <c r="K224" s="178">
        <v>98.875</v>
      </c>
      <c r="L224" s="178">
        <v>2.8807705845</v>
      </c>
      <c r="M224" s="178">
        <v>-40845476.519337021</v>
      </c>
      <c r="N224" s="174" t="s">
        <v>337</v>
      </c>
      <c r="O224" s="174" t="s">
        <v>476</v>
      </c>
      <c r="P224" s="174" t="s">
        <v>23</v>
      </c>
      <c r="Q224" s="174" t="s">
        <v>130</v>
      </c>
      <c r="R224" s="175"/>
      <c r="S224" s="175"/>
      <c r="T224" s="175"/>
      <c r="U224" s="175"/>
      <c r="V224" s="174" t="s">
        <v>469</v>
      </c>
      <c r="W224" s="174" t="s">
        <v>518</v>
      </c>
      <c r="X224" s="174" t="s">
        <v>24</v>
      </c>
      <c r="Y224" s="174"/>
      <c r="Z224" s="174" t="s">
        <v>794</v>
      </c>
      <c r="AA224" s="174" t="s">
        <v>483</v>
      </c>
      <c r="AB224" s="175"/>
      <c r="AC224" s="175"/>
      <c r="AD224" s="176">
        <v>43164.756423611114</v>
      </c>
      <c r="AE224" s="176">
        <v>43164.756423611114</v>
      </c>
      <c r="AF224" s="175"/>
    </row>
    <row r="225" spans="1:32" x14ac:dyDescent="0.25">
      <c r="A225" s="174" t="s">
        <v>461</v>
      </c>
      <c r="B225" s="174" t="s">
        <v>1288</v>
      </c>
      <c r="C225" s="174" t="s">
        <v>463</v>
      </c>
      <c r="D225" s="174" t="s">
        <v>516</v>
      </c>
      <c r="E225" s="176">
        <v>43164</v>
      </c>
      <c r="F225" s="176">
        <v>43165</v>
      </c>
      <c r="G225" s="174" t="s">
        <v>1283</v>
      </c>
      <c r="H225" s="177" t="s">
        <v>466</v>
      </c>
      <c r="I225" s="174" t="s">
        <v>1195</v>
      </c>
      <c r="J225" s="178">
        <v>48000000</v>
      </c>
      <c r="K225" s="178">
        <v>93.1796875</v>
      </c>
      <c r="L225" s="178">
        <v>2.8927259644999999</v>
      </c>
      <c r="M225" s="178">
        <v>45020614.640883982</v>
      </c>
      <c r="N225" s="174" t="s">
        <v>337</v>
      </c>
      <c r="O225" s="174" t="s">
        <v>1196</v>
      </c>
      <c r="P225" s="174" t="s">
        <v>23</v>
      </c>
      <c r="Q225" s="174" t="s">
        <v>130</v>
      </c>
      <c r="R225" s="175"/>
      <c r="S225" s="175"/>
      <c r="T225" s="175"/>
      <c r="U225" s="175"/>
      <c r="V225" s="174" t="s">
        <v>469</v>
      </c>
      <c r="W225" s="174" t="s">
        <v>518</v>
      </c>
      <c r="X225" s="174" t="s">
        <v>24</v>
      </c>
      <c r="Y225" s="174"/>
      <c r="Z225" s="174" t="s">
        <v>794</v>
      </c>
      <c r="AA225" s="174" t="s">
        <v>483</v>
      </c>
      <c r="AB225" s="175"/>
      <c r="AC225" s="175"/>
      <c r="AD225" s="176">
        <v>43164.756435185183</v>
      </c>
      <c r="AE225" s="176">
        <v>43164.756435185183</v>
      </c>
      <c r="AF225" s="175"/>
    </row>
    <row r="226" spans="1:32" x14ac:dyDescent="0.25">
      <c r="A226" s="174" t="s">
        <v>461</v>
      </c>
      <c r="B226" s="174" t="s">
        <v>1289</v>
      </c>
      <c r="C226" s="174" t="s">
        <v>463</v>
      </c>
      <c r="D226" s="174" t="s">
        <v>516</v>
      </c>
      <c r="E226" s="176">
        <v>43164</v>
      </c>
      <c r="F226" s="176">
        <v>43165</v>
      </c>
      <c r="G226" s="174" t="s">
        <v>1283</v>
      </c>
      <c r="H226" s="179" t="s">
        <v>486</v>
      </c>
      <c r="I226" s="174" t="s">
        <v>475</v>
      </c>
      <c r="J226" s="178">
        <v>38700000</v>
      </c>
      <c r="K226" s="178">
        <v>98.875</v>
      </c>
      <c r="L226" s="178">
        <v>2.8807705845</v>
      </c>
      <c r="M226" s="178">
        <v>-38320483.425414354</v>
      </c>
      <c r="N226" s="174" t="s">
        <v>337</v>
      </c>
      <c r="O226" s="174" t="s">
        <v>476</v>
      </c>
      <c r="P226" s="174" t="s">
        <v>23</v>
      </c>
      <c r="Q226" s="174" t="s">
        <v>130</v>
      </c>
      <c r="R226" s="175"/>
      <c r="S226" s="175"/>
      <c r="T226" s="175"/>
      <c r="U226" s="175"/>
      <c r="V226" s="174" t="s">
        <v>469</v>
      </c>
      <c r="W226" s="174" t="s">
        <v>518</v>
      </c>
      <c r="X226" s="174" t="s">
        <v>24</v>
      </c>
      <c r="Y226" s="174"/>
      <c r="Z226" s="174" t="s">
        <v>794</v>
      </c>
      <c r="AA226" s="174" t="s">
        <v>483</v>
      </c>
      <c r="AB226" s="175"/>
      <c r="AC226" s="175"/>
      <c r="AD226" s="176">
        <v>43164.756435185183</v>
      </c>
      <c r="AE226" s="176">
        <v>43164.756435185183</v>
      </c>
      <c r="AF226" s="175"/>
    </row>
    <row r="227" spans="1:32" x14ac:dyDescent="0.25">
      <c r="A227" s="174" t="s">
        <v>461</v>
      </c>
      <c r="B227" s="174" t="s">
        <v>1290</v>
      </c>
      <c r="C227" s="174" t="s">
        <v>463</v>
      </c>
      <c r="D227" s="174" t="s">
        <v>516</v>
      </c>
      <c r="E227" s="176">
        <v>43164</v>
      </c>
      <c r="F227" s="176">
        <v>43165</v>
      </c>
      <c r="G227" s="174" t="s">
        <v>1283</v>
      </c>
      <c r="H227" s="177" t="s">
        <v>466</v>
      </c>
      <c r="I227" s="174" t="s">
        <v>1195</v>
      </c>
      <c r="J227" s="178">
        <v>45000000</v>
      </c>
      <c r="K227" s="178">
        <v>93.1796875</v>
      </c>
      <c r="L227" s="178">
        <v>2.8927259644999999</v>
      </c>
      <c r="M227" s="178">
        <v>42206826.22582873</v>
      </c>
      <c r="N227" s="174" t="s">
        <v>337</v>
      </c>
      <c r="O227" s="174" t="s">
        <v>1196</v>
      </c>
      <c r="P227" s="174" t="s">
        <v>23</v>
      </c>
      <c r="Q227" s="174" t="s">
        <v>130</v>
      </c>
      <c r="R227" s="175"/>
      <c r="S227" s="175"/>
      <c r="T227" s="175"/>
      <c r="U227" s="175"/>
      <c r="V227" s="174" t="s">
        <v>469</v>
      </c>
      <c r="W227" s="174" t="s">
        <v>518</v>
      </c>
      <c r="X227" s="174" t="s">
        <v>24</v>
      </c>
      <c r="Y227" s="174"/>
      <c r="Z227" s="174" t="s">
        <v>794</v>
      </c>
      <c r="AA227" s="174" t="s">
        <v>483</v>
      </c>
      <c r="AB227" s="175"/>
      <c r="AC227" s="175"/>
      <c r="AD227" s="176">
        <v>43164.75644675926</v>
      </c>
      <c r="AE227" s="176">
        <v>43164.75644675926</v>
      </c>
      <c r="AF227" s="175"/>
    </row>
    <row r="228" spans="1:32" x14ac:dyDescent="0.25">
      <c r="A228" s="174" t="s">
        <v>461</v>
      </c>
      <c r="B228" s="174" t="s">
        <v>1291</v>
      </c>
      <c r="C228" s="174" t="s">
        <v>463</v>
      </c>
      <c r="D228" s="174" t="s">
        <v>516</v>
      </c>
      <c r="E228" s="176">
        <v>43164</v>
      </c>
      <c r="F228" s="176">
        <v>43165</v>
      </c>
      <c r="G228" s="174" t="s">
        <v>1283</v>
      </c>
      <c r="H228" s="179" t="s">
        <v>486</v>
      </c>
      <c r="I228" s="174" t="s">
        <v>475</v>
      </c>
      <c r="J228" s="178">
        <v>27500000</v>
      </c>
      <c r="K228" s="178">
        <v>98.875</v>
      </c>
      <c r="L228" s="178">
        <v>2.8807705845</v>
      </c>
      <c r="M228" s="178">
        <v>-27230317.679558009</v>
      </c>
      <c r="N228" s="174" t="s">
        <v>337</v>
      </c>
      <c r="O228" s="174" t="s">
        <v>476</v>
      </c>
      <c r="P228" s="174" t="s">
        <v>23</v>
      </c>
      <c r="Q228" s="174" t="s">
        <v>130</v>
      </c>
      <c r="R228" s="175"/>
      <c r="S228" s="175"/>
      <c r="T228" s="175"/>
      <c r="U228" s="175"/>
      <c r="V228" s="174" t="s">
        <v>469</v>
      </c>
      <c r="W228" s="174" t="s">
        <v>518</v>
      </c>
      <c r="X228" s="174" t="s">
        <v>24</v>
      </c>
      <c r="Y228" s="174"/>
      <c r="Z228" s="174" t="s">
        <v>794</v>
      </c>
      <c r="AA228" s="174" t="s">
        <v>483</v>
      </c>
      <c r="AB228" s="175"/>
      <c r="AC228" s="175"/>
      <c r="AD228" s="176">
        <v>43164.75644675926</v>
      </c>
      <c r="AE228" s="176">
        <v>43164.75644675926</v>
      </c>
      <c r="AF228" s="175"/>
    </row>
    <row r="229" spans="1:32" x14ac:dyDescent="0.25">
      <c r="A229" s="174" t="s">
        <v>461</v>
      </c>
      <c r="B229" s="174" t="s">
        <v>1292</v>
      </c>
      <c r="C229" s="174" t="s">
        <v>463</v>
      </c>
      <c r="D229" s="174" t="s">
        <v>516</v>
      </c>
      <c r="E229" s="176">
        <v>43164</v>
      </c>
      <c r="F229" s="176">
        <v>43165</v>
      </c>
      <c r="G229" s="174" t="s">
        <v>1283</v>
      </c>
      <c r="H229" s="177" t="s">
        <v>466</v>
      </c>
      <c r="I229" s="174" t="s">
        <v>1195</v>
      </c>
      <c r="J229" s="178">
        <v>32000000</v>
      </c>
      <c r="K229" s="178">
        <v>93.1796875</v>
      </c>
      <c r="L229" s="178">
        <v>2.8927259644999999</v>
      </c>
      <c r="M229" s="178">
        <v>30013743.093922652</v>
      </c>
      <c r="N229" s="174" t="s">
        <v>337</v>
      </c>
      <c r="O229" s="174" t="s">
        <v>1196</v>
      </c>
      <c r="P229" s="174" t="s">
        <v>23</v>
      </c>
      <c r="Q229" s="174" t="s">
        <v>130</v>
      </c>
      <c r="R229" s="175"/>
      <c r="S229" s="175"/>
      <c r="T229" s="175"/>
      <c r="U229" s="175"/>
      <c r="V229" s="174" t="s">
        <v>469</v>
      </c>
      <c r="W229" s="174" t="s">
        <v>518</v>
      </c>
      <c r="X229" s="174" t="s">
        <v>24</v>
      </c>
      <c r="Y229" s="174"/>
      <c r="Z229" s="174" t="s">
        <v>794</v>
      </c>
      <c r="AA229" s="174" t="s">
        <v>483</v>
      </c>
      <c r="AB229" s="175"/>
      <c r="AC229" s="175"/>
      <c r="AD229" s="176">
        <v>43164.756458333337</v>
      </c>
      <c r="AE229" s="176">
        <v>43164.756458333337</v>
      </c>
      <c r="AF229" s="175"/>
    </row>
    <row r="230" spans="1:32" x14ac:dyDescent="0.25">
      <c r="A230" s="174" t="s">
        <v>461</v>
      </c>
      <c r="B230" s="174" t="s">
        <v>1293</v>
      </c>
      <c r="C230" s="174" t="s">
        <v>463</v>
      </c>
      <c r="D230" s="174" t="s">
        <v>516</v>
      </c>
      <c r="E230" s="176">
        <v>43164</v>
      </c>
      <c r="F230" s="176">
        <v>43165</v>
      </c>
      <c r="G230" s="174" t="s">
        <v>1283</v>
      </c>
      <c r="H230" s="179" t="s">
        <v>486</v>
      </c>
      <c r="I230" s="174" t="s">
        <v>475</v>
      </c>
      <c r="J230" s="178">
        <v>12050000</v>
      </c>
      <c r="K230" s="178">
        <v>98.875</v>
      </c>
      <c r="L230" s="178">
        <v>2.8807705845</v>
      </c>
      <c r="M230" s="178">
        <v>-11931830.110497238</v>
      </c>
      <c r="N230" s="174" t="s">
        <v>337</v>
      </c>
      <c r="O230" s="174" t="s">
        <v>476</v>
      </c>
      <c r="P230" s="174" t="s">
        <v>23</v>
      </c>
      <c r="Q230" s="174" t="s">
        <v>130</v>
      </c>
      <c r="R230" s="175"/>
      <c r="S230" s="175"/>
      <c r="T230" s="175"/>
      <c r="U230" s="175"/>
      <c r="V230" s="174" t="s">
        <v>469</v>
      </c>
      <c r="W230" s="174" t="s">
        <v>518</v>
      </c>
      <c r="X230" s="174" t="s">
        <v>24</v>
      </c>
      <c r="Y230" s="174"/>
      <c r="Z230" s="174" t="s">
        <v>794</v>
      </c>
      <c r="AA230" s="174" t="s">
        <v>483</v>
      </c>
      <c r="AB230" s="175"/>
      <c r="AC230" s="175"/>
      <c r="AD230" s="176">
        <v>43164.756469907406</v>
      </c>
      <c r="AE230" s="176">
        <v>43164.756469907406</v>
      </c>
      <c r="AF230" s="175"/>
    </row>
    <row r="231" spans="1:32" x14ac:dyDescent="0.25">
      <c r="A231" s="174" t="s">
        <v>461</v>
      </c>
      <c r="B231" s="174" t="s">
        <v>1294</v>
      </c>
      <c r="C231" s="174" t="s">
        <v>463</v>
      </c>
      <c r="D231" s="174" t="s">
        <v>516</v>
      </c>
      <c r="E231" s="176">
        <v>43164</v>
      </c>
      <c r="F231" s="176">
        <v>43165</v>
      </c>
      <c r="G231" s="174" t="s">
        <v>1283</v>
      </c>
      <c r="H231" s="177" t="s">
        <v>466</v>
      </c>
      <c r="I231" s="174" t="s">
        <v>1195</v>
      </c>
      <c r="J231" s="178">
        <v>14000000</v>
      </c>
      <c r="K231" s="178">
        <v>93.1796875</v>
      </c>
      <c r="L231" s="178">
        <v>2.8927259644999999</v>
      </c>
      <c r="M231" s="178">
        <v>13131012.603591159</v>
      </c>
      <c r="N231" s="174" t="s">
        <v>337</v>
      </c>
      <c r="O231" s="174" t="s">
        <v>1196</v>
      </c>
      <c r="P231" s="174" t="s">
        <v>23</v>
      </c>
      <c r="Q231" s="174" t="s">
        <v>130</v>
      </c>
      <c r="R231" s="175"/>
      <c r="S231" s="175"/>
      <c r="T231" s="175"/>
      <c r="U231" s="175"/>
      <c r="V231" s="174" t="s">
        <v>469</v>
      </c>
      <c r="W231" s="174" t="s">
        <v>518</v>
      </c>
      <c r="X231" s="174" t="s">
        <v>24</v>
      </c>
      <c r="Y231" s="174"/>
      <c r="Z231" s="174" t="s">
        <v>794</v>
      </c>
      <c r="AA231" s="174" t="s">
        <v>483</v>
      </c>
      <c r="AB231" s="175"/>
      <c r="AC231" s="175"/>
      <c r="AD231" s="176">
        <v>43164.756481481483</v>
      </c>
      <c r="AE231" s="176">
        <v>43164.756481481483</v>
      </c>
      <c r="AF231" s="175"/>
    </row>
    <row r="232" spans="1:32" x14ac:dyDescent="0.25">
      <c r="A232" s="174" t="s">
        <v>461</v>
      </c>
      <c r="B232" s="174" t="s">
        <v>1295</v>
      </c>
      <c r="C232" s="174" t="s">
        <v>463</v>
      </c>
      <c r="D232" s="174" t="s">
        <v>516</v>
      </c>
      <c r="E232" s="176">
        <v>43164</v>
      </c>
      <c r="F232" s="176">
        <v>43165</v>
      </c>
      <c r="G232" s="174" t="s">
        <v>1283</v>
      </c>
      <c r="H232" s="179" t="s">
        <v>486</v>
      </c>
      <c r="I232" s="174" t="s">
        <v>475</v>
      </c>
      <c r="J232" s="178">
        <v>52450000</v>
      </c>
      <c r="K232" s="178">
        <v>98.875</v>
      </c>
      <c r="L232" s="178">
        <v>2.8807705845</v>
      </c>
      <c r="M232" s="178">
        <v>-51935642.265193366</v>
      </c>
      <c r="N232" s="174" t="s">
        <v>337</v>
      </c>
      <c r="O232" s="174" t="s">
        <v>476</v>
      </c>
      <c r="P232" s="174" t="s">
        <v>23</v>
      </c>
      <c r="Q232" s="174" t="s">
        <v>130</v>
      </c>
      <c r="R232" s="175"/>
      <c r="S232" s="175"/>
      <c r="T232" s="175"/>
      <c r="U232" s="175"/>
      <c r="V232" s="174" t="s">
        <v>469</v>
      </c>
      <c r="W232" s="174" t="s">
        <v>518</v>
      </c>
      <c r="X232" s="174" t="s">
        <v>24</v>
      </c>
      <c r="Y232" s="174"/>
      <c r="Z232" s="174" t="s">
        <v>794</v>
      </c>
      <c r="AA232" s="174" t="s">
        <v>483</v>
      </c>
      <c r="AB232" s="175"/>
      <c r="AC232" s="175"/>
      <c r="AD232" s="176">
        <v>43164.756493055553</v>
      </c>
      <c r="AE232" s="176">
        <v>43164.756493055553</v>
      </c>
      <c r="AF232" s="175"/>
    </row>
    <row r="233" spans="1:32" x14ac:dyDescent="0.25">
      <c r="A233" s="174" t="s">
        <v>461</v>
      </c>
      <c r="B233" s="174" t="s">
        <v>1296</v>
      </c>
      <c r="C233" s="174" t="s">
        <v>463</v>
      </c>
      <c r="D233" s="174" t="s">
        <v>516</v>
      </c>
      <c r="E233" s="176">
        <v>43164</v>
      </c>
      <c r="F233" s="176">
        <v>43165</v>
      </c>
      <c r="G233" s="174" t="s">
        <v>1283</v>
      </c>
      <c r="H233" s="177" t="s">
        <v>466</v>
      </c>
      <c r="I233" s="174" t="s">
        <v>1195</v>
      </c>
      <c r="J233" s="178">
        <v>61000000</v>
      </c>
      <c r="K233" s="178">
        <v>93.1796875</v>
      </c>
      <c r="L233" s="178">
        <v>2.8927259644999999</v>
      </c>
      <c r="M233" s="178">
        <v>57213697.772790059</v>
      </c>
      <c r="N233" s="174" t="s">
        <v>337</v>
      </c>
      <c r="O233" s="174" t="s">
        <v>1196</v>
      </c>
      <c r="P233" s="174" t="s">
        <v>23</v>
      </c>
      <c r="Q233" s="174" t="s">
        <v>130</v>
      </c>
      <c r="R233" s="175"/>
      <c r="S233" s="175"/>
      <c r="T233" s="175"/>
      <c r="U233" s="175"/>
      <c r="V233" s="174" t="s">
        <v>469</v>
      </c>
      <c r="W233" s="174" t="s">
        <v>518</v>
      </c>
      <c r="X233" s="174" t="s">
        <v>24</v>
      </c>
      <c r="Y233" s="174"/>
      <c r="Z233" s="174" t="s">
        <v>794</v>
      </c>
      <c r="AA233" s="174" t="s">
        <v>483</v>
      </c>
      <c r="AB233" s="175"/>
      <c r="AC233" s="175"/>
      <c r="AD233" s="176">
        <v>43164.756504629629</v>
      </c>
      <c r="AE233" s="176">
        <v>43164.756504629629</v>
      </c>
      <c r="AF233" s="175"/>
    </row>
    <row r="234" spans="1:32" x14ac:dyDescent="0.25">
      <c r="A234" s="174" t="s">
        <v>461</v>
      </c>
      <c r="B234" s="174" t="s">
        <v>1297</v>
      </c>
      <c r="C234" s="174" t="s">
        <v>463</v>
      </c>
      <c r="D234" s="174" t="s">
        <v>516</v>
      </c>
      <c r="E234" s="176">
        <v>43164</v>
      </c>
      <c r="F234" s="176">
        <v>43165</v>
      </c>
      <c r="G234" s="174" t="s">
        <v>1283</v>
      </c>
      <c r="H234" s="179" t="s">
        <v>486</v>
      </c>
      <c r="I234" s="174" t="s">
        <v>475</v>
      </c>
      <c r="J234" s="178">
        <v>42700000</v>
      </c>
      <c r="K234" s="178">
        <v>98.875</v>
      </c>
      <c r="L234" s="178">
        <v>2.8807705845</v>
      </c>
      <c r="M234" s="178">
        <v>-42281256.906077348</v>
      </c>
      <c r="N234" s="174" t="s">
        <v>337</v>
      </c>
      <c r="O234" s="174" t="s">
        <v>476</v>
      </c>
      <c r="P234" s="174" t="s">
        <v>23</v>
      </c>
      <c r="Q234" s="174" t="s">
        <v>130</v>
      </c>
      <c r="R234" s="175"/>
      <c r="S234" s="175"/>
      <c r="T234" s="175"/>
      <c r="U234" s="175"/>
      <c r="V234" s="174" t="s">
        <v>469</v>
      </c>
      <c r="W234" s="174" t="s">
        <v>518</v>
      </c>
      <c r="X234" s="174" t="s">
        <v>24</v>
      </c>
      <c r="Y234" s="174"/>
      <c r="Z234" s="174" t="s">
        <v>794</v>
      </c>
      <c r="AA234" s="174" t="s">
        <v>483</v>
      </c>
      <c r="AB234" s="175"/>
      <c r="AC234" s="175"/>
      <c r="AD234" s="176">
        <v>43164.756516203706</v>
      </c>
      <c r="AE234" s="176">
        <v>43164.756516203706</v>
      </c>
      <c r="AF234" s="175"/>
    </row>
    <row r="235" spans="1:32" x14ac:dyDescent="0.25">
      <c r="A235" s="174" t="s">
        <v>461</v>
      </c>
      <c r="B235" s="174" t="s">
        <v>1298</v>
      </c>
      <c r="C235" s="174" t="s">
        <v>463</v>
      </c>
      <c r="D235" s="174" t="s">
        <v>516</v>
      </c>
      <c r="E235" s="176">
        <v>43164</v>
      </c>
      <c r="F235" s="176">
        <v>43165</v>
      </c>
      <c r="G235" s="174" t="s">
        <v>1283</v>
      </c>
      <c r="H235" s="177" t="s">
        <v>466</v>
      </c>
      <c r="I235" s="174" t="s">
        <v>1299</v>
      </c>
      <c r="J235" s="178">
        <v>53000000</v>
      </c>
      <c r="K235" s="178">
        <v>90.9296875</v>
      </c>
      <c r="L235" s="178">
        <v>2.8752556767000002</v>
      </c>
      <c r="M235" s="178">
        <v>48456819.319751374</v>
      </c>
      <c r="N235" s="174" t="s">
        <v>337</v>
      </c>
      <c r="O235" s="174" t="s">
        <v>1300</v>
      </c>
      <c r="P235" s="174" t="s">
        <v>23</v>
      </c>
      <c r="Q235" s="174" t="s">
        <v>130</v>
      </c>
      <c r="R235" s="175"/>
      <c r="S235" s="175"/>
      <c r="T235" s="175"/>
      <c r="U235" s="175"/>
      <c r="V235" s="174" t="s">
        <v>469</v>
      </c>
      <c r="W235" s="174" t="s">
        <v>518</v>
      </c>
      <c r="X235" s="174" t="s">
        <v>24</v>
      </c>
      <c r="Y235" s="174"/>
      <c r="Z235" s="174" t="s">
        <v>794</v>
      </c>
      <c r="AA235" s="174" t="s">
        <v>483</v>
      </c>
      <c r="AB235" s="175"/>
      <c r="AC235" s="175"/>
      <c r="AD235" s="176">
        <v>43164.756516203706</v>
      </c>
      <c r="AE235" s="176">
        <v>43164.756516203706</v>
      </c>
      <c r="AF235" s="175"/>
    </row>
    <row r="236" spans="1:32" x14ac:dyDescent="0.25">
      <c r="A236" s="174" t="s">
        <v>461</v>
      </c>
      <c r="B236" s="174" t="s">
        <v>1301</v>
      </c>
      <c r="C236" s="174" t="s">
        <v>463</v>
      </c>
      <c r="D236" s="174" t="s">
        <v>806</v>
      </c>
      <c r="E236" s="176">
        <v>43164</v>
      </c>
      <c r="F236" s="176">
        <v>43165</v>
      </c>
      <c r="G236" s="174" t="s">
        <v>1283</v>
      </c>
      <c r="H236" s="177" t="s">
        <v>466</v>
      </c>
      <c r="I236" s="174" t="s">
        <v>524</v>
      </c>
      <c r="J236" s="178">
        <v>10850000</v>
      </c>
      <c r="K236" s="178">
        <v>99.5</v>
      </c>
      <c r="L236" s="178">
        <v>2.4265748014000001</v>
      </c>
      <c r="M236" s="178">
        <v>10808563.190607728</v>
      </c>
      <c r="N236" s="174" t="s">
        <v>337</v>
      </c>
      <c r="O236" s="174" t="s">
        <v>525</v>
      </c>
      <c r="P236" s="174" t="s">
        <v>23</v>
      </c>
      <c r="Q236" s="174" t="s">
        <v>130</v>
      </c>
      <c r="R236" s="175"/>
      <c r="S236" s="175"/>
      <c r="T236" s="175"/>
      <c r="U236" s="175"/>
      <c r="V236" s="174" t="s">
        <v>469</v>
      </c>
      <c r="W236" s="174" t="s">
        <v>809</v>
      </c>
      <c r="X236" s="174" t="s">
        <v>24</v>
      </c>
      <c r="Y236" s="174"/>
      <c r="Z236" s="174" t="s">
        <v>794</v>
      </c>
      <c r="AA236" s="174" t="s">
        <v>483</v>
      </c>
      <c r="AB236" s="175"/>
      <c r="AC236" s="175"/>
      <c r="AD236" s="176">
        <v>43164.756516203706</v>
      </c>
      <c r="AE236" s="176">
        <v>43164.756516203706</v>
      </c>
      <c r="AF236" s="175"/>
    </row>
    <row r="237" spans="1:32" x14ac:dyDescent="0.25">
      <c r="A237" s="174" t="s">
        <v>461</v>
      </c>
      <c r="B237" s="174" t="s">
        <v>1302</v>
      </c>
      <c r="C237" s="174" t="s">
        <v>463</v>
      </c>
      <c r="D237" s="174" t="s">
        <v>806</v>
      </c>
      <c r="E237" s="176">
        <v>43164</v>
      </c>
      <c r="F237" s="176">
        <v>43165</v>
      </c>
      <c r="G237" s="174" t="s">
        <v>1283</v>
      </c>
      <c r="H237" s="179" t="s">
        <v>486</v>
      </c>
      <c r="I237" s="174" t="s">
        <v>1303</v>
      </c>
      <c r="J237" s="178">
        <v>10000000</v>
      </c>
      <c r="K237" s="178">
        <v>98.484375</v>
      </c>
      <c r="L237" s="178">
        <v>2.4898560397999998</v>
      </c>
      <c r="M237" s="178">
        <v>-9901184.7527472489</v>
      </c>
      <c r="N237" s="174" t="s">
        <v>337</v>
      </c>
      <c r="O237" s="174" t="s">
        <v>1304</v>
      </c>
      <c r="P237" s="174" t="s">
        <v>23</v>
      </c>
      <c r="Q237" s="174" t="s">
        <v>130</v>
      </c>
      <c r="R237" s="175"/>
      <c r="S237" s="175"/>
      <c r="T237" s="175"/>
      <c r="U237" s="175"/>
      <c r="V237" s="174" t="s">
        <v>469</v>
      </c>
      <c r="W237" s="174" t="s">
        <v>809</v>
      </c>
      <c r="X237" s="174" t="s">
        <v>24</v>
      </c>
      <c r="Y237" s="174"/>
      <c r="Z237" s="174" t="s">
        <v>794</v>
      </c>
      <c r="AA237" s="174" t="s">
        <v>483</v>
      </c>
      <c r="AB237" s="175"/>
      <c r="AC237" s="175"/>
      <c r="AD237" s="176">
        <v>43164.756527777776</v>
      </c>
      <c r="AE237" s="176">
        <v>43164.756527777776</v>
      </c>
      <c r="AF237" s="175"/>
    </row>
    <row r="238" spans="1:32" x14ac:dyDescent="0.25">
      <c r="A238" s="174" t="s">
        <v>461</v>
      </c>
      <c r="B238" s="174" t="s">
        <v>1305</v>
      </c>
      <c r="C238" s="174" t="s">
        <v>463</v>
      </c>
      <c r="D238" s="174" t="s">
        <v>806</v>
      </c>
      <c r="E238" s="176">
        <v>43164</v>
      </c>
      <c r="F238" s="176">
        <v>43165</v>
      </c>
      <c r="G238" s="174" t="s">
        <v>1283</v>
      </c>
      <c r="H238" s="179" t="s">
        <v>486</v>
      </c>
      <c r="I238" s="174" t="s">
        <v>508</v>
      </c>
      <c r="J238" s="178">
        <v>12550000</v>
      </c>
      <c r="K238" s="178">
        <v>99.5</v>
      </c>
      <c r="L238" s="178">
        <v>2.8293568444999999</v>
      </c>
      <c r="M238" s="178">
        <v>-12492877.03804348</v>
      </c>
      <c r="N238" s="174" t="s">
        <v>337</v>
      </c>
      <c r="O238" s="174" t="s">
        <v>509</v>
      </c>
      <c r="P238" s="174" t="s">
        <v>23</v>
      </c>
      <c r="Q238" s="174" t="s">
        <v>130</v>
      </c>
      <c r="R238" s="175"/>
      <c r="S238" s="175"/>
      <c r="T238" s="175"/>
      <c r="U238" s="175"/>
      <c r="V238" s="174" t="s">
        <v>469</v>
      </c>
      <c r="W238" s="174" t="s">
        <v>809</v>
      </c>
      <c r="X238" s="174" t="s">
        <v>24</v>
      </c>
      <c r="Y238" s="174"/>
      <c r="Z238" s="174" t="s">
        <v>794</v>
      </c>
      <c r="AA238" s="174" t="s">
        <v>483</v>
      </c>
      <c r="AB238" s="175"/>
      <c r="AC238" s="175"/>
      <c r="AD238" s="176">
        <v>43164.756527777776</v>
      </c>
      <c r="AE238" s="176">
        <v>43164.756527777776</v>
      </c>
      <c r="AF238" s="175"/>
    </row>
    <row r="239" spans="1:32" x14ac:dyDescent="0.25">
      <c r="A239" s="174" t="s">
        <v>461</v>
      </c>
      <c r="B239" s="174" t="s">
        <v>1306</v>
      </c>
      <c r="C239" s="174" t="s">
        <v>463</v>
      </c>
      <c r="D239" s="174" t="s">
        <v>806</v>
      </c>
      <c r="E239" s="176">
        <v>43164</v>
      </c>
      <c r="F239" s="176">
        <v>43165</v>
      </c>
      <c r="G239" s="174" t="s">
        <v>1283</v>
      </c>
      <c r="H239" s="177" t="s">
        <v>466</v>
      </c>
      <c r="I239" s="174" t="s">
        <v>1307</v>
      </c>
      <c r="J239" s="178">
        <v>15000000</v>
      </c>
      <c r="K239" s="178">
        <v>97.3125</v>
      </c>
      <c r="L239" s="178">
        <v>2.7525416674000001</v>
      </c>
      <c r="M239" s="178">
        <v>14657475.828729281</v>
      </c>
      <c r="N239" s="174" t="s">
        <v>337</v>
      </c>
      <c r="O239" s="174" t="s">
        <v>1308</v>
      </c>
      <c r="P239" s="174" t="s">
        <v>23</v>
      </c>
      <c r="Q239" s="174" t="s">
        <v>130</v>
      </c>
      <c r="R239" s="175"/>
      <c r="S239" s="175"/>
      <c r="T239" s="175"/>
      <c r="U239" s="175"/>
      <c r="V239" s="174" t="s">
        <v>469</v>
      </c>
      <c r="W239" s="174" t="s">
        <v>809</v>
      </c>
      <c r="X239" s="174" t="s">
        <v>24</v>
      </c>
      <c r="Y239" s="174"/>
      <c r="Z239" s="174" t="s">
        <v>794</v>
      </c>
      <c r="AA239" s="174" t="s">
        <v>483</v>
      </c>
      <c r="AB239" s="175"/>
      <c r="AC239" s="175"/>
      <c r="AD239" s="176">
        <v>43164.756539351853</v>
      </c>
      <c r="AE239" s="176">
        <v>43164.756539351853</v>
      </c>
      <c r="AF239" s="175"/>
    </row>
    <row r="240" spans="1:32" x14ac:dyDescent="0.25">
      <c r="A240" s="174" t="s">
        <v>461</v>
      </c>
      <c r="B240" s="174" t="s">
        <v>1309</v>
      </c>
      <c r="C240" s="174" t="s">
        <v>463</v>
      </c>
      <c r="D240" s="174" t="s">
        <v>553</v>
      </c>
      <c r="E240" s="176">
        <v>43164</v>
      </c>
      <c r="F240" s="176">
        <v>43165</v>
      </c>
      <c r="G240" s="174" t="s">
        <v>1283</v>
      </c>
      <c r="H240" s="177" t="s">
        <v>466</v>
      </c>
      <c r="I240" s="174" t="s">
        <v>1310</v>
      </c>
      <c r="J240" s="178">
        <v>10000000</v>
      </c>
      <c r="K240" s="178">
        <v>96.22265625</v>
      </c>
      <c r="L240" s="178">
        <v>2.4454257015</v>
      </c>
      <c r="M240" s="178">
        <v>9624099.8641304281</v>
      </c>
      <c r="N240" s="174" t="s">
        <v>337</v>
      </c>
      <c r="O240" s="174" t="s">
        <v>1311</v>
      </c>
      <c r="P240" s="174" t="s">
        <v>23</v>
      </c>
      <c r="Q240" s="174" t="s">
        <v>130</v>
      </c>
      <c r="R240" s="175"/>
      <c r="S240" s="175"/>
      <c r="T240" s="175"/>
      <c r="U240" s="175"/>
      <c r="V240" s="174" t="s">
        <v>469</v>
      </c>
      <c r="W240" s="174" t="s">
        <v>555</v>
      </c>
      <c r="X240" s="174" t="s">
        <v>24</v>
      </c>
      <c r="Y240" s="174"/>
      <c r="Z240" s="174" t="s">
        <v>794</v>
      </c>
      <c r="AA240" s="174" t="s">
        <v>483</v>
      </c>
      <c r="AB240" s="175"/>
      <c r="AC240" s="175"/>
      <c r="AD240" s="176">
        <v>43164.756550925929</v>
      </c>
      <c r="AE240" s="176">
        <v>43164.756550925929</v>
      </c>
      <c r="AF240" s="175"/>
    </row>
    <row r="241" spans="1:32" x14ac:dyDescent="0.25">
      <c r="A241" s="174" t="s">
        <v>461</v>
      </c>
      <c r="B241" s="174" t="s">
        <v>1312</v>
      </c>
      <c r="C241" s="174" t="s">
        <v>463</v>
      </c>
      <c r="D241" s="174" t="s">
        <v>553</v>
      </c>
      <c r="E241" s="176">
        <v>43164</v>
      </c>
      <c r="F241" s="176">
        <v>43165</v>
      </c>
      <c r="G241" s="174" t="s">
        <v>1283</v>
      </c>
      <c r="H241" s="179" t="s">
        <v>486</v>
      </c>
      <c r="I241" s="174" t="s">
        <v>524</v>
      </c>
      <c r="J241" s="178">
        <v>9900000</v>
      </c>
      <c r="K241" s="178">
        <v>99.5</v>
      </c>
      <c r="L241" s="178">
        <v>2.4265748014000001</v>
      </c>
      <c r="M241" s="178">
        <v>-9862191.298342539</v>
      </c>
      <c r="N241" s="174" t="s">
        <v>337</v>
      </c>
      <c r="O241" s="174" t="s">
        <v>525</v>
      </c>
      <c r="P241" s="174" t="s">
        <v>23</v>
      </c>
      <c r="Q241" s="174" t="s">
        <v>130</v>
      </c>
      <c r="R241" s="175"/>
      <c r="S241" s="175"/>
      <c r="T241" s="175"/>
      <c r="U241" s="175"/>
      <c r="V241" s="174" t="s">
        <v>469</v>
      </c>
      <c r="W241" s="174" t="s">
        <v>555</v>
      </c>
      <c r="X241" s="174" t="s">
        <v>24</v>
      </c>
      <c r="Y241" s="174"/>
      <c r="Z241" s="174" t="s">
        <v>794</v>
      </c>
      <c r="AA241" s="174" t="s">
        <v>483</v>
      </c>
      <c r="AB241" s="175"/>
      <c r="AC241" s="175"/>
      <c r="AD241" s="176">
        <v>43164.756550925929</v>
      </c>
      <c r="AE241" s="176">
        <v>43164.756550925929</v>
      </c>
      <c r="AF241" s="175"/>
    </row>
    <row r="242" spans="1:32" x14ac:dyDescent="0.25">
      <c r="A242" s="174" t="s">
        <v>461</v>
      </c>
      <c r="B242" s="174" t="s">
        <v>1313</v>
      </c>
      <c r="C242" s="174" t="s">
        <v>463</v>
      </c>
      <c r="D242" s="174" t="s">
        <v>553</v>
      </c>
      <c r="E242" s="176">
        <v>43164</v>
      </c>
      <c r="F242" s="176">
        <v>43165</v>
      </c>
      <c r="G242" s="174" t="s">
        <v>1283</v>
      </c>
      <c r="H242" s="179" t="s">
        <v>486</v>
      </c>
      <c r="I242" s="174" t="s">
        <v>798</v>
      </c>
      <c r="J242" s="178">
        <v>10000000</v>
      </c>
      <c r="K242" s="178">
        <v>98.841796875</v>
      </c>
      <c r="L242" s="178">
        <v>2.4208878978000001</v>
      </c>
      <c r="M242" s="178">
        <v>-9911803.9968922697</v>
      </c>
      <c r="N242" s="174" t="s">
        <v>337</v>
      </c>
      <c r="O242" s="174" t="s">
        <v>799</v>
      </c>
      <c r="P242" s="174" t="s">
        <v>23</v>
      </c>
      <c r="Q242" s="174" t="s">
        <v>130</v>
      </c>
      <c r="R242" s="175"/>
      <c r="S242" s="175"/>
      <c r="T242" s="175"/>
      <c r="U242" s="175"/>
      <c r="V242" s="174" t="s">
        <v>469</v>
      </c>
      <c r="W242" s="174" t="s">
        <v>555</v>
      </c>
      <c r="X242" s="174" t="s">
        <v>24</v>
      </c>
      <c r="Y242" s="174"/>
      <c r="Z242" s="174" t="s">
        <v>794</v>
      </c>
      <c r="AA242" s="174" t="s">
        <v>483</v>
      </c>
      <c r="AB242" s="175"/>
      <c r="AC242" s="175"/>
      <c r="AD242" s="176">
        <v>43164.756562499999</v>
      </c>
      <c r="AE242" s="176">
        <v>43164.756562499999</v>
      </c>
      <c r="AF242" s="175"/>
    </row>
    <row r="243" spans="1:32" x14ac:dyDescent="0.25">
      <c r="A243" s="174" t="s">
        <v>461</v>
      </c>
      <c r="B243" s="174" t="s">
        <v>1314</v>
      </c>
      <c r="C243" s="174" t="s">
        <v>463</v>
      </c>
      <c r="D243" s="174" t="s">
        <v>553</v>
      </c>
      <c r="E243" s="176">
        <v>43164</v>
      </c>
      <c r="F243" s="176">
        <v>43165</v>
      </c>
      <c r="G243" s="174" t="s">
        <v>1283</v>
      </c>
      <c r="H243" s="177" t="s">
        <v>466</v>
      </c>
      <c r="I243" s="174" t="s">
        <v>524</v>
      </c>
      <c r="J243" s="178">
        <v>9700000</v>
      </c>
      <c r="K243" s="178">
        <v>99.5</v>
      </c>
      <c r="L243" s="178">
        <v>2.4265748014000001</v>
      </c>
      <c r="M243" s="178">
        <v>9662955.1104972381</v>
      </c>
      <c r="N243" s="174" t="s">
        <v>337</v>
      </c>
      <c r="O243" s="174" t="s">
        <v>525</v>
      </c>
      <c r="P243" s="174" t="s">
        <v>23</v>
      </c>
      <c r="Q243" s="174" t="s">
        <v>130</v>
      </c>
      <c r="R243" s="175"/>
      <c r="S243" s="175"/>
      <c r="T243" s="175"/>
      <c r="U243" s="175"/>
      <c r="V243" s="174" t="s">
        <v>469</v>
      </c>
      <c r="W243" s="174" t="s">
        <v>555</v>
      </c>
      <c r="X243" s="174" t="s">
        <v>24</v>
      </c>
      <c r="Y243" s="174"/>
      <c r="Z243" s="174" t="s">
        <v>794</v>
      </c>
      <c r="AA243" s="174" t="s">
        <v>483</v>
      </c>
      <c r="AB243" s="175"/>
      <c r="AC243" s="175"/>
      <c r="AD243" s="176">
        <v>43164.756562499999</v>
      </c>
      <c r="AE243" s="176">
        <v>43164.756562499999</v>
      </c>
      <c r="AF243" s="175"/>
    </row>
    <row r="244" spans="1:32" x14ac:dyDescent="0.25">
      <c r="A244" s="174" t="s">
        <v>461</v>
      </c>
      <c r="B244" s="174" t="s">
        <v>1315</v>
      </c>
      <c r="C244" s="174" t="s">
        <v>463</v>
      </c>
      <c r="D244" s="174" t="s">
        <v>806</v>
      </c>
      <c r="E244" s="176">
        <v>43164</v>
      </c>
      <c r="F244" s="176">
        <v>43165</v>
      </c>
      <c r="G244" s="174" t="s">
        <v>1283</v>
      </c>
      <c r="H244" s="179" t="s">
        <v>486</v>
      </c>
      <c r="I244" s="174" t="s">
        <v>467</v>
      </c>
      <c r="J244" s="178">
        <v>23500000</v>
      </c>
      <c r="K244" s="178">
        <v>99.75</v>
      </c>
      <c r="L244" s="178">
        <v>2.6788620698000001</v>
      </c>
      <c r="M244" s="178">
        <v>-23451307.744565219</v>
      </c>
      <c r="N244" s="174" t="s">
        <v>337</v>
      </c>
      <c r="O244" s="174" t="s">
        <v>468</v>
      </c>
      <c r="P244" s="174" t="s">
        <v>23</v>
      </c>
      <c r="Q244" s="174" t="s">
        <v>130</v>
      </c>
      <c r="R244" s="175"/>
      <c r="S244" s="175"/>
      <c r="T244" s="175"/>
      <c r="U244" s="175"/>
      <c r="V244" s="174" t="s">
        <v>469</v>
      </c>
      <c r="W244" s="174" t="s">
        <v>809</v>
      </c>
      <c r="X244" s="174" t="s">
        <v>24</v>
      </c>
      <c r="Y244" s="174"/>
      <c r="Z244" s="174" t="s">
        <v>794</v>
      </c>
      <c r="AA244" s="174" t="s">
        <v>483</v>
      </c>
      <c r="AB244" s="175"/>
      <c r="AC244" s="175"/>
      <c r="AD244" s="176">
        <v>43164.756562499999</v>
      </c>
      <c r="AE244" s="176">
        <v>43164.756562499999</v>
      </c>
      <c r="AF244" s="175"/>
    </row>
    <row r="245" spans="1:32" x14ac:dyDescent="0.25">
      <c r="A245" s="174" t="s">
        <v>461</v>
      </c>
      <c r="B245" s="174" t="s">
        <v>1316</v>
      </c>
      <c r="C245" s="174" t="s">
        <v>463</v>
      </c>
      <c r="D245" s="174" t="s">
        <v>806</v>
      </c>
      <c r="E245" s="176">
        <v>43164</v>
      </c>
      <c r="F245" s="176">
        <v>43165</v>
      </c>
      <c r="G245" s="174" t="s">
        <v>1283</v>
      </c>
      <c r="H245" s="177" t="s">
        <v>466</v>
      </c>
      <c r="I245" s="174" t="s">
        <v>1317</v>
      </c>
      <c r="J245" s="178">
        <v>25000000</v>
      </c>
      <c r="K245" s="178">
        <v>97.0625</v>
      </c>
      <c r="L245" s="178">
        <v>2.6639062905999999</v>
      </c>
      <c r="M245" s="178">
        <v>24397004.881868128</v>
      </c>
      <c r="N245" s="174" t="s">
        <v>337</v>
      </c>
      <c r="O245" s="174" t="s">
        <v>1318</v>
      </c>
      <c r="P245" s="174" t="s">
        <v>23</v>
      </c>
      <c r="Q245" s="174" t="s">
        <v>130</v>
      </c>
      <c r="R245" s="175"/>
      <c r="S245" s="175"/>
      <c r="T245" s="175"/>
      <c r="U245" s="175"/>
      <c r="V245" s="174" t="s">
        <v>469</v>
      </c>
      <c r="W245" s="174" t="s">
        <v>809</v>
      </c>
      <c r="X245" s="174" t="s">
        <v>24</v>
      </c>
      <c r="Y245" s="174"/>
      <c r="Z245" s="174" t="s">
        <v>794</v>
      </c>
      <c r="AA245" s="174" t="s">
        <v>483</v>
      </c>
      <c r="AB245" s="175"/>
      <c r="AC245" s="175"/>
      <c r="AD245" s="176">
        <v>43164.756574074076</v>
      </c>
      <c r="AE245" s="176">
        <v>43164.756574074076</v>
      </c>
      <c r="AF245" s="175"/>
    </row>
    <row r="246" spans="1:32" x14ac:dyDescent="0.25">
      <c r="A246" s="174" t="s">
        <v>461</v>
      </c>
      <c r="B246" s="174" t="s">
        <v>1319</v>
      </c>
      <c r="C246" s="174" t="s">
        <v>463</v>
      </c>
      <c r="D246" s="174" t="s">
        <v>553</v>
      </c>
      <c r="E246" s="176">
        <v>43164</v>
      </c>
      <c r="F246" s="176">
        <v>43165</v>
      </c>
      <c r="G246" s="174" t="s">
        <v>1283</v>
      </c>
      <c r="H246" s="177" t="s">
        <v>466</v>
      </c>
      <c r="I246" s="174" t="s">
        <v>1320</v>
      </c>
      <c r="J246" s="178">
        <v>75000000</v>
      </c>
      <c r="K246" s="178">
        <v>96.564499999999995</v>
      </c>
      <c r="L246" s="178">
        <v>2.8164549539000001</v>
      </c>
      <c r="M246" s="178">
        <v>72940812.845303878</v>
      </c>
      <c r="N246" s="174" t="s">
        <v>337</v>
      </c>
      <c r="O246" s="174" t="s">
        <v>1321</v>
      </c>
      <c r="P246" s="174" t="s">
        <v>23</v>
      </c>
      <c r="Q246" s="174" t="s">
        <v>130</v>
      </c>
      <c r="R246" s="175"/>
      <c r="S246" s="175"/>
      <c r="T246" s="175"/>
      <c r="U246" s="175"/>
      <c r="V246" s="174" t="s">
        <v>469</v>
      </c>
      <c r="W246" s="174" t="s">
        <v>555</v>
      </c>
      <c r="X246" s="174" t="s">
        <v>24</v>
      </c>
      <c r="Y246" s="174"/>
      <c r="Z246" s="174" t="s">
        <v>794</v>
      </c>
      <c r="AA246" s="174" t="s">
        <v>483</v>
      </c>
      <c r="AB246" s="175"/>
      <c r="AC246" s="175"/>
      <c r="AD246" s="176">
        <v>43164.756574074076</v>
      </c>
      <c r="AE246" s="176">
        <v>43164.756574074076</v>
      </c>
      <c r="AF246" s="175"/>
    </row>
    <row r="247" spans="1:32" x14ac:dyDescent="0.25">
      <c r="A247" s="174" t="s">
        <v>461</v>
      </c>
      <c r="B247" s="174" t="s">
        <v>1325</v>
      </c>
      <c r="C247" s="174" t="s">
        <v>463</v>
      </c>
      <c r="D247" s="174" t="s">
        <v>516</v>
      </c>
      <c r="E247" s="176">
        <v>43164</v>
      </c>
      <c r="F247" s="176">
        <v>43165</v>
      </c>
      <c r="G247" s="174" t="s">
        <v>1322</v>
      </c>
      <c r="H247" s="177" t="s">
        <v>466</v>
      </c>
      <c r="I247" s="174" t="s">
        <v>467</v>
      </c>
      <c r="J247" s="178">
        <v>7000000</v>
      </c>
      <c r="K247" s="178">
        <v>100.08259</v>
      </c>
      <c r="L247" s="178">
        <v>2.6071627901999999</v>
      </c>
      <c r="M247" s="178">
        <v>7008777.22391304</v>
      </c>
      <c r="N247" s="174" t="s">
        <v>337</v>
      </c>
      <c r="O247" s="174" t="s">
        <v>468</v>
      </c>
      <c r="P247" s="174" t="s">
        <v>23</v>
      </c>
      <c r="Q247" s="174" t="s">
        <v>130</v>
      </c>
      <c r="R247" s="175"/>
      <c r="S247" s="175"/>
      <c r="T247" s="175"/>
      <c r="U247" s="175"/>
      <c r="V247" s="174" t="s">
        <v>469</v>
      </c>
      <c r="W247" s="174" t="s">
        <v>518</v>
      </c>
      <c r="X247" s="174" t="s">
        <v>24</v>
      </c>
      <c r="Y247" s="174"/>
      <c r="Z247" s="174" t="s">
        <v>794</v>
      </c>
      <c r="AA247" s="174" t="s">
        <v>483</v>
      </c>
      <c r="AB247" s="175"/>
      <c r="AC247" s="175"/>
      <c r="AD247" s="176">
        <v>43164.756585648145</v>
      </c>
      <c r="AE247" s="176">
        <v>43164.756585648145</v>
      </c>
      <c r="AF247" s="175"/>
    </row>
    <row r="248" spans="1:32" x14ac:dyDescent="0.25">
      <c r="A248" s="174" t="s">
        <v>461</v>
      </c>
      <c r="B248" s="174" t="s">
        <v>1326</v>
      </c>
      <c r="C248" s="174" t="s">
        <v>463</v>
      </c>
      <c r="D248" s="174" t="s">
        <v>516</v>
      </c>
      <c r="E248" s="176">
        <v>43164</v>
      </c>
      <c r="F248" s="176">
        <v>43165</v>
      </c>
      <c r="G248" s="174" t="s">
        <v>1322</v>
      </c>
      <c r="H248" s="177" t="s">
        <v>466</v>
      </c>
      <c r="I248" s="174" t="s">
        <v>524</v>
      </c>
      <c r="J248" s="178">
        <v>12000000</v>
      </c>
      <c r="K248" s="178">
        <v>99.62988</v>
      </c>
      <c r="L248" s="178">
        <v>2.3805521372</v>
      </c>
      <c r="M248" s="178">
        <v>11969756.870718231</v>
      </c>
      <c r="N248" s="174" t="s">
        <v>337</v>
      </c>
      <c r="O248" s="174" t="s">
        <v>525</v>
      </c>
      <c r="P248" s="174" t="s">
        <v>23</v>
      </c>
      <c r="Q248" s="174" t="s">
        <v>130</v>
      </c>
      <c r="R248" s="175"/>
      <c r="S248" s="175"/>
      <c r="T248" s="175"/>
      <c r="U248" s="175"/>
      <c r="V248" s="174" t="s">
        <v>469</v>
      </c>
      <c r="W248" s="174" t="s">
        <v>518</v>
      </c>
      <c r="X248" s="174" t="s">
        <v>24</v>
      </c>
      <c r="Y248" s="174"/>
      <c r="Z248" s="174" t="s">
        <v>794</v>
      </c>
      <c r="AA248" s="174" t="s">
        <v>483</v>
      </c>
      <c r="AB248" s="175"/>
      <c r="AC248" s="175"/>
      <c r="AD248" s="176">
        <v>43164.756597222222</v>
      </c>
      <c r="AE248" s="176">
        <v>43164.756597222222</v>
      </c>
      <c r="AF248" s="175"/>
    </row>
    <row r="249" spans="1:32" x14ac:dyDescent="0.25">
      <c r="A249" s="174" t="s">
        <v>461</v>
      </c>
      <c r="B249" s="174" t="s">
        <v>1327</v>
      </c>
      <c r="C249" s="174" t="s">
        <v>463</v>
      </c>
      <c r="D249" s="174" t="s">
        <v>676</v>
      </c>
      <c r="E249" s="176">
        <v>43164</v>
      </c>
      <c r="F249" s="176">
        <v>43165</v>
      </c>
      <c r="G249" s="174" t="s">
        <v>1322</v>
      </c>
      <c r="H249" s="179" t="s">
        <v>486</v>
      </c>
      <c r="I249" s="174" t="s">
        <v>475</v>
      </c>
      <c r="J249" s="178">
        <v>2900000</v>
      </c>
      <c r="K249" s="178">
        <v>99.496089999999995</v>
      </c>
      <c r="L249" s="178">
        <v>2.8083098937000002</v>
      </c>
      <c r="M249" s="178">
        <v>-2889572.3834806602</v>
      </c>
      <c r="N249" s="174" t="s">
        <v>337</v>
      </c>
      <c r="O249" s="174" t="s">
        <v>476</v>
      </c>
      <c r="P249" s="174" t="s">
        <v>23</v>
      </c>
      <c r="Q249" s="174" t="s">
        <v>130</v>
      </c>
      <c r="R249" s="175"/>
      <c r="S249" s="175"/>
      <c r="T249" s="175"/>
      <c r="U249" s="175"/>
      <c r="V249" s="174" t="s">
        <v>469</v>
      </c>
      <c r="W249" s="174" t="s">
        <v>683</v>
      </c>
      <c r="X249" s="174" t="s">
        <v>24</v>
      </c>
      <c r="Y249" s="174"/>
      <c r="Z249" s="174" t="s">
        <v>794</v>
      </c>
      <c r="AA249" s="174" t="s">
        <v>483</v>
      </c>
      <c r="AB249" s="175"/>
      <c r="AC249" s="175"/>
      <c r="AD249" s="176">
        <v>43164.756608796299</v>
      </c>
      <c r="AE249" s="176">
        <v>43164.756608796299</v>
      </c>
      <c r="AF249" s="175"/>
    </row>
    <row r="250" spans="1:32" x14ac:dyDescent="0.25">
      <c r="A250" s="174" t="s">
        <v>461</v>
      </c>
      <c r="B250" s="174" t="s">
        <v>1328</v>
      </c>
      <c r="C250" s="174" t="s">
        <v>463</v>
      </c>
      <c r="D250" s="174" t="s">
        <v>516</v>
      </c>
      <c r="E250" s="176">
        <v>43164</v>
      </c>
      <c r="F250" s="176">
        <v>43165</v>
      </c>
      <c r="G250" s="174" t="s">
        <v>1322</v>
      </c>
      <c r="H250" s="177" t="s">
        <v>466</v>
      </c>
      <c r="I250" s="174" t="s">
        <v>467</v>
      </c>
      <c r="J250" s="178">
        <v>251000000</v>
      </c>
      <c r="K250" s="178">
        <v>100.10478999999999</v>
      </c>
      <c r="L250" s="178">
        <v>2.6023866448000001</v>
      </c>
      <c r="M250" s="178">
        <v>251370448.17173913</v>
      </c>
      <c r="N250" s="174" t="s">
        <v>337</v>
      </c>
      <c r="O250" s="174" t="s">
        <v>468</v>
      </c>
      <c r="P250" s="174" t="s">
        <v>23</v>
      </c>
      <c r="Q250" s="174" t="s">
        <v>130</v>
      </c>
      <c r="R250" s="175"/>
      <c r="S250" s="175"/>
      <c r="T250" s="175"/>
      <c r="U250" s="175"/>
      <c r="V250" s="174" t="s">
        <v>469</v>
      </c>
      <c r="W250" s="174" t="s">
        <v>518</v>
      </c>
      <c r="X250" s="174" t="s">
        <v>24</v>
      </c>
      <c r="Y250" s="174"/>
      <c r="Z250" s="174" t="s">
        <v>794</v>
      </c>
      <c r="AA250" s="174" t="s">
        <v>483</v>
      </c>
      <c r="AB250" s="175"/>
      <c r="AC250" s="175"/>
      <c r="AD250" s="176">
        <v>43164.756620370368</v>
      </c>
      <c r="AE250" s="176">
        <v>43164.756620370368</v>
      </c>
      <c r="AF250" s="175"/>
    </row>
    <row r="251" spans="1:32" x14ac:dyDescent="0.25">
      <c r="A251" s="174" t="s">
        <v>461</v>
      </c>
      <c r="B251" s="174" t="s">
        <v>1329</v>
      </c>
      <c r="C251" s="174" t="s">
        <v>463</v>
      </c>
      <c r="D251" s="174" t="s">
        <v>516</v>
      </c>
      <c r="E251" s="176">
        <v>43164</v>
      </c>
      <c r="F251" s="176">
        <v>43165</v>
      </c>
      <c r="G251" s="174" t="s">
        <v>1322</v>
      </c>
      <c r="H251" s="177" t="s">
        <v>466</v>
      </c>
      <c r="I251" s="174" t="s">
        <v>524</v>
      </c>
      <c r="J251" s="178">
        <v>434000000</v>
      </c>
      <c r="K251" s="178">
        <v>99.657120000000006</v>
      </c>
      <c r="L251" s="178">
        <v>2.3709087718999999</v>
      </c>
      <c r="M251" s="178">
        <v>433024428.42430937</v>
      </c>
      <c r="N251" s="174" t="s">
        <v>337</v>
      </c>
      <c r="O251" s="174" t="s">
        <v>525</v>
      </c>
      <c r="P251" s="174" t="s">
        <v>23</v>
      </c>
      <c r="Q251" s="174" t="s">
        <v>130</v>
      </c>
      <c r="R251" s="175"/>
      <c r="S251" s="175"/>
      <c r="T251" s="175"/>
      <c r="U251" s="175"/>
      <c r="V251" s="174" t="s">
        <v>469</v>
      </c>
      <c r="W251" s="174" t="s">
        <v>518</v>
      </c>
      <c r="X251" s="174" t="s">
        <v>24</v>
      </c>
      <c r="Y251" s="174"/>
      <c r="Z251" s="174" t="s">
        <v>794</v>
      </c>
      <c r="AA251" s="174" t="s">
        <v>483</v>
      </c>
      <c r="AB251" s="175"/>
      <c r="AC251" s="175"/>
      <c r="AD251" s="176">
        <v>43164.756631944445</v>
      </c>
      <c r="AE251" s="176">
        <v>43164.756631944445</v>
      </c>
      <c r="AF251" s="175"/>
    </row>
    <row r="252" spans="1:32" x14ac:dyDescent="0.25">
      <c r="A252" s="174" t="s">
        <v>461</v>
      </c>
      <c r="B252" s="174" t="s">
        <v>1330</v>
      </c>
      <c r="C252" s="174" t="s">
        <v>463</v>
      </c>
      <c r="D252" s="174" t="s">
        <v>516</v>
      </c>
      <c r="E252" s="176">
        <v>43164</v>
      </c>
      <c r="F252" s="176">
        <v>43165</v>
      </c>
      <c r="G252" s="174" t="s">
        <v>1322</v>
      </c>
      <c r="H252" s="177" t="s">
        <v>466</v>
      </c>
      <c r="I252" s="174" t="s">
        <v>475</v>
      </c>
      <c r="J252" s="178">
        <v>80000000</v>
      </c>
      <c r="K252" s="178">
        <v>99.160300000000007</v>
      </c>
      <c r="L252" s="178">
        <v>2.8474212239000001</v>
      </c>
      <c r="M252" s="178">
        <v>79443709.613259673</v>
      </c>
      <c r="N252" s="174" t="s">
        <v>337</v>
      </c>
      <c r="O252" s="174" t="s">
        <v>476</v>
      </c>
      <c r="P252" s="174" t="s">
        <v>23</v>
      </c>
      <c r="Q252" s="174" t="s">
        <v>130</v>
      </c>
      <c r="R252" s="175"/>
      <c r="S252" s="175"/>
      <c r="T252" s="175"/>
      <c r="U252" s="175"/>
      <c r="V252" s="174" t="s">
        <v>469</v>
      </c>
      <c r="W252" s="174" t="s">
        <v>518</v>
      </c>
      <c r="X252" s="174" t="s">
        <v>24</v>
      </c>
      <c r="Y252" s="174"/>
      <c r="Z252" s="174" t="s">
        <v>794</v>
      </c>
      <c r="AA252" s="174" t="s">
        <v>483</v>
      </c>
      <c r="AB252" s="175"/>
      <c r="AC252" s="175"/>
      <c r="AD252" s="176">
        <v>43164.756643518522</v>
      </c>
      <c r="AE252" s="176">
        <v>43164.756643518522</v>
      </c>
      <c r="AF252" s="175"/>
    </row>
    <row r="253" spans="1:32" x14ac:dyDescent="0.25">
      <c r="A253" s="174" t="s">
        <v>461</v>
      </c>
      <c r="B253" s="174" t="s">
        <v>1331</v>
      </c>
      <c r="C253" s="174" t="s">
        <v>463</v>
      </c>
      <c r="D253" s="174" t="s">
        <v>516</v>
      </c>
      <c r="E253" s="176">
        <v>43164</v>
      </c>
      <c r="F253" s="176">
        <v>43165</v>
      </c>
      <c r="G253" s="174" t="s">
        <v>1322</v>
      </c>
      <c r="H253" s="177" t="s">
        <v>466</v>
      </c>
      <c r="I253" s="174" t="s">
        <v>475</v>
      </c>
      <c r="J253" s="178">
        <v>40000000</v>
      </c>
      <c r="K253" s="178">
        <v>99.014600000000002</v>
      </c>
      <c r="L253" s="178">
        <v>2.8644387309999999</v>
      </c>
      <c r="M253" s="178">
        <v>39663574.806629829</v>
      </c>
      <c r="N253" s="174" t="s">
        <v>337</v>
      </c>
      <c r="O253" s="174" t="s">
        <v>476</v>
      </c>
      <c r="P253" s="174" t="s">
        <v>23</v>
      </c>
      <c r="Q253" s="174" t="s">
        <v>130</v>
      </c>
      <c r="R253" s="175"/>
      <c r="S253" s="175"/>
      <c r="T253" s="175"/>
      <c r="U253" s="175"/>
      <c r="V253" s="174" t="s">
        <v>469</v>
      </c>
      <c r="W253" s="174" t="s">
        <v>518</v>
      </c>
      <c r="X253" s="174" t="s">
        <v>24</v>
      </c>
      <c r="Y253" s="174"/>
      <c r="Z253" s="174" t="s">
        <v>794</v>
      </c>
      <c r="AA253" s="174" t="s">
        <v>483</v>
      </c>
      <c r="AB253" s="175"/>
      <c r="AC253" s="175"/>
      <c r="AD253" s="176">
        <v>43164.756643518522</v>
      </c>
      <c r="AE253" s="176">
        <v>43164.756643518522</v>
      </c>
      <c r="AF253" s="175"/>
    </row>
    <row r="254" spans="1:32" x14ac:dyDescent="0.25">
      <c r="A254" s="174" t="s">
        <v>461</v>
      </c>
      <c r="B254" s="174" t="s">
        <v>1332</v>
      </c>
      <c r="C254" s="174" t="s">
        <v>463</v>
      </c>
      <c r="D254" s="174" t="s">
        <v>1148</v>
      </c>
      <c r="E254" s="176">
        <v>43164</v>
      </c>
      <c r="F254" s="176">
        <v>43165</v>
      </c>
      <c r="G254" s="174" t="s">
        <v>1322</v>
      </c>
      <c r="H254" s="177" t="s">
        <v>466</v>
      </c>
      <c r="I254" s="174" t="s">
        <v>644</v>
      </c>
      <c r="J254" s="178">
        <v>25000000</v>
      </c>
      <c r="K254" s="178">
        <v>97.34375</v>
      </c>
      <c r="L254" s="178">
        <v>3.1373850085999999</v>
      </c>
      <c r="M254" s="178">
        <v>24375302.140883978</v>
      </c>
      <c r="N254" s="174" t="s">
        <v>337</v>
      </c>
      <c r="O254" s="174" t="s">
        <v>645</v>
      </c>
      <c r="P254" s="174" t="s">
        <v>23</v>
      </c>
      <c r="Q254" s="174" t="s">
        <v>130</v>
      </c>
      <c r="R254" s="175"/>
      <c r="S254" s="175"/>
      <c r="T254" s="175"/>
      <c r="U254" s="175"/>
      <c r="V254" s="174" t="s">
        <v>469</v>
      </c>
      <c r="W254" s="174" t="s">
        <v>1149</v>
      </c>
      <c r="X254" s="174" t="s">
        <v>24</v>
      </c>
      <c r="Y254" s="174"/>
      <c r="Z254" s="174" t="s">
        <v>794</v>
      </c>
      <c r="AA254" s="174" t="s">
        <v>483</v>
      </c>
      <c r="AB254" s="175"/>
      <c r="AC254" s="175"/>
      <c r="AD254" s="176">
        <v>43164.756655092591</v>
      </c>
      <c r="AE254" s="176">
        <v>43164.756655092591</v>
      </c>
      <c r="AF254" s="175"/>
    </row>
    <row r="255" spans="1:32" x14ac:dyDescent="0.25">
      <c r="A255" s="174" t="s">
        <v>461</v>
      </c>
      <c r="B255" s="174" t="s">
        <v>1333</v>
      </c>
      <c r="C255" s="174" t="s">
        <v>463</v>
      </c>
      <c r="D255" s="174" t="s">
        <v>516</v>
      </c>
      <c r="E255" s="176">
        <v>43164</v>
      </c>
      <c r="F255" s="176">
        <v>43165</v>
      </c>
      <c r="G255" s="174" t="s">
        <v>1322</v>
      </c>
      <c r="H255" s="177" t="s">
        <v>466</v>
      </c>
      <c r="I255" s="174" t="s">
        <v>467</v>
      </c>
      <c r="J255" s="178">
        <v>25000000</v>
      </c>
      <c r="K255" s="178">
        <v>99.982730000000004</v>
      </c>
      <c r="L255" s="178">
        <v>2.6286618232999999</v>
      </c>
      <c r="M255" s="178">
        <v>25006382.228260871</v>
      </c>
      <c r="N255" s="174" t="s">
        <v>337</v>
      </c>
      <c r="O255" s="174" t="s">
        <v>468</v>
      </c>
      <c r="P255" s="174" t="s">
        <v>23</v>
      </c>
      <c r="Q255" s="174" t="s">
        <v>130</v>
      </c>
      <c r="R255" s="175"/>
      <c r="S255" s="175"/>
      <c r="T255" s="175"/>
      <c r="U255" s="175"/>
      <c r="V255" s="174" t="s">
        <v>469</v>
      </c>
      <c r="W255" s="174" t="s">
        <v>518</v>
      </c>
      <c r="X255" s="174" t="s">
        <v>24</v>
      </c>
      <c r="Y255" s="174"/>
      <c r="Z255" s="174" t="s">
        <v>794</v>
      </c>
      <c r="AA255" s="174" t="s">
        <v>483</v>
      </c>
      <c r="AB255" s="175"/>
      <c r="AC255" s="175"/>
      <c r="AD255" s="176">
        <v>43164.756655092591</v>
      </c>
      <c r="AE255" s="176">
        <v>43164.756655092591</v>
      </c>
      <c r="AF255" s="175"/>
    </row>
    <row r="256" spans="1:32" x14ac:dyDescent="0.25">
      <c r="A256" s="174" t="s">
        <v>461</v>
      </c>
      <c r="B256" s="174" t="s">
        <v>1334</v>
      </c>
      <c r="C256" s="174" t="s">
        <v>463</v>
      </c>
      <c r="D256" s="174" t="s">
        <v>516</v>
      </c>
      <c r="E256" s="176">
        <v>43164</v>
      </c>
      <c r="F256" s="176">
        <v>43165</v>
      </c>
      <c r="G256" s="174" t="s">
        <v>1322</v>
      </c>
      <c r="H256" s="177" t="s">
        <v>466</v>
      </c>
      <c r="I256" s="174" t="s">
        <v>524</v>
      </c>
      <c r="J256" s="178">
        <v>44000000</v>
      </c>
      <c r="K256" s="178">
        <v>99.59863</v>
      </c>
      <c r="L256" s="178">
        <v>2.3916189697000001</v>
      </c>
      <c r="M256" s="178">
        <v>43875358.525966853</v>
      </c>
      <c r="N256" s="174" t="s">
        <v>337</v>
      </c>
      <c r="O256" s="174" t="s">
        <v>525</v>
      </c>
      <c r="P256" s="174" t="s">
        <v>23</v>
      </c>
      <c r="Q256" s="174" t="s">
        <v>130</v>
      </c>
      <c r="R256" s="175"/>
      <c r="S256" s="175"/>
      <c r="T256" s="175"/>
      <c r="U256" s="175"/>
      <c r="V256" s="174" t="s">
        <v>469</v>
      </c>
      <c r="W256" s="174" t="s">
        <v>518</v>
      </c>
      <c r="X256" s="174" t="s">
        <v>24</v>
      </c>
      <c r="Y256" s="174"/>
      <c r="Z256" s="174" t="s">
        <v>794</v>
      </c>
      <c r="AA256" s="174" t="s">
        <v>483</v>
      </c>
      <c r="AB256" s="175"/>
      <c r="AC256" s="175"/>
      <c r="AD256" s="176">
        <v>43164.756666666668</v>
      </c>
      <c r="AE256" s="176">
        <v>43164.756666666668</v>
      </c>
      <c r="AF256" s="175"/>
    </row>
    <row r="257" spans="1:32" x14ac:dyDescent="0.25">
      <c r="A257" s="174" t="s">
        <v>461</v>
      </c>
      <c r="B257" s="174" t="s">
        <v>1335</v>
      </c>
      <c r="C257" s="174" t="s">
        <v>463</v>
      </c>
      <c r="D257" s="174" t="s">
        <v>1148</v>
      </c>
      <c r="E257" s="176">
        <v>43164</v>
      </c>
      <c r="F257" s="176">
        <v>43167</v>
      </c>
      <c r="G257" s="174" t="s">
        <v>1322</v>
      </c>
      <c r="H257" s="179" t="s">
        <v>486</v>
      </c>
      <c r="I257" s="174" t="s">
        <v>1083</v>
      </c>
      <c r="J257" s="178">
        <v>200000000</v>
      </c>
      <c r="K257" s="178">
        <v>99.076097000000004</v>
      </c>
      <c r="L257" s="178">
        <v>1.8275004396000001</v>
      </c>
      <c r="M257" s="178">
        <v>-198152194</v>
      </c>
      <c r="N257" s="174" t="s">
        <v>337</v>
      </c>
      <c r="O257" s="174" t="s">
        <v>1084</v>
      </c>
      <c r="P257" s="174" t="s">
        <v>23</v>
      </c>
      <c r="Q257" s="174" t="s">
        <v>130</v>
      </c>
      <c r="R257" s="175"/>
      <c r="S257" s="175"/>
      <c r="T257" s="175"/>
      <c r="U257" s="175"/>
      <c r="V257" s="174" t="s">
        <v>469</v>
      </c>
      <c r="W257" s="174" t="s">
        <v>1149</v>
      </c>
      <c r="X257" s="174" t="s">
        <v>24</v>
      </c>
      <c r="Y257" s="174"/>
      <c r="Z257" s="174" t="s">
        <v>794</v>
      </c>
      <c r="AA257" s="174" t="s">
        <v>483</v>
      </c>
      <c r="AB257" s="175"/>
      <c r="AC257" s="175"/>
      <c r="AD257" s="176">
        <v>43164.756678240738</v>
      </c>
      <c r="AE257" s="176">
        <v>43164.756678240738</v>
      </c>
      <c r="AF257" s="175"/>
    </row>
    <row r="258" spans="1:32" x14ac:dyDescent="0.25">
      <c r="A258" s="174" t="s">
        <v>461</v>
      </c>
      <c r="B258" s="174" t="s">
        <v>1345</v>
      </c>
      <c r="C258" s="174" t="s">
        <v>497</v>
      </c>
      <c r="D258" s="174" t="s">
        <v>946</v>
      </c>
      <c r="E258" s="176">
        <v>43164</v>
      </c>
      <c r="F258" s="176">
        <v>43166</v>
      </c>
      <c r="G258" s="174" t="s">
        <v>1346</v>
      </c>
      <c r="H258" s="177" t="s">
        <v>466</v>
      </c>
      <c r="I258" s="174" t="s">
        <v>1347</v>
      </c>
      <c r="J258" s="178">
        <v>50000000</v>
      </c>
      <c r="K258" s="178">
        <v>129.85</v>
      </c>
      <c r="L258" s="178">
        <v>-9.6305010905999993</v>
      </c>
      <c r="M258" s="178">
        <v>3176369.8630137001</v>
      </c>
      <c r="N258" s="174" t="s">
        <v>337</v>
      </c>
      <c r="O258" s="174" t="s">
        <v>1348</v>
      </c>
      <c r="P258" s="174" t="s">
        <v>23</v>
      </c>
      <c r="Q258" s="174" t="s">
        <v>130</v>
      </c>
      <c r="R258" s="175"/>
      <c r="S258" s="175"/>
      <c r="T258" s="175"/>
      <c r="U258" s="175"/>
      <c r="V258" s="174" t="s">
        <v>502</v>
      </c>
      <c r="W258" s="174" t="s">
        <v>951</v>
      </c>
      <c r="X258" s="174" t="s">
        <v>24</v>
      </c>
      <c r="Y258" s="174"/>
      <c r="Z258" s="174" t="s">
        <v>1349</v>
      </c>
      <c r="AA258" s="174" t="s">
        <v>483</v>
      </c>
      <c r="AB258" s="175"/>
      <c r="AC258" s="175"/>
      <c r="AD258" s="176">
        <v>43165.416087962964</v>
      </c>
      <c r="AE258" s="176">
        <v>43165.416087962964</v>
      </c>
      <c r="AF258" s="175"/>
    </row>
    <row r="259" spans="1:32" x14ac:dyDescent="0.25">
      <c r="A259" s="174" t="s">
        <v>461</v>
      </c>
      <c r="B259" s="174" t="s">
        <v>1350</v>
      </c>
      <c r="C259" s="174" t="s">
        <v>478</v>
      </c>
      <c r="D259" s="174" t="s">
        <v>600</v>
      </c>
      <c r="E259" s="176">
        <v>43164</v>
      </c>
      <c r="F259" s="176">
        <v>43165</v>
      </c>
      <c r="G259" s="174" t="s">
        <v>1351</v>
      </c>
      <c r="H259" s="179" t="s">
        <v>486</v>
      </c>
      <c r="I259" s="174" t="s">
        <v>543</v>
      </c>
      <c r="J259" s="178">
        <v>4000000</v>
      </c>
      <c r="K259" s="178">
        <v>92.765625</v>
      </c>
      <c r="L259" s="178">
        <v>3.1255736163000001</v>
      </c>
      <c r="M259" s="178">
        <v>-3744354.2817679602</v>
      </c>
      <c r="N259" s="174" t="s">
        <v>337</v>
      </c>
      <c r="O259" s="174" t="s">
        <v>544</v>
      </c>
      <c r="P259" s="174" t="s">
        <v>22</v>
      </c>
      <c r="Q259" s="174" t="s">
        <v>129</v>
      </c>
      <c r="R259" s="174" t="s">
        <v>1352</v>
      </c>
      <c r="S259" s="174" t="s">
        <v>132</v>
      </c>
      <c r="T259" s="175"/>
      <c r="U259" s="175"/>
      <c r="V259" s="174" t="s">
        <v>469</v>
      </c>
      <c r="W259" s="174" t="s">
        <v>604</v>
      </c>
      <c r="X259" s="174" t="s">
        <v>22</v>
      </c>
      <c r="Y259" s="174"/>
      <c r="Z259" s="175"/>
      <c r="AA259" s="174" t="s">
        <v>512</v>
      </c>
      <c r="AB259" s="176">
        <v>43164.435173611113</v>
      </c>
      <c r="AC259" s="174" t="s">
        <v>1352</v>
      </c>
      <c r="AD259" s="176">
        <v>43164.429594907408</v>
      </c>
      <c r="AE259" s="176">
        <v>43164.429664351854</v>
      </c>
      <c r="AF259" s="175"/>
    </row>
    <row r="260" spans="1:32" x14ac:dyDescent="0.25">
      <c r="A260" s="174" t="s">
        <v>484</v>
      </c>
      <c r="B260" s="174" t="s">
        <v>1353</v>
      </c>
      <c r="C260" s="174" t="s">
        <v>478</v>
      </c>
      <c r="D260" s="174" t="s">
        <v>600</v>
      </c>
      <c r="E260" s="176">
        <v>43164</v>
      </c>
      <c r="F260" s="176">
        <v>43166</v>
      </c>
      <c r="G260" s="174" t="s">
        <v>1351</v>
      </c>
      <c r="H260" s="177" t="s">
        <v>466</v>
      </c>
      <c r="I260" s="174" t="s">
        <v>1354</v>
      </c>
      <c r="J260" s="178">
        <v>5000000</v>
      </c>
      <c r="K260" s="178">
        <v>99.757000000000005</v>
      </c>
      <c r="L260" s="178">
        <v>5.4159836892</v>
      </c>
      <c r="M260" s="178">
        <v>5145350</v>
      </c>
      <c r="N260" s="174" t="s">
        <v>337</v>
      </c>
      <c r="O260" s="174" t="s">
        <v>1355</v>
      </c>
      <c r="P260" s="174" t="s">
        <v>22</v>
      </c>
      <c r="Q260" s="174" t="s">
        <v>129</v>
      </c>
      <c r="R260" s="174" t="s">
        <v>1356</v>
      </c>
      <c r="S260" s="174" t="s">
        <v>132</v>
      </c>
      <c r="T260" s="175"/>
      <c r="U260" s="175"/>
      <c r="V260" s="174" t="s">
        <v>489</v>
      </c>
      <c r="W260" s="174" t="s">
        <v>604</v>
      </c>
      <c r="X260" s="174" t="s">
        <v>22</v>
      </c>
      <c r="Y260" s="174"/>
      <c r="Z260" s="175"/>
      <c r="AA260" s="174" t="s">
        <v>512</v>
      </c>
      <c r="AB260" s="176">
        <v>43164.435173611113</v>
      </c>
      <c r="AC260" s="174" t="s">
        <v>1356</v>
      </c>
      <c r="AD260" s="176">
        <v>43164.429618055554</v>
      </c>
      <c r="AE260" s="176">
        <v>43164.4296875</v>
      </c>
      <c r="AF260" s="175"/>
    </row>
    <row r="261" spans="1:32" x14ac:dyDescent="0.25">
      <c r="A261" s="174" t="s">
        <v>484</v>
      </c>
      <c r="B261" s="174" t="s">
        <v>1357</v>
      </c>
      <c r="C261" s="174" t="s">
        <v>478</v>
      </c>
      <c r="D261" s="174" t="s">
        <v>846</v>
      </c>
      <c r="E261" s="176">
        <v>43164</v>
      </c>
      <c r="F261" s="176">
        <v>43166</v>
      </c>
      <c r="G261" s="174" t="s">
        <v>1351</v>
      </c>
      <c r="H261" s="179" t="s">
        <v>486</v>
      </c>
      <c r="I261" s="174" t="s">
        <v>1358</v>
      </c>
      <c r="J261" s="178">
        <v>6000000</v>
      </c>
      <c r="K261" s="178">
        <v>95.75</v>
      </c>
      <c r="L261" s="178">
        <v>17.344349161699999</v>
      </c>
      <c r="M261" s="178">
        <v>-5988666.6666666698</v>
      </c>
      <c r="N261" s="174" t="s">
        <v>337</v>
      </c>
      <c r="O261" s="174" t="s">
        <v>1359</v>
      </c>
      <c r="P261" s="174" t="s">
        <v>22</v>
      </c>
      <c r="Q261" s="174" t="s">
        <v>129</v>
      </c>
      <c r="R261" s="174" t="s">
        <v>1360</v>
      </c>
      <c r="S261" s="174" t="s">
        <v>132</v>
      </c>
      <c r="T261" s="175"/>
      <c r="U261" s="175"/>
      <c r="V261" s="174" t="s">
        <v>489</v>
      </c>
      <c r="W261" s="174" t="s">
        <v>851</v>
      </c>
      <c r="X261" s="174" t="s">
        <v>22</v>
      </c>
      <c r="Y261" s="174"/>
      <c r="Z261" s="175"/>
      <c r="AA261" s="174" t="s">
        <v>742</v>
      </c>
      <c r="AB261" s="176">
        <v>43164.675798611112</v>
      </c>
      <c r="AC261" s="174" t="s">
        <v>1360</v>
      </c>
      <c r="AD261" s="176">
        <v>43164.671631944446</v>
      </c>
      <c r="AE261" s="176">
        <v>43164.671631944446</v>
      </c>
      <c r="AF261" s="175"/>
    </row>
    <row r="262" spans="1:32" x14ac:dyDescent="0.25">
      <c r="A262" s="174" t="s">
        <v>461</v>
      </c>
      <c r="B262" s="174" t="s">
        <v>1361</v>
      </c>
      <c r="C262" s="174" t="s">
        <v>566</v>
      </c>
      <c r="D262" s="174" t="s">
        <v>1362</v>
      </c>
      <c r="E262" s="176">
        <v>43164</v>
      </c>
      <c r="F262" s="176">
        <v>43166</v>
      </c>
      <c r="G262" s="174" t="s">
        <v>1363</v>
      </c>
      <c r="H262" s="177" t="s">
        <v>466</v>
      </c>
      <c r="I262" s="174" t="s">
        <v>1364</v>
      </c>
      <c r="J262" s="178">
        <v>10800000</v>
      </c>
      <c r="K262" s="178">
        <v>107.7162</v>
      </c>
      <c r="L262" s="178">
        <v>-5.76616026E-2</v>
      </c>
      <c r="M262" s="178">
        <v>11642226.312328769</v>
      </c>
      <c r="N262" s="174" t="s">
        <v>386</v>
      </c>
      <c r="O262" s="174" t="s">
        <v>1365</v>
      </c>
      <c r="P262" s="174" t="s">
        <v>22</v>
      </c>
      <c r="Q262" s="174" t="s">
        <v>129</v>
      </c>
      <c r="R262" s="174" t="s">
        <v>1366</v>
      </c>
      <c r="S262" s="174" t="s">
        <v>132</v>
      </c>
      <c r="T262" s="175"/>
      <c r="U262" s="175"/>
      <c r="V262" s="174" t="s">
        <v>575</v>
      </c>
      <c r="W262" s="174" t="s">
        <v>1367</v>
      </c>
      <c r="X262" s="174" t="s">
        <v>22</v>
      </c>
      <c r="Y262" s="174"/>
      <c r="Z262" s="175"/>
      <c r="AA262" s="174" t="s">
        <v>512</v>
      </c>
      <c r="AB262" s="176">
        <v>43164.211226851854</v>
      </c>
      <c r="AC262" s="174" t="s">
        <v>1366</v>
      </c>
      <c r="AD262" s="176">
        <v>43164.205648148149</v>
      </c>
      <c r="AE262" s="176">
        <v>43164.205706018518</v>
      </c>
      <c r="AF262" s="175"/>
    </row>
    <row r="263" spans="1:32" x14ac:dyDescent="0.25">
      <c r="A263" s="174" t="s">
        <v>484</v>
      </c>
      <c r="B263" s="174" t="s">
        <v>1368</v>
      </c>
      <c r="C263" s="174" t="s">
        <v>478</v>
      </c>
      <c r="D263" s="174" t="s">
        <v>590</v>
      </c>
      <c r="E263" s="176">
        <v>43164</v>
      </c>
      <c r="F263" s="176">
        <v>43166</v>
      </c>
      <c r="G263" s="174" t="s">
        <v>1363</v>
      </c>
      <c r="H263" s="179" t="s">
        <v>486</v>
      </c>
      <c r="I263" s="174" t="s">
        <v>1185</v>
      </c>
      <c r="J263" s="178">
        <v>3000000</v>
      </c>
      <c r="K263" s="178">
        <v>97</v>
      </c>
      <c r="L263" s="178">
        <v>11.6342897657</v>
      </c>
      <c r="M263" s="178">
        <v>-3028333.3333333298</v>
      </c>
      <c r="N263" s="174" t="s">
        <v>337</v>
      </c>
      <c r="O263" s="174" t="s">
        <v>1186</v>
      </c>
      <c r="P263" s="174" t="s">
        <v>22</v>
      </c>
      <c r="Q263" s="174" t="s">
        <v>129</v>
      </c>
      <c r="R263" s="174" t="s">
        <v>1369</v>
      </c>
      <c r="S263" s="174" t="s">
        <v>132</v>
      </c>
      <c r="T263" s="175"/>
      <c r="U263" s="175"/>
      <c r="V263" s="174" t="s">
        <v>489</v>
      </c>
      <c r="W263" s="174" t="s">
        <v>594</v>
      </c>
      <c r="X263" s="174" t="s">
        <v>22</v>
      </c>
      <c r="Y263" s="174"/>
      <c r="Z263" s="175"/>
      <c r="AA263" s="174" t="s">
        <v>512</v>
      </c>
      <c r="AB263" s="176">
        <v>43164.38354166667</v>
      </c>
      <c r="AC263" s="174" t="s">
        <v>1369</v>
      </c>
      <c r="AD263" s="176">
        <v>43164.378067129626</v>
      </c>
      <c r="AE263" s="176">
        <v>43164.378113425926</v>
      </c>
      <c r="AF263" s="175"/>
    </row>
    <row r="264" spans="1:32" x14ac:dyDescent="0.25">
      <c r="A264" s="174" t="s">
        <v>461</v>
      </c>
      <c r="B264" s="174" t="s">
        <v>1370</v>
      </c>
      <c r="C264" s="174" t="s">
        <v>566</v>
      </c>
      <c r="D264" s="174" t="s">
        <v>846</v>
      </c>
      <c r="E264" s="176">
        <v>43164</v>
      </c>
      <c r="F264" s="176">
        <v>43166</v>
      </c>
      <c r="G264" s="174" t="s">
        <v>1363</v>
      </c>
      <c r="H264" s="179" t="s">
        <v>486</v>
      </c>
      <c r="I264" s="174" t="s">
        <v>572</v>
      </c>
      <c r="J264" s="178">
        <v>10000000</v>
      </c>
      <c r="K264" s="178">
        <v>100.55</v>
      </c>
      <c r="L264" s="178">
        <v>-0.1195222747</v>
      </c>
      <c r="M264" s="178">
        <v>-10055000</v>
      </c>
      <c r="N264" s="174" t="s">
        <v>386</v>
      </c>
      <c r="O264" s="174" t="s">
        <v>573</v>
      </c>
      <c r="P264" s="174" t="s">
        <v>22</v>
      </c>
      <c r="Q264" s="174" t="s">
        <v>129</v>
      </c>
      <c r="R264" s="174" t="s">
        <v>1371</v>
      </c>
      <c r="S264" s="174" t="s">
        <v>132</v>
      </c>
      <c r="T264" s="175"/>
      <c r="U264" s="175"/>
      <c r="V264" s="174" t="s">
        <v>575</v>
      </c>
      <c r="W264" s="174" t="s">
        <v>851</v>
      </c>
      <c r="X264" s="174" t="s">
        <v>22</v>
      </c>
      <c r="Y264" s="174"/>
      <c r="Z264" s="175"/>
      <c r="AA264" s="174" t="s">
        <v>742</v>
      </c>
      <c r="AB264" s="176">
        <v>43164.390046296299</v>
      </c>
      <c r="AC264" s="174" t="s">
        <v>1371</v>
      </c>
      <c r="AD264" s="176">
        <v>43164.388298611113</v>
      </c>
      <c r="AE264" s="176">
        <v>43164.388298611113</v>
      </c>
      <c r="AF264" s="175"/>
    </row>
    <row r="265" spans="1:32" x14ac:dyDescent="0.25">
      <c r="A265" s="174" t="s">
        <v>484</v>
      </c>
      <c r="B265" s="174" t="s">
        <v>1372</v>
      </c>
      <c r="C265" s="174" t="s">
        <v>566</v>
      </c>
      <c r="D265" s="174" t="s">
        <v>846</v>
      </c>
      <c r="E265" s="176">
        <v>43164</v>
      </c>
      <c r="F265" s="176">
        <v>43166</v>
      </c>
      <c r="G265" s="174" t="s">
        <v>1363</v>
      </c>
      <c r="H265" s="177" t="s">
        <v>466</v>
      </c>
      <c r="I265" s="174" t="s">
        <v>567</v>
      </c>
      <c r="J265" s="178">
        <v>10000000</v>
      </c>
      <c r="K265" s="178">
        <v>99.01</v>
      </c>
      <c r="L265" s="178">
        <v>1.2104810253</v>
      </c>
      <c r="M265" s="178">
        <v>9914150.6849315111</v>
      </c>
      <c r="N265" s="174" t="s">
        <v>386</v>
      </c>
      <c r="O265" s="174" t="s">
        <v>568</v>
      </c>
      <c r="P265" s="174" t="s">
        <v>22</v>
      </c>
      <c r="Q265" s="174" t="s">
        <v>129</v>
      </c>
      <c r="R265" s="174" t="s">
        <v>1373</v>
      </c>
      <c r="S265" s="174" t="s">
        <v>132</v>
      </c>
      <c r="T265" s="175"/>
      <c r="U265" s="175"/>
      <c r="V265" s="174" t="s">
        <v>570</v>
      </c>
      <c r="W265" s="174" t="s">
        <v>851</v>
      </c>
      <c r="X265" s="174" t="s">
        <v>22</v>
      </c>
      <c r="Y265" s="174"/>
      <c r="Z265" s="175"/>
      <c r="AA265" s="174" t="s">
        <v>742</v>
      </c>
      <c r="AB265" s="176">
        <v>43164.390046296299</v>
      </c>
      <c r="AC265" s="174" t="s">
        <v>1373</v>
      </c>
      <c r="AD265" s="176">
        <v>43164.388356481482</v>
      </c>
      <c r="AE265" s="176">
        <v>43164.388356481482</v>
      </c>
      <c r="AF265" s="175"/>
    </row>
    <row r="266" spans="1:32" x14ac:dyDescent="0.25">
      <c r="A266" s="174" t="s">
        <v>461</v>
      </c>
      <c r="B266" s="174" t="s">
        <v>1374</v>
      </c>
      <c r="C266" s="174" t="s">
        <v>497</v>
      </c>
      <c r="D266" s="174" t="s">
        <v>1057</v>
      </c>
      <c r="E266" s="176">
        <v>43164</v>
      </c>
      <c r="F266" s="176">
        <v>43166</v>
      </c>
      <c r="G266" s="174" t="s">
        <v>1363</v>
      </c>
      <c r="H266" s="177" t="s">
        <v>466</v>
      </c>
      <c r="I266" s="174" t="s">
        <v>1375</v>
      </c>
      <c r="J266" s="178">
        <v>7200000</v>
      </c>
      <c r="K266" s="178">
        <v>100.241</v>
      </c>
      <c r="L266" s="178">
        <v>-0.14583902009999999</v>
      </c>
      <c r="M266" s="178">
        <v>7217352</v>
      </c>
      <c r="N266" s="174" t="s">
        <v>386</v>
      </c>
      <c r="O266" s="174" t="s">
        <v>1376</v>
      </c>
      <c r="P266" s="174" t="s">
        <v>22</v>
      </c>
      <c r="Q266" s="174" t="s">
        <v>129</v>
      </c>
      <c r="R266" s="174" t="s">
        <v>1377</v>
      </c>
      <c r="S266" s="174" t="s">
        <v>132</v>
      </c>
      <c r="T266" s="175"/>
      <c r="U266" s="175"/>
      <c r="V266" s="174" t="s">
        <v>1062</v>
      </c>
      <c r="W266" s="174" t="s">
        <v>1063</v>
      </c>
      <c r="X266" s="174" t="s">
        <v>22</v>
      </c>
      <c r="Y266" s="174"/>
      <c r="Z266" s="175"/>
      <c r="AA266" s="174" t="s">
        <v>1378</v>
      </c>
      <c r="AB266" s="176">
        <v>43164.331747685188</v>
      </c>
      <c r="AC266" s="174" t="s">
        <v>1377</v>
      </c>
      <c r="AD266" s="176">
        <v>43164.414409722223</v>
      </c>
      <c r="AE266" s="176">
        <v>43164.414409722223</v>
      </c>
      <c r="AF266" s="175"/>
    </row>
    <row r="267" spans="1:32" x14ac:dyDescent="0.25">
      <c r="A267" s="174" t="s">
        <v>461</v>
      </c>
      <c r="B267" s="174" t="s">
        <v>1379</v>
      </c>
      <c r="C267" s="174" t="s">
        <v>463</v>
      </c>
      <c r="D267" s="174" t="s">
        <v>806</v>
      </c>
      <c r="E267" s="176">
        <v>43164</v>
      </c>
      <c r="F267" s="176">
        <v>43165</v>
      </c>
      <c r="G267" s="174" t="s">
        <v>1363</v>
      </c>
      <c r="H267" s="177" t="s">
        <v>466</v>
      </c>
      <c r="I267" s="174" t="s">
        <v>524</v>
      </c>
      <c r="J267" s="178">
        <v>11000000</v>
      </c>
      <c r="K267" s="178">
        <v>99.647931259999993</v>
      </c>
      <c r="L267" s="178">
        <v>2.3741613717000001</v>
      </c>
      <c r="M267" s="178">
        <v>10974262.770091711</v>
      </c>
      <c r="N267" s="174" t="s">
        <v>337</v>
      </c>
      <c r="O267" s="174" t="s">
        <v>525</v>
      </c>
      <c r="P267" s="174" t="s">
        <v>22</v>
      </c>
      <c r="Q267" s="174" t="s">
        <v>129</v>
      </c>
      <c r="R267" s="174" t="s">
        <v>1380</v>
      </c>
      <c r="S267" s="174" t="s">
        <v>132</v>
      </c>
      <c r="T267" s="175"/>
      <c r="U267" s="175"/>
      <c r="V267" s="174" t="s">
        <v>469</v>
      </c>
      <c r="W267" s="174" t="s">
        <v>809</v>
      </c>
      <c r="X267" s="174" t="s">
        <v>22</v>
      </c>
      <c r="Y267" s="174"/>
      <c r="Z267" s="175"/>
      <c r="AA267" s="174" t="s">
        <v>512</v>
      </c>
      <c r="AB267" s="176">
        <v>43164.435173611113</v>
      </c>
      <c r="AC267" s="174" t="s">
        <v>1380</v>
      </c>
      <c r="AD267" s="176">
        <v>43164.429351851853</v>
      </c>
      <c r="AE267" s="176">
        <v>43164.429398148146</v>
      </c>
      <c r="AF267" s="175"/>
    </row>
    <row r="268" spans="1:32" x14ac:dyDescent="0.25">
      <c r="A268" s="174" t="s">
        <v>461</v>
      </c>
      <c r="B268" s="174" t="s">
        <v>1381</v>
      </c>
      <c r="C268" s="174" t="s">
        <v>463</v>
      </c>
      <c r="D268" s="174" t="s">
        <v>806</v>
      </c>
      <c r="E268" s="176">
        <v>43164</v>
      </c>
      <c r="F268" s="176">
        <v>43165</v>
      </c>
      <c r="G268" s="174" t="s">
        <v>1363</v>
      </c>
      <c r="H268" s="179" t="s">
        <v>486</v>
      </c>
      <c r="I268" s="174" t="s">
        <v>508</v>
      </c>
      <c r="J268" s="178">
        <v>10000000</v>
      </c>
      <c r="K268" s="178">
        <v>99.90625</v>
      </c>
      <c r="L268" s="178">
        <v>2.7648070224999999</v>
      </c>
      <c r="M268" s="178">
        <v>-9995108.6956521701</v>
      </c>
      <c r="N268" s="174" t="s">
        <v>337</v>
      </c>
      <c r="O268" s="174" t="s">
        <v>509</v>
      </c>
      <c r="P268" s="174" t="s">
        <v>22</v>
      </c>
      <c r="Q268" s="174" t="s">
        <v>129</v>
      </c>
      <c r="R268" s="174" t="s">
        <v>1382</v>
      </c>
      <c r="S268" s="174" t="s">
        <v>132</v>
      </c>
      <c r="T268" s="175"/>
      <c r="U268" s="175"/>
      <c r="V268" s="174" t="s">
        <v>469</v>
      </c>
      <c r="W268" s="174" t="s">
        <v>809</v>
      </c>
      <c r="X268" s="174" t="s">
        <v>22</v>
      </c>
      <c r="Y268" s="174"/>
      <c r="Z268" s="175"/>
      <c r="AA268" s="174" t="s">
        <v>512</v>
      </c>
      <c r="AB268" s="176">
        <v>43164.435173611113</v>
      </c>
      <c r="AC268" s="174" t="s">
        <v>1382</v>
      </c>
      <c r="AD268" s="176">
        <v>43164.429444444446</v>
      </c>
      <c r="AE268" s="176">
        <v>43164.429513888892</v>
      </c>
      <c r="AF268" s="175"/>
    </row>
    <row r="269" spans="1:32" x14ac:dyDescent="0.25">
      <c r="A269" s="174" t="s">
        <v>461</v>
      </c>
      <c r="B269" s="174" t="s">
        <v>1383</v>
      </c>
      <c r="C269" s="174" t="s">
        <v>463</v>
      </c>
      <c r="D269" s="174" t="s">
        <v>806</v>
      </c>
      <c r="E269" s="176">
        <v>43164</v>
      </c>
      <c r="F269" s="176">
        <v>43165</v>
      </c>
      <c r="G269" s="174" t="s">
        <v>1363</v>
      </c>
      <c r="H269" s="177" t="s">
        <v>466</v>
      </c>
      <c r="I269" s="174" t="s">
        <v>475</v>
      </c>
      <c r="J269" s="178">
        <v>4000000</v>
      </c>
      <c r="K269" s="178">
        <v>99.21875</v>
      </c>
      <c r="L269" s="178">
        <v>2.8406023789999999</v>
      </c>
      <c r="M269" s="178">
        <v>3974523.4806629801</v>
      </c>
      <c r="N269" s="174" t="s">
        <v>337</v>
      </c>
      <c r="O269" s="174" t="s">
        <v>476</v>
      </c>
      <c r="P269" s="174" t="s">
        <v>22</v>
      </c>
      <c r="Q269" s="174" t="s">
        <v>129</v>
      </c>
      <c r="R269" s="174" t="s">
        <v>1384</v>
      </c>
      <c r="S269" s="174" t="s">
        <v>132</v>
      </c>
      <c r="T269" s="175"/>
      <c r="U269" s="175"/>
      <c r="V269" s="174" t="s">
        <v>469</v>
      </c>
      <c r="W269" s="174" t="s">
        <v>809</v>
      </c>
      <c r="X269" s="174" t="s">
        <v>22</v>
      </c>
      <c r="Y269" s="174"/>
      <c r="Z269" s="175"/>
      <c r="AA269" s="174" t="s">
        <v>512</v>
      </c>
      <c r="AB269" s="176">
        <v>43164.435173611113</v>
      </c>
      <c r="AC269" s="174" t="s">
        <v>1384</v>
      </c>
      <c r="AD269" s="176">
        <v>43164.429537037038</v>
      </c>
      <c r="AE269" s="176">
        <v>43164.429594907408</v>
      </c>
      <c r="AF269" s="175"/>
    </row>
    <row r="270" spans="1:32" x14ac:dyDescent="0.25">
      <c r="A270" s="174" t="s">
        <v>461</v>
      </c>
      <c r="B270" s="174" t="s">
        <v>1385</v>
      </c>
      <c r="C270" s="174" t="s">
        <v>463</v>
      </c>
      <c r="D270" s="174" t="s">
        <v>806</v>
      </c>
      <c r="E270" s="176">
        <v>43164</v>
      </c>
      <c r="F270" s="176">
        <v>43165</v>
      </c>
      <c r="G270" s="174" t="s">
        <v>1363</v>
      </c>
      <c r="H270" s="177" t="s">
        <v>466</v>
      </c>
      <c r="I270" s="174" t="s">
        <v>524</v>
      </c>
      <c r="J270" s="178">
        <v>11000000</v>
      </c>
      <c r="K270" s="178">
        <v>99.648327629999997</v>
      </c>
      <c r="L270" s="178">
        <v>2.3740210585999999</v>
      </c>
      <c r="M270" s="178">
        <v>10974306.370791711</v>
      </c>
      <c r="N270" s="174" t="s">
        <v>337</v>
      </c>
      <c r="O270" s="174" t="s">
        <v>525</v>
      </c>
      <c r="P270" s="174" t="s">
        <v>22</v>
      </c>
      <c r="Q270" s="174" t="s">
        <v>129</v>
      </c>
      <c r="R270" s="174" t="s">
        <v>1386</v>
      </c>
      <c r="S270" s="174" t="s">
        <v>132</v>
      </c>
      <c r="T270" s="175"/>
      <c r="U270" s="175"/>
      <c r="V270" s="174" t="s">
        <v>469</v>
      </c>
      <c r="W270" s="174" t="s">
        <v>809</v>
      </c>
      <c r="X270" s="174" t="s">
        <v>22</v>
      </c>
      <c r="Y270" s="174"/>
      <c r="Z270" s="175"/>
      <c r="AA270" s="174" t="s">
        <v>512</v>
      </c>
      <c r="AB270" s="176">
        <v>43164.44158564815</v>
      </c>
      <c r="AC270" s="174" t="s">
        <v>1386</v>
      </c>
      <c r="AD270" s="176">
        <v>43164.43959490741</v>
      </c>
      <c r="AE270" s="176">
        <v>43164.439641203702</v>
      </c>
      <c r="AF270" s="175"/>
    </row>
    <row r="271" spans="1:32" x14ac:dyDescent="0.25">
      <c r="A271" s="174" t="s">
        <v>461</v>
      </c>
      <c r="B271" s="174" t="s">
        <v>1387</v>
      </c>
      <c r="C271" s="174" t="s">
        <v>463</v>
      </c>
      <c r="D271" s="174" t="s">
        <v>806</v>
      </c>
      <c r="E271" s="176">
        <v>43164</v>
      </c>
      <c r="F271" s="176">
        <v>43165</v>
      </c>
      <c r="G271" s="174" t="s">
        <v>1363</v>
      </c>
      <c r="H271" s="179" t="s">
        <v>486</v>
      </c>
      <c r="I271" s="174" t="s">
        <v>508</v>
      </c>
      <c r="J271" s="178">
        <v>10000000</v>
      </c>
      <c r="K271" s="178">
        <v>99.890625</v>
      </c>
      <c r="L271" s="178">
        <v>2.7672841971</v>
      </c>
      <c r="M271" s="178">
        <v>-9993546.1956521701</v>
      </c>
      <c r="N271" s="174" t="s">
        <v>337</v>
      </c>
      <c r="O271" s="174" t="s">
        <v>509</v>
      </c>
      <c r="P271" s="174" t="s">
        <v>22</v>
      </c>
      <c r="Q271" s="174" t="s">
        <v>129</v>
      </c>
      <c r="R271" s="174" t="s">
        <v>1388</v>
      </c>
      <c r="S271" s="174" t="s">
        <v>132</v>
      </c>
      <c r="T271" s="175"/>
      <c r="U271" s="175"/>
      <c r="V271" s="174" t="s">
        <v>469</v>
      </c>
      <c r="W271" s="174" t="s">
        <v>809</v>
      </c>
      <c r="X271" s="174" t="s">
        <v>22</v>
      </c>
      <c r="Y271" s="174"/>
      <c r="Z271" s="175"/>
      <c r="AA271" s="174" t="s">
        <v>512</v>
      </c>
      <c r="AB271" s="176">
        <v>43164.44158564815</v>
      </c>
      <c r="AC271" s="174" t="s">
        <v>1388</v>
      </c>
      <c r="AD271" s="176">
        <v>43164.439687500002</v>
      </c>
      <c r="AE271" s="176">
        <v>43164.439756944441</v>
      </c>
      <c r="AF271" s="175"/>
    </row>
    <row r="272" spans="1:32" x14ac:dyDescent="0.25">
      <c r="A272" s="174" t="s">
        <v>461</v>
      </c>
      <c r="B272" s="174" t="s">
        <v>1389</v>
      </c>
      <c r="C272" s="174" t="s">
        <v>463</v>
      </c>
      <c r="D272" s="174" t="s">
        <v>806</v>
      </c>
      <c r="E272" s="176">
        <v>43164</v>
      </c>
      <c r="F272" s="176">
        <v>43165</v>
      </c>
      <c r="G272" s="174" t="s">
        <v>1363</v>
      </c>
      <c r="H272" s="177" t="s">
        <v>466</v>
      </c>
      <c r="I272" s="174" t="s">
        <v>475</v>
      </c>
      <c r="J272" s="178">
        <v>4000000</v>
      </c>
      <c r="K272" s="178">
        <v>99.1875</v>
      </c>
      <c r="L272" s="178">
        <v>2.8442474702</v>
      </c>
      <c r="M272" s="178">
        <v>3973273.4806629801</v>
      </c>
      <c r="N272" s="174" t="s">
        <v>337</v>
      </c>
      <c r="O272" s="174" t="s">
        <v>476</v>
      </c>
      <c r="P272" s="174" t="s">
        <v>22</v>
      </c>
      <c r="Q272" s="174" t="s">
        <v>129</v>
      </c>
      <c r="R272" s="174" t="s">
        <v>1390</v>
      </c>
      <c r="S272" s="174" t="s">
        <v>132</v>
      </c>
      <c r="T272" s="175"/>
      <c r="U272" s="175"/>
      <c r="V272" s="174" t="s">
        <v>469</v>
      </c>
      <c r="W272" s="174" t="s">
        <v>809</v>
      </c>
      <c r="X272" s="174" t="s">
        <v>22</v>
      </c>
      <c r="Y272" s="174"/>
      <c r="Z272" s="175"/>
      <c r="AA272" s="174" t="s">
        <v>512</v>
      </c>
      <c r="AB272" s="176">
        <v>43164.44158564815</v>
      </c>
      <c r="AC272" s="174" t="s">
        <v>1390</v>
      </c>
      <c r="AD272" s="176">
        <v>43164.439780092594</v>
      </c>
      <c r="AE272" s="176">
        <v>43164.439837962964</v>
      </c>
      <c r="AF272" s="175"/>
    </row>
    <row r="273" spans="1:32" x14ac:dyDescent="0.25">
      <c r="A273" s="174" t="s">
        <v>461</v>
      </c>
      <c r="B273" s="174" t="s">
        <v>1391</v>
      </c>
      <c r="C273" s="174" t="s">
        <v>478</v>
      </c>
      <c r="D273" s="174" t="s">
        <v>600</v>
      </c>
      <c r="E273" s="176">
        <v>43164</v>
      </c>
      <c r="F273" s="176">
        <v>43165</v>
      </c>
      <c r="G273" s="174" t="s">
        <v>1363</v>
      </c>
      <c r="H273" s="177" t="s">
        <v>466</v>
      </c>
      <c r="I273" s="174" t="s">
        <v>475</v>
      </c>
      <c r="J273" s="178">
        <v>4150000</v>
      </c>
      <c r="K273" s="178">
        <v>99.1640625</v>
      </c>
      <c r="L273" s="178">
        <v>2.8469821482</v>
      </c>
      <c r="M273" s="178">
        <v>4121298.5799378497</v>
      </c>
      <c r="N273" s="174" t="s">
        <v>337</v>
      </c>
      <c r="O273" s="174" t="s">
        <v>476</v>
      </c>
      <c r="P273" s="174" t="s">
        <v>22</v>
      </c>
      <c r="Q273" s="174" t="s">
        <v>129</v>
      </c>
      <c r="R273" s="174" t="s">
        <v>1392</v>
      </c>
      <c r="S273" s="174" t="s">
        <v>132</v>
      </c>
      <c r="T273" s="175"/>
      <c r="U273" s="175"/>
      <c r="V273" s="174" t="s">
        <v>469</v>
      </c>
      <c r="W273" s="174" t="s">
        <v>604</v>
      </c>
      <c r="X273" s="174" t="s">
        <v>22</v>
      </c>
      <c r="Y273" s="174"/>
      <c r="Z273" s="175"/>
      <c r="AA273" s="174" t="s">
        <v>969</v>
      </c>
      <c r="AB273" s="176">
        <v>43164.448148148149</v>
      </c>
      <c r="AC273" s="174" t="s">
        <v>1392</v>
      </c>
      <c r="AD273" s="176">
        <v>43164.480069444442</v>
      </c>
      <c r="AE273" s="176">
        <v>43164.480069444442</v>
      </c>
      <c r="AF273" s="175"/>
    </row>
    <row r="274" spans="1:32" x14ac:dyDescent="0.25">
      <c r="A274" s="174" t="s">
        <v>461</v>
      </c>
      <c r="B274" s="174" t="s">
        <v>1393</v>
      </c>
      <c r="C274" s="174" t="s">
        <v>566</v>
      </c>
      <c r="D274" s="174" t="s">
        <v>676</v>
      </c>
      <c r="E274" s="176">
        <v>43164</v>
      </c>
      <c r="F274" s="176">
        <v>43166</v>
      </c>
      <c r="G274" s="174" t="s">
        <v>1363</v>
      </c>
      <c r="H274" s="179" t="s">
        <v>486</v>
      </c>
      <c r="I274" s="174" t="s">
        <v>803</v>
      </c>
      <c r="J274" s="178">
        <v>7650000</v>
      </c>
      <c r="K274" s="178">
        <v>143.62549999999999</v>
      </c>
      <c r="L274" s="178">
        <v>1.1770010453999999</v>
      </c>
      <c r="M274" s="178">
        <v>-11154917.188356159</v>
      </c>
      <c r="N274" s="174" t="s">
        <v>386</v>
      </c>
      <c r="O274" s="174" t="s">
        <v>804</v>
      </c>
      <c r="P274" s="174" t="s">
        <v>22</v>
      </c>
      <c r="Q274" s="174" t="s">
        <v>129</v>
      </c>
      <c r="R274" s="174" t="s">
        <v>1394</v>
      </c>
      <c r="S274" s="174" t="s">
        <v>132</v>
      </c>
      <c r="T274" s="175"/>
      <c r="U274" s="175"/>
      <c r="V274" s="174" t="s">
        <v>575</v>
      </c>
      <c r="W274" s="174" t="s">
        <v>683</v>
      </c>
      <c r="X274" s="174" t="s">
        <v>22</v>
      </c>
      <c r="Y274" s="174"/>
      <c r="Z274" s="175"/>
      <c r="AA274" s="174" t="s">
        <v>512</v>
      </c>
      <c r="AB274" s="176">
        <v>43164.493368055555</v>
      </c>
      <c r="AC274" s="174" t="s">
        <v>1394</v>
      </c>
      <c r="AD274" s="176">
        <v>43164.489004629628</v>
      </c>
      <c r="AE274" s="176">
        <v>43164.489062499997</v>
      </c>
      <c r="AF274" s="175"/>
    </row>
    <row r="275" spans="1:32" x14ac:dyDescent="0.25">
      <c r="A275" s="174" t="s">
        <v>461</v>
      </c>
      <c r="B275" s="174" t="s">
        <v>1395</v>
      </c>
      <c r="C275" s="174" t="s">
        <v>566</v>
      </c>
      <c r="D275" s="174" t="s">
        <v>676</v>
      </c>
      <c r="E275" s="176">
        <v>43164</v>
      </c>
      <c r="F275" s="176">
        <v>43166</v>
      </c>
      <c r="G275" s="174" t="s">
        <v>1363</v>
      </c>
      <c r="H275" s="177" t="s">
        <v>466</v>
      </c>
      <c r="I275" s="174" t="s">
        <v>1396</v>
      </c>
      <c r="J275" s="178">
        <v>7200000</v>
      </c>
      <c r="K275" s="178">
        <v>129.87180000000001</v>
      </c>
      <c r="L275" s="178">
        <v>1.2460027816000001</v>
      </c>
      <c r="M275" s="178">
        <v>9451372.339726029</v>
      </c>
      <c r="N275" s="174" t="s">
        <v>386</v>
      </c>
      <c r="O275" s="174" t="s">
        <v>1397</v>
      </c>
      <c r="P275" s="174" t="s">
        <v>22</v>
      </c>
      <c r="Q275" s="174" t="s">
        <v>129</v>
      </c>
      <c r="R275" s="174" t="s">
        <v>1398</v>
      </c>
      <c r="S275" s="174" t="s">
        <v>132</v>
      </c>
      <c r="T275" s="175"/>
      <c r="U275" s="175"/>
      <c r="V275" s="174" t="s">
        <v>575</v>
      </c>
      <c r="W275" s="174" t="s">
        <v>683</v>
      </c>
      <c r="X275" s="174" t="s">
        <v>22</v>
      </c>
      <c r="Y275" s="174"/>
      <c r="Z275" s="175"/>
      <c r="AA275" s="174" t="s">
        <v>512</v>
      </c>
      <c r="AB275" s="176">
        <v>43164.493368055555</v>
      </c>
      <c r="AC275" s="174" t="s">
        <v>1398</v>
      </c>
      <c r="AD275" s="176">
        <v>43164.489004629628</v>
      </c>
      <c r="AE275" s="176">
        <v>43164.489074074074</v>
      </c>
      <c r="AF275" s="175"/>
    </row>
    <row r="276" spans="1:32" x14ac:dyDescent="0.25">
      <c r="A276" s="174" t="s">
        <v>461</v>
      </c>
      <c r="B276" s="174" t="s">
        <v>1399</v>
      </c>
      <c r="C276" s="174" t="s">
        <v>463</v>
      </c>
      <c r="D276" s="174" t="s">
        <v>806</v>
      </c>
      <c r="E276" s="176">
        <v>43164</v>
      </c>
      <c r="F276" s="176">
        <v>43165</v>
      </c>
      <c r="G276" s="174" t="s">
        <v>1363</v>
      </c>
      <c r="H276" s="177" t="s">
        <v>466</v>
      </c>
      <c r="I276" s="174" t="s">
        <v>524</v>
      </c>
      <c r="J276" s="178">
        <v>28000000</v>
      </c>
      <c r="K276" s="178">
        <v>99.554404829999996</v>
      </c>
      <c r="L276" s="178">
        <v>2.4072878797000001</v>
      </c>
      <c r="M276" s="178">
        <v>27908299.650742542</v>
      </c>
      <c r="N276" s="174" t="s">
        <v>337</v>
      </c>
      <c r="O276" s="174" t="s">
        <v>525</v>
      </c>
      <c r="P276" s="174" t="s">
        <v>22</v>
      </c>
      <c r="Q276" s="174" t="s">
        <v>129</v>
      </c>
      <c r="R276" s="174" t="s">
        <v>1400</v>
      </c>
      <c r="S276" s="174" t="s">
        <v>132</v>
      </c>
      <c r="T276" s="175"/>
      <c r="U276" s="175"/>
      <c r="V276" s="174" t="s">
        <v>469</v>
      </c>
      <c r="W276" s="174" t="s">
        <v>809</v>
      </c>
      <c r="X276" s="174" t="s">
        <v>22</v>
      </c>
      <c r="Y276" s="174"/>
      <c r="Z276" s="175"/>
      <c r="AA276" s="174" t="s">
        <v>512</v>
      </c>
      <c r="AB276" s="176">
        <v>43164.512592592589</v>
      </c>
      <c r="AC276" s="174" t="s">
        <v>1400</v>
      </c>
      <c r="AD276" s="176">
        <v>43164.508333333331</v>
      </c>
      <c r="AE276" s="176">
        <v>43164.508391203701</v>
      </c>
      <c r="AF276" s="175"/>
    </row>
    <row r="277" spans="1:32" x14ac:dyDescent="0.25">
      <c r="A277" s="174" t="s">
        <v>461</v>
      </c>
      <c r="B277" s="174" t="s">
        <v>1401</v>
      </c>
      <c r="C277" s="174" t="s">
        <v>463</v>
      </c>
      <c r="D277" s="174" t="s">
        <v>806</v>
      </c>
      <c r="E277" s="176">
        <v>43164</v>
      </c>
      <c r="F277" s="176">
        <v>43165</v>
      </c>
      <c r="G277" s="174" t="s">
        <v>1363</v>
      </c>
      <c r="H277" s="179" t="s">
        <v>486</v>
      </c>
      <c r="I277" s="174" t="s">
        <v>508</v>
      </c>
      <c r="J277" s="178">
        <v>25000000</v>
      </c>
      <c r="K277" s="178">
        <v>99.65625</v>
      </c>
      <c r="L277" s="178">
        <v>2.8044946605000001</v>
      </c>
      <c r="M277" s="178">
        <v>-24925271.73913043</v>
      </c>
      <c r="N277" s="174" t="s">
        <v>337</v>
      </c>
      <c r="O277" s="174" t="s">
        <v>509</v>
      </c>
      <c r="P277" s="174" t="s">
        <v>22</v>
      </c>
      <c r="Q277" s="174" t="s">
        <v>129</v>
      </c>
      <c r="R277" s="174" t="s">
        <v>1402</v>
      </c>
      <c r="S277" s="174" t="s">
        <v>132</v>
      </c>
      <c r="T277" s="175"/>
      <c r="U277" s="175"/>
      <c r="V277" s="174" t="s">
        <v>469</v>
      </c>
      <c r="W277" s="174" t="s">
        <v>809</v>
      </c>
      <c r="X277" s="174" t="s">
        <v>22</v>
      </c>
      <c r="Y277" s="174"/>
      <c r="Z277" s="175"/>
      <c r="AA277" s="174" t="s">
        <v>512</v>
      </c>
      <c r="AB277" s="176">
        <v>43164.512592592589</v>
      </c>
      <c r="AC277" s="174" t="s">
        <v>1402</v>
      </c>
      <c r="AD277" s="176">
        <v>43164.508437500001</v>
      </c>
      <c r="AE277" s="176">
        <v>43164.508518518516</v>
      </c>
      <c r="AF277" s="175"/>
    </row>
    <row r="278" spans="1:32" x14ac:dyDescent="0.25">
      <c r="A278" s="174" t="s">
        <v>461</v>
      </c>
      <c r="B278" s="174" t="s">
        <v>1403</v>
      </c>
      <c r="C278" s="174" t="s">
        <v>463</v>
      </c>
      <c r="D278" s="174" t="s">
        <v>806</v>
      </c>
      <c r="E278" s="176">
        <v>43164</v>
      </c>
      <c r="F278" s="176">
        <v>43165</v>
      </c>
      <c r="G278" s="174" t="s">
        <v>1363</v>
      </c>
      <c r="H278" s="177" t="s">
        <v>466</v>
      </c>
      <c r="I278" s="174" t="s">
        <v>475</v>
      </c>
      <c r="J278" s="178">
        <v>9000000</v>
      </c>
      <c r="K278" s="178">
        <v>98.890625</v>
      </c>
      <c r="L278" s="178">
        <v>2.8789413034</v>
      </c>
      <c r="M278" s="178">
        <v>8913146.5814917106</v>
      </c>
      <c r="N278" s="174" t="s">
        <v>337</v>
      </c>
      <c r="O278" s="174" t="s">
        <v>476</v>
      </c>
      <c r="P278" s="174" t="s">
        <v>22</v>
      </c>
      <c r="Q278" s="174" t="s">
        <v>129</v>
      </c>
      <c r="R278" s="174" t="s">
        <v>1404</v>
      </c>
      <c r="S278" s="174" t="s">
        <v>132</v>
      </c>
      <c r="T278" s="175"/>
      <c r="U278" s="175"/>
      <c r="V278" s="174" t="s">
        <v>469</v>
      </c>
      <c r="W278" s="174" t="s">
        <v>809</v>
      </c>
      <c r="X278" s="174" t="s">
        <v>22</v>
      </c>
      <c r="Y278" s="174"/>
      <c r="Z278" s="175"/>
      <c r="AA278" s="174" t="s">
        <v>512</v>
      </c>
      <c r="AB278" s="176">
        <v>43164.512592592589</v>
      </c>
      <c r="AC278" s="174" t="s">
        <v>1404</v>
      </c>
      <c r="AD278" s="176">
        <v>43164.508483796293</v>
      </c>
      <c r="AE278" s="176">
        <v>43164.508564814816</v>
      </c>
      <c r="AF278" s="175"/>
    </row>
    <row r="279" spans="1:32" x14ac:dyDescent="0.25">
      <c r="A279" s="174" t="s">
        <v>461</v>
      </c>
      <c r="B279" s="174" t="s">
        <v>1405</v>
      </c>
      <c r="C279" s="174" t="s">
        <v>463</v>
      </c>
      <c r="D279" s="174" t="s">
        <v>553</v>
      </c>
      <c r="E279" s="176">
        <v>43164</v>
      </c>
      <c r="F279" s="176">
        <v>43165</v>
      </c>
      <c r="G279" s="174" t="s">
        <v>1363</v>
      </c>
      <c r="H279" s="179" t="s">
        <v>486</v>
      </c>
      <c r="I279" s="174" t="s">
        <v>1227</v>
      </c>
      <c r="J279" s="178">
        <v>200000000</v>
      </c>
      <c r="K279" s="178">
        <v>110.53538</v>
      </c>
      <c r="L279" s="178">
        <v>3.1487193233999999</v>
      </c>
      <c r="M279" s="178">
        <v>-223370483.75690609</v>
      </c>
      <c r="N279" s="174" t="s">
        <v>337</v>
      </c>
      <c r="O279" s="174" t="s">
        <v>1228</v>
      </c>
      <c r="P279" s="174" t="s">
        <v>22</v>
      </c>
      <c r="Q279" s="174" t="s">
        <v>129</v>
      </c>
      <c r="R279" s="174" t="s">
        <v>1406</v>
      </c>
      <c r="S279" s="174" t="s">
        <v>132</v>
      </c>
      <c r="T279" s="175"/>
      <c r="U279" s="175"/>
      <c r="V279" s="174" t="s">
        <v>469</v>
      </c>
      <c r="W279" s="174" t="s">
        <v>555</v>
      </c>
      <c r="X279" s="174" t="s">
        <v>22</v>
      </c>
      <c r="Y279" s="174"/>
      <c r="Z279" s="175"/>
      <c r="AA279" s="174" t="s">
        <v>512</v>
      </c>
      <c r="AB279" s="176">
        <v>43164.551620370374</v>
      </c>
      <c r="AC279" s="174" t="s">
        <v>1406</v>
      </c>
      <c r="AD279" s="176">
        <v>43164.543738425928</v>
      </c>
      <c r="AE279" s="176">
        <v>43164.54378472222</v>
      </c>
      <c r="AF279" s="175"/>
    </row>
    <row r="280" spans="1:32" x14ac:dyDescent="0.25">
      <c r="A280" s="174" t="s">
        <v>484</v>
      </c>
      <c r="B280" s="174" t="s">
        <v>1407</v>
      </c>
      <c r="C280" s="174" t="s">
        <v>478</v>
      </c>
      <c r="D280" s="174" t="s">
        <v>535</v>
      </c>
      <c r="E280" s="176">
        <v>43164</v>
      </c>
      <c r="F280" s="176">
        <v>43166</v>
      </c>
      <c r="G280" s="174" t="s">
        <v>1363</v>
      </c>
      <c r="H280" s="177" t="s">
        <v>466</v>
      </c>
      <c r="I280" s="174" t="s">
        <v>1408</v>
      </c>
      <c r="J280" s="178">
        <v>1408000</v>
      </c>
      <c r="K280" s="178">
        <v>96.052000000000007</v>
      </c>
      <c r="L280" s="178">
        <v>5.1320037358999997</v>
      </c>
      <c r="M280" s="178">
        <v>1357969.8488888901</v>
      </c>
      <c r="N280" s="174" t="s">
        <v>337</v>
      </c>
      <c r="O280" s="174" t="s">
        <v>1409</v>
      </c>
      <c r="P280" s="174" t="s">
        <v>22</v>
      </c>
      <c r="Q280" s="174" t="s">
        <v>129</v>
      </c>
      <c r="R280" s="174" t="s">
        <v>1410</v>
      </c>
      <c r="S280" s="174" t="s">
        <v>132</v>
      </c>
      <c r="T280" s="175"/>
      <c r="U280" s="175"/>
      <c r="V280" s="174" t="s">
        <v>489</v>
      </c>
      <c r="W280" s="174" t="s">
        <v>540</v>
      </c>
      <c r="X280" s="174" t="s">
        <v>22</v>
      </c>
      <c r="Y280" s="174"/>
      <c r="Z280" s="175"/>
      <c r="AA280" s="174" t="s">
        <v>541</v>
      </c>
      <c r="AB280" s="176">
        <v>43164.558287037034</v>
      </c>
      <c r="AC280" s="174" t="s">
        <v>1410</v>
      </c>
      <c r="AD280" s="176">
        <v>43164.554826388892</v>
      </c>
      <c r="AE280" s="176">
        <v>43164.554826388892</v>
      </c>
      <c r="AF280" s="175"/>
    </row>
    <row r="281" spans="1:32" x14ac:dyDescent="0.25">
      <c r="A281" s="174" t="s">
        <v>461</v>
      </c>
      <c r="B281" s="174" t="s">
        <v>1411</v>
      </c>
      <c r="C281" s="174" t="s">
        <v>478</v>
      </c>
      <c r="D281" s="174" t="s">
        <v>535</v>
      </c>
      <c r="E281" s="176">
        <v>43164</v>
      </c>
      <c r="F281" s="176">
        <v>43165</v>
      </c>
      <c r="G281" s="174" t="s">
        <v>1363</v>
      </c>
      <c r="H281" s="179" t="s">
        <v>486</v>
      </c>
      <c r="I281" s="174" t="s">
        <v>543</v>
      </c>
      <c r="J281" s="178">
        <v>1250000</v>
      </c>
      <c r="K281" s="178">
        <v>92.640625</v>
      </c>
      <c r="L281" s="178">
        <v>3.1323948108000002</v>
      </c>
      <c r="M281" s="178">
        <v>-1168548.21305249</v>
      </c>
      <c r="N281" s="174" t="s">
        <v>337</v>
      </c>
      <c r="O281" s="174" t="s">
        <v>544</v>
      </c>
      <c r="P281" s="174" t="s">
        <v>22</v>
      </c>
      <c r="Q281" s="174" t="s">
        <v>129</v>
      </c>
      <c r="R281" s="174" t="s">
        <v>1412</v>
      </c>
      <c r="S281" s="174" t="s">
        <v>132</v>
      </c>
      <c r="T281" s="175"/>
      <c r="U281" s="175"/>
      <c r="V281" s="174" t="s">
        <v>469</v>
      </c>
      <c r="W281" s="174" t="s">
        <v>540</v>
      </c>
      <c r="X281" s="174" t="s">
        <v>22</v>
      </c>
      <c r="Y281" s="174"/>
      <c r="Z281" s="175"/>
      <c r="AA281" s="174" t="s">
        <v>541</v>
      </c>
      <c r="AB281" s="176">
        <v>43164.558287037034</v>
      </c>
      <c r="AC281" s="174" t="s">
        <v>1412</v>
      </c>
      <c r="AD281" s="176">
        <v>43164.554930555554</v>
      </c>
      <c r="AE281" s="176">
        <v>43164.554930555554</v>
      </c>
      <c r="AF281" s="175"/>
    </row>
    <row r="282" spans="1:32" x14ac:dyDescent="0.25">
      <c r="A282" s="174" t="s">
        <v>461</v>
      </c>
      <c r="B282" s="174" t="s">
        <v>1413</v>
      </c>
      <c r="C282" s="174" t="s">
        <v>478</v>
      </c>
      <c r="D282" s="174" t="s">
        <v>479</v>
      </c>
      <c r="E282" s="176">
        <v>43164</v>
      </c>
      <c r="F282" s="176">
        <v>43165</v>
      </c>
      <c r="G282" s="174" t="s">
        <v>1363</v>
      </c>
      <c r="H282" s="179" t="s">
        <v>486</v>
      </c>
      <c r="I282" s="174" t="s">
        <v>543</v>
      </c>
      <c r="J282" s="178">
        <v>2143000</v>
      </c>
      <c r="K282" s="178">
        <v>92.75</v>
      </c>
      <c r="L282" s="178">
        <v>3.1264256134999999</v>
      </c>
      <c r="M282" s="178">
        <v>-2005702.9627071801</v>
      </c>
      <c r="N282" s="174" t="s">
        <v>337</v>
      </c>
      <c r="O282" s="174" t="s">
        <v>544</v>
      </c>
      <c r="P282" s="174" t="s">
        <v>22</v>
      </c>
      <c r="Q282" s="174" t="s">
        <v>129</v>
      </c>
      <c r="R282" s="174" t="s">
        <v>1414</v>
      </c>
      <c r="S282" s="174" t="s">
        <v>132</v>
      </c>
      <c r="T282" s="175"/>
      <c r="U282" s="175"/>
      <c r="V282" s="174" t="s">
        <v>469</v>
      </c>
      <c r="W282" s="174" t="s">
        <v>481</v>
      </c>
      <c r="X282" s="174" t="s">
        <v>22</v>
      </c>
      <c r="Y282" s="174"/>
      <c r="Z282" s="175"/>
      <c r="AA282" s="174" t="s">
        <v>512</v>
      </c>
      <c r="AB282" s="176">
        <v>43164.564699074072</v>
      </c>
      <c r="AC282" s="174" t="s">
        <v>1414</v>
      </c>
      <c r="AD282" s="176">
        <v>43164.561493055553</v>
      </c>
      <c r="AE282" s="176">
        <v>43164.561620370368</v>
      </c>
      <c r="AF282" s="175"/>
    </row>
    <row r="283" spans="1:32" x14ac:dyDescent="0.25">
      <c r="A283" s="174" t="s">
        <v>484</v>
      </c>
      <c r="B283" s="174" t="s">
        <v>1415</v>
      </c>
      <c r="C283" s="174" t="s">
        <v>478</v>
      </c>
      <c r="D283" s="174" t="s">
        <v>535</v>
      </c>
      <c r="E283" s="176">
        <v>43164</v>
      </c>
      <c r="F283" s="176">
        <v>43166</v>
      </c>
      <c r="G283" s="174" t="s">
        <v>1363</v>
      </c>
      <c r="H283" s="179" t="s">
        <v>486</v>
      </c>
      <c r="I283" s="174" t="s">
        <v>940</v>
      </c>
      <c r="J283" s="178">
        <v>2459000</v>
      </c>
      <c r="K283" s="178">
        <v>96.918999999999997</v>
      </c>
      <c r="L283" s="178">
        <v>4.7380275073</v>
      </c>
      <c r="M283" s="178">
        <v>-2392152.085</v>
      </c>
      <c r="N283" s="174" t="s">
        <v>337</v>
      </c>
      <c r="O283" s="174" t="s">
        <v>941</v>
      </c>
      <c r="P283" s="174" t="s">
        <v>22</v>
      </c>
      <c r="Q283" s="174" t="s">
        <v>129</v>
      </c>
      <c r="R283" s="174" t="s">
        <v>1416</v>
      </c>
      <c r="S283" s="174" t="s">
        <v>132</v>
      </c>
      <c r="T283" s="175"/>
      <c r="U283" s="175"/>
      <c r="V283" s="174" t="s">
        <v>489</v>
      </c>
      <c r="W283" s="174" t="s">
        <v>540</v>
      </c>
      <c r="X283" s="174" t="s">
        <v>22</v>
      </c>
      <c r="Y283" s="174"/>
      <c r="Z283" s="175"/>
      <c r="AA283" s="174" t="s">
        <v>541</v>
      </c>
      <c r="AB283" s="176">
        <v>43164.564699074072</v>
      </c>
      <c r="AC283" s="174" t="s">
        <v>1416</v>
      </c>
      <c r="AD283" s="176">
        <v>43164.565775462965</v>
      </c>
      <c r="AE283" s="176">
        <v>43164.565775462965</v>
      </c>
      <c r="AF283" s="175"/>
    </row>
    <row r="284" spans="1:32" x14ac:dyDescent="0.25">
      <c r="A284" s="174" t="s">
        <v>484</v>
      </c>
      <c r="B284" s="174" t="s">
        <v>1417</v>
      </c>
      <c r="C284" s="174" t="s">
        <v>566</v>
      </c>
      <c r="D284" s="174" t="s">
        <v>491</v>
      </c>
      <c r="E284" s="176">
        <v>43164</v>
      </c>
      <c r="F284" s="176">
        <v>43166</v>
      </c>
      <c r="G284" s="174" t="s">
        <v>1363</v>
      </c>
      <c r="H284" s="179" t="s">
        <v>486</v>
      </c>
      <c r="I284" s="174" t="s">
        <v>1418</v>
      </c>
      <c r="J284" s="178">
        <v>4500000</v>
      </c>
      <c r="K284" s="178">
        <v>100.762</v>
      </c>
      <c r="L284" s="178">
        <v>0.62005251169999998</v>
      </c>
      <c r="M284" s="178">
        <v>-4535411</v>
      </c>
      <c r="N284" s="174" t="s">
        <v>386</v>
      </c>
      <c r="O284" s="174" t="s">
        <v>1419</v>
      </c>
      <c r="P284" s="174" t="s">
        <v>22</v>
      </c>
      <c r="Q284" s="174" t="s">
        <v>129</v>
      </c>
      <c r="R284" s="174" t="s">
        <v>1420</v>
      </c>
      <c r="S284" s="174" t="s">
        <v>132</v>
      </c>
      <c r="T284" s="175"/>
      <c r="U284" s="175"/>
      <c r="V284" s="174" t="s">
        <v>1421</v>
      </c>
      <c r="W284" s="174" t="s">
        <v>494</v>
      </c>
      <c r="X284" s="174" t="s">
        <v>22</v>
      </c>
      <c r="Y284" s="174"/>
      <c r="Z284" s="175"/>
      <c r="AA284" s="174" t="s">
        <v>512</v>
      </c>
      <c r="AB284" s="176">
        <v>43164.57135416667</v>
      </c>
      <c r="AC284" s="174" t="s">
        <v>1420</v>
      </c>
      <c r="AD284" s="176">
        <v>43164.565833333334</v>
      </c>
      <c r="AE284" s="176">
        <v>43164.565879629627</v>
      </c>
      <c r="AF284" s="175"/>
    </row>
    <row r="285" spans="1:32" x14ac:dyDescent="0.25">
      <c r="A285" s="174" t="s">
        <v>461</v>
      </c>
      <c r="B285" s="174" t="s">
        <v>1422</v>
      </c>
      <c r="C285" s="174" t="s">
        <v>478</v>
      </c>
      <c r="D285" s="174" t="s">
        <v>535</v>
      </c>
      <c r="E285" s="176">
        <v>43164</v>
      </c>
      <c r="F285" s="176">
        <v>43165</v>
      </c>
      <c r="G285" s="174" t="s">
        <v>1363</v>
      </c>
      <c r="H285" s="177" t="s">
        <v>466</v>
      </c>
      <c r="I285" s="174" t="s">
        <v>543</v>
      </c>
      <c r="J285" s="178">
        <v>1700000</v>
      </c>
      <c r="K285" s="178">
        <v>92.171875</v>
      </c>
      <c r="L285" s="178">
        <v>3.1580810419000001</v>
      </c>
      <c r="M285" s="178">
        <v>1581256.81975138</v>
      </c>
      <c r="N285" s="174" t="s">
        <v>337</v>
      </c>
      <c r="O285" s="174" t="s">
        <v>544</v>
      </c>
      <c r="P285" s="174" t="s">
        <v>22</v>
      </c>
      <c r="Q285" s="174" t="s">
        <v>129</v>
      </c>
      <c r="R285" s="174" t="s">
        <v>1423</v>
      </c>
      <c r="S285" s="174" t="s">
        <v>132</v>
      </c>
      <c r="T285" s="175"/>
      <c r="U285" s="175"/>
      <c r="V285" s="174" t="s">
        <v>469</v>
      </c>
      <c r="W285" s="174" t="s">
        <v>540</v>
      </c>
      <c r="X285" s="174" t="s">
        <v>22</v>
      </c>
      <c r="Y285" s="174"/>
      <c r="Z285" s="175"/>
      <c r="AA285" s="174" t="s">
        <v>541</v>
      </c>
      <c r="AB285" s="176">
        <v>43164.564699074072</v>
      </c>
      <c r="AC285" s="174" t="s">
        <v>1423</v>
      </c>
      <c r="AD285" s="176">
        <v>43164.56591435185</v>
      </c>
      <c r="AE285" s="176">
        <v>43164.56591435185</v>
      </c>
      <c r="AF285" s="175"/>
    </row>
    <row r="286" spans="1:32" x14ac:dyDescent="0.25">
      <c r="A286" s="174" t="s">
        <v>461</v>
      </c>
      <c r="B286" s="174" t="s">
        <v>1424</v>
      </c>
      <c r="C286" s="174" t="s">
        <v>478</v>
      </c>
      <c r="D286" s="174" t="s">
        <v>600</v>
      </c>
      <c r="E286" s="176">
        <v>43164</v>
      </c>
      <c r="F286" s="176">
        <v>43165</v>
      </c>
      <c r="G286" s="174" t="s">
        <v>1363</v>
      </c>
      <c r="H286" s="177" t="s">
        <v>466</v>
      </c>
      <c r="I286" s="174" t="s">
        <v>475</v>
      </c>
      <c r="J286" s="178">
        <v>5000000</v>
      </c>
      <c r="K286" s="178">
        <v>98.84765625</v>
      </c>
      <c r="L286" s="178">
        <v>2.8839726201999998</v>
      </c>
      <c r="M286" s="178">
        <v>4949599.6633287305</v>
      </c>
      <c r="N286" s="174" t="s">
        <v>337</v>
      </c>
      <c r="O286" s="174" t="s">
        <v>476</v>
      </c>
      <c r="P286" s="174" t="s">
        <v>22</v>
      </c>
      <c r="Q286" s="174" t="s">
        <v>129</v>
      </c>
      <c r="R286" s="174" t="s">
        <v>1425</v>
      </c>
      <c r="S286" s="174" t="s">
        <v>132</v>
      </c>
      <c r="T286" s="175"/>
      <c r="U286" s="175"/>
      <c r="V286" s="174" t="s">
        <v>469</v>
      </c>
      <c r="W286" s="174" t="s">
        <v>604</v>
      </c>
      <c r="X286" s="174" t="s">
        <v>22</v>
      </c>
      <c r="Y286" s="174"/>
      <c r="Z286" s="175"/>
      <c r="AA286" s="174" t="s">
        <v>969</v>
      </c>
      <c r="AB286" s="176">
        <v>43164.532129629632</v>
      </c>
      <c r="AC286" s="174" t="s">
        <v>1425</v>
      </c>
      <c r="AD286" s="176">
        <v>43164.612673611111</v>
      </c>
      <c r="AE286" s="176">
        <v>43164.612673611111</v>
      </c>
      <c r="AF286" s="175"/>
    </row>
    <row r="287" spans="1:32" x14ac:dyDescent="0.25">
      <c r="A287" s="174" t="s">
        <v>461</v>
      </c>
      <c r="B287" s="174" t="s">
        <v>1426</v>
      </c>
      <c r="C287" s="174" t="s">
        <v>463</v>
      </c>
      <c r="D287" s="174" t="s">
        <v>806</v>
      </c>
      <c r="E287" s="176">
        <v>43164</v>
      </c>
      <c r="F287" s="176">
        <v>43165</v>
      </c>
      <c r="G287" s="174" t="s">
        <v>1363</v>
      </c>
      <c r="H287" s="179" t="s">
        <v>486</v>
      </c>
      <c r="I287" s="174" t="s">
        <v>1427</v>
      </c>
      <c r="J287" s="178">
        <v>67000000</v>
      </c>
      <c r="K287" s="178">
        <v>97.1171875</v>
      </c>
      <c r="L287" s="178">
        <v>2.6626627342</v>
      </c>
      <c r="M287" s="178">
        <v>-65534924.464779012</v>
      </c>
      <c r="N287" s="174" t="s">
        <v>337</v>
      </c>
      <c r="O287" s="174" t="s">
        <v>1428</v>
      </c>
      <c r="P287" s="174" t="s">
        <v>22</v>
      </c>
      <c r="Q287" s="174" t="s">
        <v>129</v>
      </c>
      <c r="R287" s="174" t="s">
        <v>1429</v>
      </c>
      <c r="S287" s="174" t="s">
        <v>132</v>
      </c>
      <c r="T287" s="175"/>
      <c r="U287" s="175"/>
      <c r="V287" s="174" t="s">
        <v>469</v>
      </c>
      <c r="W287" s="174" t="s">
        <v>809</v>
      </c>
      <c r="X287" s="174" t="s">
        <v>22</v>
      </c>
      <c r="Y287" s="174"/>
      <c r="Z287" s="175"/>
      <c r="AA287" s="174" t="s">
        <v>512</v>
      </c>
      <c r="AB287" s="176">
        <v>43164.623680555553</v>
      </c>
      <c r="AC287" s="174" t="s">
        <v>1429</v>
      </c>
      <c r="AD287" s="176">
        <v>43164.615543981483</v>
      </c>
      <c r="AE287" s="176">
        <v>43164.615613425929</v>
      </c>
      <c r="AF287" s="175"/>
    </row>
    <row r="288" spans="1:32" x14ac:dyDescent="0.25">
      <c r="A288" s="174" t="s">
        <v>461</v>
      </c>
      <c r="B288" s="174" t="s">
        <v>1430</v>
      </c>
      <c r="C288" s="174" t="s">
        <v>463</v>
      </c>
      <c r="D288" s="174" t="s">
        <v>806</v>
      </c>
      <c r="E288" s="176">
        <v>43164</v>
      </c>
      <c r="F288" s="176">
        <v>43165</v>
      </c>
      <c r="G288" s="174" t="s">
        <v>1363</v>
      </c>
      <c r="H288" s="177" t="s">
        <v>466</v>
      </c>
      <c r="I288" s="174" t="s">
        <v>467</v>
      </c>
      <c r="J288" s="178">
        <v>61900000</v>
      </c>
      <c r="K288" s="178">
        <v>99.75</v>
      </c>
      <c r="L288" s="178">
        <v>2.6788620698000001</v>
      </c>
      <c r="M288" s="178">
        <v>61771742.527173914</v>
      </c>
      <c r="N288" s="174" t="s">
        <v>337</v>
      </c>
      <c r="O288" s="174" t="s">
        <v>468</v>
      </c>
      <c r="P288" s="174" t="s">
        <v>22</v>
      </c>
      <c r="Q288" s="174" t="s">
        <v>129</v>
      </c>
      <c r="R288" s="174" t="s">
        <v>1431</v>
      </c>
      <c r="S288" s="174" t="s">
        <v>132</v>
      </c>
      <c r="T288" s="175"/>
      <c r="U288" s="175"/>
      <c r="V288" s="174" t="s">
        <v>469</v>
      </c>
      <c r="W288" s="174" t="s">
        <v>809</v>
      </c>
      <c r="X288" s="174" t="s">
        <v>22</v>
      </c>
      <c r="Y288" s="174"/>
      <c r="Z288" s="175"/>
      <c r="AA288" s="174" t="s">
        <v>512</v>
      </c>
      <c r="AB288" s="176">
        <v>43164.623680555553</v>
      </c>
      <c r="AC288" s="174" t="s">
        <v>1431</v>
      </c>
      <c r="AD288" s="176">
        <v>43164.615752314814</v>
      </c>
      <c r="AE288" s="176">
        <v>43164.615833333337</v>
      </c>
      <c r="AF288" s="175"/>
    </row>
    <row r="289" spans="1:32" x14ac:dyDescent="0.25">
      <c r="A289" s="174" t="s">
        <v>461</v>
      </c>
      <c r="B289" s="174" t="s">
        <v>1432</v>
      </c>
      <c r="C289" s="174" t="s">
        <v>478</v>
      </c>
      <c r="D289" s="174" t="s">
        <v>558</v>
      </c>
      <c r="E289" s="176">
        <v>43164</v>
      </c>
      <c r="F289" s="176">
        <v>43165</v>
      </c>
      <c r="G289" s="174" t="s">
        <v>1363</v>
      </c>
      <c r="H289" s="177" t="s">
        <v>466</v>
      </c>
      <c r="I289" s="174" t="s">
        <v>508</v>
      </c>
      <c r="J289" s="178">
        <v>2621000</v>
      </c>
      <c r="K289" s="178">
        <v>99.59375</v>
      </c>
      <c r="L289" s="178">
        <v>2.8144342227000001</v>
      </c>
      <c r="M289" s="178">
        <v>2611527.3641304299</v>
      </c>
      <c r="N289" s="174" t="s">
        <v>337</v>
      </c>
      <c r="O289" s="174" t="s">
        <v>509</v>
      </c>
      <c r="P289" s="174" t="s">
        <v>22</v>
      </c>
      <c r="Q289" s="174" t="s">
        <v>129</v>
      </c>
      <c r="R289" s="174" t="s">
        <v>1433</v>
      </c>
      <c r="S289" s="174" t="s">
        <v>132</v>
      </c>
      <c r="T289" s="175"/>
      <c r="U289" s="175"/>
      <c r="V289" s="174" t="s">
        <v>469</v>
      </c>
      <c r="W289" s="174" t="s">
        <v>560</v>
      </c>
      <c r="X289" s="174" t="s">
        <v>22</v>
      </c>
      <c r="Y289" s="174"/>
      <c r="Z289" s="175"/>
      <c r="AA289" s="174" t="s">
        <v>512</v>
      </c>
      <c r="AB289" s="176">
        <v>43164.643252314818</v>
      </c>
      <c r="AC289" s="174" t="s">
        <v>1433</v>
      </c>
      <c r="AD289" s="176">
        <v>43164.637106481481</v>
      </c>
      <c r="AE289" s="176">
        <v>43164.63722222222</v>
      </c>
      <c r="AF289" s="175"/>
    </row>
    <row r="290" spans="1:32" x14ac:dyDescent="0.25">
      <c r="A290" s="174" t="s">
        <v>484</v>
      </c>
      <c r="B290" s="174" t="s">
        <v>1434</v>
      </c>
      <c r="C290" s="174" t="s">
        <v>478</v>
      </c>
      <c r="D290" s="174" t="s">
        <v>535</v>
      </c>
      <c r="E290" s="176">
        <v>43164</v>
      </c>
      <c r="F290" s="176">
        <v>43166</v>
      </c>
      <c r="G290" s="174" t="s">
        <v>1363</v>
      </c>
      <c r="H290" s="179" t="s">
        <v>486</v>
      </c>
      <c r="I290" s="174" t="s">
        <v>1435</v>
      </c>
      <c r="J290" s="178">
        <v>2000000</v>
      </c>
      <c r="K290" s="178">
        <v>97.793999999999997</v>
      </c>
      <c r="L290" s="178">
        <v>4.8980266849999996</v>
      </c>
      <c r="M290" s="178">
        <v>-2001268.8888888902</v>
      </c>
      <c r="N290" s="174" t="s">
        <v>337</v>
      </c>
      <c r="O290" s="174" t="s">
        <v>1436</v>
      </c>
      <c r="P290" s="174" t="s">
        <v>22</v>
      </c>
      <c r="Q290" s="174" t="s">
        <v>129</v>
      </c>
      <c r="R290" s="174" t="s">
        <v>1437</v>
      </c>
      <c r="S290" s="174" t="s">
        <v>132</v>
      </c>
      <c r="T290" s="175"/>
      <c r="U290" s="175"/>
      <c r="V290" s="174" t="s">
        <v>1205</v>
      </c>
      <c r="W290" s="174" t="s">
        <v>540</v>
      </c>
      <c r="X290" s="174" t="s">
        <v>22</v>
      </c>
      <c r="Y290" s="174"/>
      <c r="Z290" s="175"/>
      <c r="AA290" s="174" t="s">
        <v>541</v>
      </c>
      <c r="AB290" s="176">
        <v>43164.668969907405</v>
      </c>
      <c r="AC290" s="174" t="s">
        <v>1437</v>
      </c>
      <c r="AD290" s="176">
        <v>43164.665196759262</v>
      </c>
      <c r="AE290" s="176">
        <v>43164.665196759262</v>
      </c>
      <c r="AF290" s="175"/>
    </row>
    <row r="291" spans="1:32" x14ac:dyDescent="0.25">
      <c r="A291" s="174" t="s">
        <v>461</v>
      </c>
      <c r="B291" s="174" t="s">
        <v>1438</v>
      </c>
      <c r="C291" s="174" t="s">
        <v>478</v>
      </c>
      <c r="D291" s="174" t="s">
        <v>535</v>
      </c>
      <c r="E291" s="176">
        <v>43164</v>
      </c>
      <c r="F291" s="176">
        <v>43165</v>
      </c>
      <c r="G291" s="174" t="s">
        <v>1363</v>
      </c>
      <c r="H291" s="177" t="s">
        <v>466</v>
      </c>
      <c r="I291" s="174" t="s">
        <v>543</v>
      </c>
      <c r="J291" s="178">
        <v>1600000</v>
      </c>
      <c r="K291" s="178">
        <v>91.984375</v>
      </c>
      <c r="L291" s="178">
        <v>3.1684030603000002</v>
      </c>
      <c r="M291" s="178">
        <v>1485241.7127071801</v>
      </c>
      <c r="N291" s="174" t="s">
        <v>337</v>
      </c>
      <c r="O291" s="174" t="s">
        <v>544</v>
      </c>
      <c r="P291" s="174" t="s">
        <v>22</v>
      </c>
      <c r="Q291" s="174" t="s">
        <v>129</v>
      </c>
      <c r="R291" s="174" t="s">
        <v>1439</v>
      </c>
      <c r="S291" s="174" t="s">
        <v>132</v>
      </c>
      <c r="T291" s="175"/>
      <c r="U291" s="175"/>
      <c r="V291" s="174" t="s">
        <v>469</v>
      </c>
      <c r="W291" s="174" t="s">
        <v>540</v>
      </c>
      <c r="X291" s="174" t="s">
        <v>22</v>
      </c>
      <c r="Y291" s="174"/>
      <c r="Z291" s="175"/>
      <c r="AA291" s="174" t="s">
        <v>541</v>
      </c>
      <c r="AB291" s="176">
        <v>43164.668969907405</v>
      </c>
      <c r="AC291" s="174" t="s">
        <v>1439</v>
      </c>
      <c r="AD291" s="176">
        <v>43164.665335648147</v>
      </c>
      <c r="AE291" s="176">
        <v>43164.665335648147</v>
      </c>
      <c r="AF291" s="175"/>
    </row>
    <row r="292" spans="1:32" x14ac:dyDescent="0.25">
      <c r="A292" s="174" t="s">
        <v>484</v>
      </c>
      <c r="B292" s="174" t="s">
        <v>1440</v>
      </c>
      <c r="C292" s="174" t="s">
        <v>478</v>
      </c>
      <c r="D292" s="174" t="s">
        <v>535</v>
      </c>
      <c r="E292" s="176">
        <v>43164</v>
      </c>
      <c r="F292" s="176">
        <v>43166</v>
      </c>
      <c r="G292" s="174" t="s">
        <v>1363</v>
      </c>
      <c r="H292" s="177" t="s">
        <v>466</v>
      </c>
      <c r="I292" s="174" t="s">
        <v>1441</v>
      </c>
      <c r="J292" s="178">
        <v>2500000</v>
      </c>
      <c r="K292" s="178">
        <v>97.146000000000001</v>
      </c>
      <c r="L292" s="178">
        <v>4.7290003012000001</v>
      </c>
      <c r="M292" s="178">
        <v>2434021.5277777803</v>
      </c>
      <c r="N292" s="174" t="s">
        <v>337</v>
      </c>
      <c r="O292" s="174" t="s">
        <v>1442</v>
      </c>
      <c r="P292" s="174" t="s">
        <v>22</v>
      </c>
      <c r="Q292" s="174" t="s">
        <v>129</v>
      </c>
      <c r="R292" s="174" t="s">
        <v>1443</v>
      </c>
      <c r="S292" s="174" t="s">
        <v>132</v>
      </c>
      <c r="T292" s="175"/>
      <c r="U292" s="175"/>
      <c r="V292" s="174" t="s">
        <v>489</v>
      </c>
      <c r="W292" s="174" t="s">
        <v>540</v>
      </c>
      <c r="X292" s="174" t="s">
        <v>22</v>
      </c>
      <c r="Y292" s="174"/>
      <c r="Z292" s="175"/>
      <c r="AA292" s="174" t="s">
        <v>541</v>
      </c>
      <c r="AB292" s="176">
        <v>43164.675798611112</v>
      </c>
      <c r="AC292" s="174" t="s">
        <v>1443</v>
      </c>
      <c r="AD292" s="176">
        <v>43164.667685185188</v>
      </c>
      <c r="AE292" s="176">
        <v>43164.667685185188</v>
      </c>
      <c r="AF292" s="175"/>
    </row>
    <row r="293" spans="1:32" x14ac:dyDescent="0.25">
      <c r="A293" s="174" t="s">
        <v>461</v>
      </c>
      <c r="B293" s="174" t="s">
        <v>1444</v>
      </c>
      <c r="C293" s="174" t="s">
        <v>478</v>
      </c>
      <c r="D293" s="174" t="s">
        <v>535</v>
      </c>
      <c r="E293" s="176">
        <v>43164</v>
      </c>
      <c r="F293" s="176">
        <v>43165</v>
      </c>
      <c r="G293" s="174" t="s">
        <v>1363</v>
      </c>
      <c r="H293" s="179" t="s">
        <v>486</v>
      </c>
      <c r="I293" s="174" t="s">
        <v>543</v>
      </c>
      <c r="J293" s="178">
        <v>2150000</v>
      </c>
      <c r="K293" s="178">
        <v>91.96875</v>
      </c>
      <c r="L293" s="178">
        <v>3.1692644617000001</v>
      </c>
      <c r="M293" s="178">
        <v>-1995457.61395028</v>
      </c>
      <c r="N293" s="174" t="s">
        <v>337</v>
      </c>
      <c r="O293" s="174" t="s">
        <v>544</v>
      </c>
      <c r="P293" s="174" t="s">
        <v>22</v>
      </c>
      <c r="Q293" s="174" t="s">
        <v>129</v>
      </c>
      <c r="R293" s="174" t="s">
        <v>1445</v>
      </c>
      <c r="S293" s="174" t="s">
        <v>132</v>
      </c>
      <c r="T293" s="175"/>
      <c r="U293" s="175"/>
      <c r="V293" s="174" t="s">
        <v>469</v>
      </c>
      <c r="W293" s="174" t="s">
        <v>540</v>
      </c>
      <c r="X293" s="174" t="s">
        <v>22</v>
      </c>
      <c r="Y293" s="174"/>
      <c r="Z293" s="175"/>
      <c r="AA293" s="174" t="s">
        <v>541</v>
      </c>
      <c r="AB293" s="176">
        <v>43164.675798611112</v>
      </c>
      <c r="AC293" s="174" t="s">
        <v>1445</v>
      </c>
      <c r="AD293" s="176">
        <v>43164.667905092596</v>
      </c>
      <c r="AE293" s="176">
        <v>43164.667905092596</v>
      </c>
      <c r="AF293" s="175"/>
    </row>
    <row r="294" spans="1:32" x14ac:dyDescent="0.25">
      <c r="A294" s="174" t="s">
        <v>461</v>
      </c>
      <c r="B294" s="174" t="s">
        <v>1446</v>
      </c>
      <c r="C294" s="174" t="s">
        <v>463</v>
      </c>
      <c r="D294" s="174" t="s">
        <v>806</v>
      </c>
      <c r="E294" s="176">
        <v>43164</v>
      </c>
      <c r="F294" s="176">
        <v>43165</v>
      </c>
      <c r="G294" s="174" t="s">
        <v>1363</v>
      </c>
      <c r="H294" s="177" t="s">
        <v>466</v>
      </c>
      <c r="I294" s="174" t="s">
        <v>524</v>
      </c>
      <c r="J294" s="178">
        <v>3000000</v>
      </c>
      <c r="K294" s="178">
        <v>99.558274069999996</v>
      </c>
      <c r="L294" s="178">
        <v>2.4059166831000001</v>
      </c>
      <c r="M294" s="178">
        <v>2990291.0397795597</v>
      </c>
      <c r="N294" s="174" t="s">
        <v>337</v>
      </c>
      <c r="O294" s="174" t="s">
        <v>525</v>
      </c>
      <c r="P294" s="174" t="s">
        <v>22</v>
      </c>
      <c r="Q294" s="174" t="s">
        <v>129</v>
      </c>
      <c r="R294" s="174" t="s">
        <v>1447</v>
      </c>
      <c r="S294" s="174" t="s">
        <v>132</v>
      </c>
      <c r="T294" s="175"/>
      <c r="U294" s="175"/>
      <c r="V294" s="174" t="s">
        <v>469</v>
      </c>
      <c r="W294" s="174" t="s">
        <v>809</v>
      </c>
      <c r="X294" s="174" t="s">
        <v>22</v>
      </c>
      <c r="Y294" s="174"/>
      <c r="Z294" s="175"/>
      <c r="AA294" s="174" t="s">
        <v>512</v>
      </c>
      <c r="AB294" s="176">
        <v>43164.682546296295</v>
      </c>
      <c r="AC294" s="174" t="s">
        <v>1447</v>
      </c>
      <c r="AD294" s="176">
        <v>43164.674733796295</v>
      </c>
      <c r="AE294" s="176">
        <v>43164.674791666665</v>
      </c>
      <c r="AF294" s="175"/>
    </row>
    <row r="295" spans="1:32" x14ac:dyDescent="0.25">
      <c r="A295" s="174" t="s">
        <v>461</v>
      </c>
      <c r="B295" s="174" t="s">
        <v>1448</v>
      </c>
      <c r="C295" s="174" t="s">
        <v>463</v>
      </c>
      <c r="D295" s="174" t="s">
        <v>806</v>
      </c>
      <c r="E295" s="176">
        <v>43164</v>
      </c>
      <c r="F295" s="176">
        <v>43165</v>
      </c>
      <c r="G295" s="174" t="s">
        <v>1363</v>
      </c>
      <c r="H295" s="177" t="s">
        <v>466</v>
      </c>
      <c r="I295" s="174" t="s">
        <v>475</v>
      </c>
      <c r="J295" s="178">
        <v>1000000</v>
      </c>
      <c r="K295" s="178">
        <v>98.828125</v>
      </c>
      <c r="L295" s="178">
        <v>2.8862604072</v>
      </c>
      <c r="M295" s="178">
        <v>989724.62016575004</v>
      </c>
      <c r="N295" s="174" t="s">
        <v>337</v>
      </c>
      <c r="O295" s="174" t="s">
        <v>476</v>
      </c>
      <c r="P295" s="174" t="s">
        <v>22</v>
      </c>
      <c r="Q295" s="174" t="s">
        <v>129</v>
      </c>
      <c r="R295" s="174" t="s">
        <v>1449</v>
      </c>
      <c r="S295" s="174" t="s">
        <v>132</v>
      </c>
      <c r="T295" s="175"/>
      <c r="U295" s="175"/>
      <c r="V295" s="174" t="s">
        <v>469</v>
      </c>
      <c r="W295" s="174" t="s">
        <v>809</v>
      </c>
      <c r="X295" s="174" t="s">
        <v>22</v>
      </c>
      <c r="Y295" s="174"/>
      <c r="Z295" s="175"/>
      <c r="AA295" s="174" t="s">
        <v>512</v>
      </c>
      <c r="AB295" s="176">
        <v>43164.682546296295</v>
      </c>
      <c r="AC295" s="174" t="s">
        <v>1449</v>
      </c>
      <c r="AD295" s="176">
        <v>43164.674803240741</v>
      </c>
      <c r="AE295" s="176">
        <v>43164.674872685187</v>
      </c>
      <c r="AF295" s="175"/>
    </row>
    <row r="296" spans="1:32" x14ac:dyDescent="0.25">
      <c r="A296" s="174" t="s">
        <v>461</v>
      </c>
      <c r="B296" s="174" t="s">
        <v>1450</v>
      </c>
      <c r="C296" s="174" t="s">
        <v>463</v>
      </c>
      <c r="D296" s="174" t="s">
        <v>806</v>
      </c>
      <c r="E296" s="176">
        <v>43164</v>
      </c>
      <c r="F296" s="176">
        <v>43165</v>
      </c>
      <c r="G296" s="174" t="s">
        <v>1363</v>
      </c>
      <c r="H296" s="179" t="s">
        <v>486</v>
      </c>
      <c r="I296" s="174" t="s">
        <v>508</v>
      </c>
      <c r="J296" s="178">
        <v>3000000</v>
      </c>
      <c r="K296" s="178">
        <v>99.609375</v>
      </c>
      <c r="L296" s="178">
        <v>2.8119486686999999</v>
      </c>
      <c r="M296" s="178">
        <v>-2989626.35869565</v>
      </c>
      <c r="N296" s="174" t="s">
        <v>337</v>
      </c>
      <c r="O296" s="174" t="s">
        <v>509</v>
      </c>
      <c r="P296" s="174" t="s">
        <v>22</v>
      </c>
      <c r="Q296" s="174" t="s">
        <v>129</v>
      </c>
      <c r="R296" s="174" t="s">
        <v>1451</v>
      </c>
      <c r="S296" s="174" t="s">
        <v>132</v>
      </c>
      <c r="T296" s="175"/>
      <c r="U296" s="175"/>
      <c r="V296" s="174" t="s">
        <v>469</v>
      </c>
      <c r="W296" s="174" t="s">
        <v>809</v>
      </c>
      <c r="X296" s="174" t="s">
        <v>22</v>
      </c>
      <c r="Y296" s="174"/>
      <c r="Z296" s="175"/>
      <c r="AA296" s="174" t="s">
        <v>512</v>
      </c>
      <c r="AB296" s="176">
        <v>43164.682546296295</v>
      </c>
      <c r="AC296" s="174" t="s">
        <v>1451</v>
      </c>
      <c r="AD296" s="176">
        <v>43164.67491898148</v>
      </c>
      <c r="AE296" s="176">
        <v>43164.674976851849</v>
      </c>
      <c r="AF296" s="175"/>
    </row>
    <row r="297" spans="1:32" x14ac:dyDescent="0.25">
      <c r="A297" s="174" t="s">
        <v>484</v>
      </c>
      <c r="B297" s="174" t="s">
        <v>1452</v>
      </c>
      <c r="C297" s="174" t="s">
        <v>478</v>
      </c>
      <c r="D297" s="174" t="s">
        <v>535</v>
      </c>
      <c r="E297" s="176">
        <v>43164</v>
      </c>
      <c r="F297" s="176">
        <v>43166</v>
      </c>
      <c r="G297" s="174" t="s">
        <v>1363</v>
      </c>
      <c r="H297" s="177" t="s">
        <v>466</v>
      </c>
      <c r="I297" s="174" t="s">
        <v>1115</v>
      </c>
      <c r="J297" s="178">
        <v>5000000</v>
      </c>
      <c r="K297" s="178">
        <v>99.602000000000004</v>
      </c>
      <c r="L297" s="178">
        <v>4.4250087008000003</v>
      </c>
      <c r="M297" s="178">
        <v>5057100</v>
      </c>
      <c r="N297" s="174" t="s">
        <v>337</v>
      </c>
      <c r="O297" s="174" t="s">
        <v>1116</v>
      </c>
      <c r="P297" s="174" t="s">
        <v>22</v>
      </c>
      <c r="Q297" s="174" t="s">
        <v>129</v>
      </c>
      <c r="R297" s="174" t="s">
        <v>1453</v>
      </c>
      <c r="S297" s="174" t="s">
        <v>132</v>
      </c>
      <c r="T297" s="175"/>
      <c r="U297" s="175"/>
      <c r="V297" s="174" t="s">
        <v>489</v>
      </c>
      <c r="W297" s="174" t="s">
        <v>540</v>
      </c>
      <c r="X297" s="174" t="s">
        <v>22</v>
      </c>
      <c r="Y297" s="174"/>
      <c r="Z297" s="175"/>
      <c r="AA297" s="174" t="s">
        <v>541</v>
      </c>
      <c r="AB297" s="176">
        <v>43164.675798611112</v>
      </c>
      <c r="AC297" s="174" t="s">
        <v>1453</v>
      </c>
      <c r="AD297" s="176">
        <v>43164.690787037034</v>
      </c>
      <c r="AE297" s="176">
        <v>43164.690787037034</v>
      </c>
      <c r="AF297" s="175"/>
    </row>
    <row r="298" spans="1:32" x14ac:dyDescent="0.25">
      <c r="A298" s="174" t="s">
        <v>461</v>
      </c>
      <c r="B298" s="174" t="s">
        <v>1454</v>
      </c>
      <c r="C298" s="174" t="s">
        <v>478</v>
      </c>
      <c r="D298" s="174" t="s">
        <v>535</v>
      </c>
      <c r="E298" s="176">
        <v>43164</v>
      </c>
      <c r="F298" s="176">
        <v>43165</v>
      </c>
      <c r="G298" s="174" t="s">
        <v>1363</v>
      </c>
      <c r="H298" s="179" t="s">
        <v>486</v>
      </c>
      <c r="I298" s="174" t="s">
        <v>543</v>
      </c>
      <c r="J298" s="178">
        <v>4300000</v>
      </c>
      <c r="K298" s="178">
        <v>92.140625</v>
      </c>
      <c r="L298" s="178">
        <v>3.1597994839000001</v>
      </c>
      <c r="M298" s="178">
        <v>-3998305.8529005502</v>
      </c>
      <c r="N298" s="174" t="s">
        <v>337</v>
      </c>
      <c r="O298" s="174" t="s">
        <v>544</v>
      </c>
      <c r="P298" s="174" t="s">
        <v>22</v>
      </c>
      <c r="Q298" s="174" t="s">
        <v>129</v>
      </c>
      <c r="R298" s="174" t="s">
        <v>1455</v>
      </c>
      <c r="S298" s="174" t="s">
        <v>132</v>
      </c>
      <c r="T298" s="175"/>
      <c r="U298" s="175"/>
      <c r="V298" s="174" t="s">
        <v>469</v>
      </c>
      <c r="W298" s="174" t="s">
        <v>540</v>
      </c>
      <c r="X298" s="174" t="s">
        <v>22</v>
      </c>
      <c r="Y298" s="174"/>
      <c r="Z298" s="175"/>
      <c r="AA298" s="174" t="s">
        <v>541</v>
      </c>
      <c r="AB298" s="176">
        <v>43164.675798611112</v>
      </c>
      <c r="AC298" s="174" t="s">
        <v>1455</v>
      </c>
      <c r="AD298" s="176">
        <v>43164.690925925926</v>
      </c>
      <c r="AE298" s="176">
        <v>43164.690925925926</v>
      </c>
      <c r="AF298" s="175"/>
    </row>
    <row r="299" spans="1:32" x14ac:dyDescent="0.25">
      <c r="A299" s="174" t="s">
        <v>484</v>
      </c>
      <c r="B299" s="174" t="s">
        <v>1456</v>
      </c>
      <c r="C299" s="174" t="s">
        <v>478</v>
      </c>
      <c r="D299" s="174" t="s">
        <v>768</v>
      </c>
      <c r="E299" s="176">
        <v>43164</v>
      </c>
      <c r="F299" s="176">
        <v>43166</v>
      </c>
      <c r="G299" s="174" t="s">
        <v>1363</v>
      </c>
      <c r="H299" s="177" t="s">
        <v>466</v>
      </c>
      <c r="I299" s="174" t="s">
        <v>1457</v>
      </c>
      <c r="J299" s="178">
        <v>437000</v>
      </c>
      <c r="K299" s="178">
        <v>93.296000000000006</v>
      </c>
      <c r="L299" s="178">
        <v>4.9500170360000002</v>
      </c>
      <c r="M299" s="178">
        <v>417144.95355555997</v>
      </c>
      <c r="N299" s="174" t="s">
        <v>337</v>
      </c>
      <c r="O299" s="174" t="s">
        <v>1458</v>
      </c>
      <c r="P299" s="174" t="s">
        <v>22</v>
      </c>
      <c r="Q299" s="174" t="s">
        <v>129</v>
      </c>
      <c r="R299" s="174" t="s">
        <v>1459</v>
      </c>
      <c r="S299" s="174" t="s">
        <v>132</v>
      </c>
      <c r="T299" s="175"/>
      <c r="U299" s="175"/>
      <c r="V299" s="174" t="s">
        <v>489</v>
      </c>
      <c r="W299" s="174" t="s">
        <v>770</v>
      </c>
      <c r="X299" s="174" t="s">
        <v>22</v>
      </c>
      <c r="Y299" s="174"/>
      <c r="Z299" s="175"/>
      <c r="AA299" s="174" t="s">
        <v>512</v>
      </c>
      <c r="AB299" s="176">
        <v>43164.695775462962</v>
      </c>
      <c r="AC299" s="174" t="s">
        <v>1459</v>
      </c>
      <c r="AD299" s="176">
        <v>43164.692141203705</v>
      </c>
      <c r="AE299" s="176">
        <v>43164.692210648151</v>
      </c>
      <c r="AF299" s="175"/>
    </row>
    <row r="300" spans="1:32" x14ac:dyDescent="0.25">
      <c r="A300" s="174" t="s">
        <v>461</v>
      </c>
      <c r="B300" s="174" t="s">
        <v>1460</v>
      </c>
      <c r="C300" s="174" t="s">
        <v>478</v>
      </c>
      <c r="D300" s="174" t="s">
        <v>768</v>
      </c>
      <c r="E300" s="176">
        <v>43164</v>
      </c>
      <c r="F300" s="176">
        <v>43165</v>
      </c>
      <c r="G300" s="174" t="s">
        <v>1363</v>
      </c>
      <c r="H300" s="179" t="s">
        <v>486</v>
      </c>
      <c r="I300" s="174" t="s">
        <v>543</v>
      </c>
      <c r="J300" s="178">
        <v>360000</v>
      </c>
      <c r="K300" s="178">
        <v>92.140625</v>
      </c>
      <c r="L300" s="178">
        <v>3.1597994839000001</v>
      </c>
      <c r="M300" s="178">
        <v>-334741.88535911997</v>
      </c>
      <c r="N300" s="174" t="s">
        <v>337</v>
      </c>
      <c r="O300" s="174" t="s">
        <v>544</v>
      </c>
      <c r="P300" s="174" t="s">
        <v>22</v>
      </c>
      <c r="Q300" s="174" t="s">
        <v>129</v>
      </c>
      <c r="R300" s="174" t="s">
        <v>1461</v>
      </c>
      <c r="S300" s="174" t="s">
        <v>132</v>
      </c>
      <c r="T300" s="175"/>
      <c r="U300" s="175"/>
      <c r="V300" s="174" t="s">
        <v>469</v>
      </c>
      <c r="W300" s="174" t="s">
        <v>770</v>
      </c>
      <c r="X300" s="174" t="s">
        <v>22</v>
      </c>
      <c r="Y300" s="174"/>
      <c r="Z300" s="175"/>
      <c r="AA300" s="174" t="s">
        <v>512</v>
      </c>
      <c r="AB300" s="176">
        <v>43164.695775462962</v>
      </c>
      <c r="AC300" s="174" t="s">
        <v>1461</v>
      </c>
      <c r="AD300" s="176">
        <v>43164.692141203705</v>
      </c>
      <c r="AE300" s="176">
        <v>43164.69222222222</v>
      </c>
      <c r="AF300" s="175"/>
    </row>
    <row r="301" spans="1:32" x14ac:dyDescent="0.25">
      <c r="A301" s="174" t="s">
        <v>461</v>
      </c>
      <c r="B301" s="174" t="s">
        <v>1462</v>
      </c>
      <c r="C301" s="174" t="s">
        <v>463</v>
      </c>
      <c r="D301" s="174" t="s">
        <v>806</v>
      </c>
      <c r="E301" s="176">
        <v>43164</v>
      </c>
      <c r="F301" s="176">
        <v>43165</v>
      </c>
      <c r="G301" s="174" t="s">
        <v>1363</v>
      </c>
      <c r="H301" s="179" t="s">
        <v>486</v>
      </c>
      <c r="I301" s="174" t="s">
        <v>467</v>
      </c>
      <c r="J301" s="178">
        <v>2000000</v>
      </c>
      <c r="K301" s="178">
        <v>99.8828125</v>
      </c>
      <c r="L301" s="178">
        <v>2.6501978142999998</v>
      </c>
      <c r="M301" s="178">
        <v>-1998512.2282608699</v>
      </c>
      <c r="N301" s="174" t="s">
        <v>337</v>
      </c>
      <c r="O301" s="174" t="s">
        <v>468</v>
      </c>
      <c r="P301" s="174" t="s">
        <v>22</v>
      </c>
      <c r="Q301" s="174" t="s">
        <v>129</v>
      </c>
      <c r="R301" s="174" t="s">
        <v>1463</v>
      </c>
      <c r="S301" s="174" t="s">
        <v>132</v>
      </c>
      <c r="T301" s="175"/>
      <c r="U301" s="175"/>
      <c r="V301" s="174" t="s">
        <v>469</v>
      </c>
      <c r="W301" s="174" t="s">
        <v>809</v>
      </c>
      <c r="X301" s="174" t="s">
        <v>22</v>
      </c>
      <c r="Y301" s="174"/>
      <c r="Z301" s="175"/>
      <c r="AA301" s="174" t="s">
        <v>512</v>
      </c>
      <c r="AB301" s="176">
        <v>43164.709270833337</v>
      </c>
      <c r="AC301" s="174" t="s">
        <v>1463</v>
      </c>
      <c r="AD301" s="176">
        <v>43164.701608796298</v>
      </c>
      <c r="AE301" s="176">
        <v>43164.701655092591</v>
      </c>
      <c r="AF301" s="175"/>
    </row>
    <row r="302" spans="1:32" x14ac:dyDescent="0.25">
      <c r="A302" s="174" t="s">
        <v>461</v>
      </c>
      <c r="B302" s="174" t="s">
        <v>1464</v>
      </c>
      <c r="C302" s="174" t="s">
        <v>463</v>
      </c>
      <c r="D302" s="174" t="s">
        <v>806</v>
      </c>
      <c r="E302" s="176">
        <v>43164</v>
      </c>
      <c r="F302" s="176">
        <v>43165</v>
      </c>
      <c r="G302" s="174" t="s">
        <v>1363</v>
      </c>
      <c r="H302" s="177" t="s">
        <v>466</v>
      </c>
      <c r="I302" s="174" t="s">
        <v>524</v>
      </c>
      <c r="J302" s="178">
        <v>3000000</v>
      </c>
      <c r="K302" s="178">
        <v>99.556410159999999</v>
      </c>
      <c r="L302" s="178">
        <v>2.406577215</v>
      </c>
      <c r="M302" s="178">
        <v>2990235.1224795603</v>
      </c>
      <c r="N302" s="174" t="s">
        <v>337</v>
      </c>
      <c r="O302" s="174" t="s">
        <v>525</v>
      </c>
      <c r="P302" s="174" t="s">
        <v>22</v>
      </c>
      <c r="Q302" s="174" t="s">
        <v>129</v>
      </c>
      <c r="R302" s="174" t="s">
        <v>1465</v>
      </c>
      <c r="S302" s="174" t="s">
        <v>132</v>
      </c>
      <c r="T302" s="175"/>
      <c r="U302" s="175"/>
      <c r="V302" s="174" t="s">
        <v>469</v>
      </c>
      <c r="W302" s="174" t="s">
        <v>809</v>
      </c>
      <c r="X302" s="174" t="s">
        <v>22</v>
      </c>
      <c r="Y302" s="174"/>
      <c r="Z302" s="175"/>
      <c r="AA302" s="174" t="s">
        <v>512</v>
      </c>
      <c r="AB302" s="176">
        <v>43164.709270833337</v>
      </c>
      <c r="AC302" s="174" t="s">
        <v>1465</v>
      </c>
      <c r="AD302" s="176">
        <v>43164.701527777775</v>
      </c>
      <c r="AE302" s="176">
        <v>43164.70171296296</v>
      </c>
      <c r="AF302" s="175"/>
    </row>
    <row r="303" spans="1:32" x14ac:dyDescent="0.25">
      <c r="A303" s="174" t="s">
        <v>484</v>
      </c>
      <c r="B303" s="174" t="s">
        <v>1466</v>
      </c>
      <c r="C303" s="174" t="s">
        <v>478</v>
      </c>
      <c r="D303" s="174" t="s">
        <v>479</v>
      </c>
      <c r="E303" s="176">
        <v>43164</v>
      </c>
      <c r="F303" s="176">
        <v>43166</v>
      </c>
      <c r="G303" s="174" t="s">
        <v>1363</v>
      </c>
      <c r="H303" s="177" t="s">
        <v>466</v>
      </c>
      <c r="I303" s="174" t="s">
        <v>630</v>
      </c>
      <c r="J303" s="178">
        <v>2275000</v>
      </c>
      <c r="K303" s="178">
        <v>95.02</v>
      </c>
      <c r="L303" s="178">
        <v>4.6766493296</v>
      </c>
      <c r="M303" s="178">
        <v>2187008.0555555602</v>
      </c>
      <c r="N303" s="174" t="s">
        <v>337</v>
      </c>
      <c r="O303" s="174" t="s">
        <v>631</v>
      </c>
      <c r="P303" s="174" t="s">
        <v>22</v>
      </c>
      <c r="Q303" s="174" t="s">
        <v>129</v>
      </c>
      <c r="R303" s="174" t="s">
        <v>1467</v>
      </c>
      <c r="S303" s="174" t="s">
        <v>132</v>
      </c>
      <c r="T303" s="175"/>
      <c r="U303" s="175"/>
      <c r="V303" s="174" t="s">
        <v>633</v>
      </c>
      <c r="W303" s="174" t="s">
        <v>481</v>
      </c>
      <c r="X303" s="174" t="s">
        <v>22</v>
      </c>
      <c r="Y303" s="174"/>
      <c r="Z303" s="175"/>
      <c r="AA303" s="174" t="s">
        <v>472</v>
      </c>
      <c r="AB303" s="176">
        <v>43165.354097222225</v>
      </c>
      <c r="AC303" s="174" t="s">
        <v>1467</v>
      </c>
      <c r="AD303" s="176">
        <v>43165.35229166667</v>
      </c>
      <c r="AE303" s="176">
        <v>43165.352500000001</v>
      </c>
      <c r="AF303" s="175"/>
    </row>
    <row r="304" spans="1:32" x14ac:dyDescent="0.25">
      <c r="A304" s="174" t="s">
        <v>461</v>
      </c>
      <c r="B304" s="174" t="s">
        <v>1472</v>
      </c>
      <c r="C304" s="174" t="s">
        <v>1473</v>
      </c>
      <c r="D304" s="174" t="s">
        <v>1474</v>
      </c>
      <c r="E304" s="176">
        <v>43164</v>
      </c>
      <c r="F304" s="176">
        <v>43164</v>
      </c>
      <c r="G304" s="174" t="s">
        <v>1363</v>
      </c>
      <c r="H304" s="179" t="s">
        <v>486</v>
      </c>
      <c r="I304" s="174" t="s">
        <v>1475</v>
      </c>
      <c r="J304" s="178">
        <v>2287</v>
      </c>
      <c r="K304" s="178">
        <v>838.44409800000005</v>
      </c>
      <c r="L304" s="178">
        <v>7.9000000371999999</v>
      </c>
      <c r="M304" s="178">
        <v>-1917521.652126</v>
      </c>
      <c r="N304" s="174" t="s">
        <v>1476</v>
      </c>
      <c r="O304" s="174" t="s">
        <v>1477</v>
      </c>
      <c r="P304" s="174" t="s">
        <v>23</v>
      </c>
      <c r="Q304" s="174" t="s">
        <v>129</v>
      </c>
      <c r="R304" s="175"/>
      <c r="S304" s="175"/>
      <c r="T304" s="175"/>
      <c r="U304" s="175"/>
      <c r="V304" s="174" t="s">
        <v>1478</v>
      </c>
      <c r="W304" s="174" t="s">
        <v>1479</v>
      </c>
      <c r="X304" s="174" t="s">
        <v>24</v>
      </c>
      <c r="Y304" s="174"/>
      <c r="Z304" s="174" t="s">
        <v>1480</v>
      </c>
      <c r="AA304" s="174" t="s">
        <v>795</v>
      </c>
      <c r="AB304" s="176">
        <v>43164.402800925927</v>
      </c>
      <c r="AC304" s="175"/>
      <c r="AD304" s="176">
        <v>43164.419178240743</v>
      </c>
      <c r="AE304" s="176">
        <v>43164.419178240743</v>
      </c>
      <c r="AF304" s="175"/>
    </row>
    <row r="305" spans="1:32" x14ac:dyDescent="0.25">
      <c r="A305" s="174" t="s">
        <v>461</v>
      </c>
      <c r="B305" s="174" t="s">
        <v>1481</v>
      </c>
      <c r="C305" s="174" t="s">
        <v>497</v>
      </c>
      <c r="D305" s="174" t="s">
        <v>946</v>
      </c>
      <c r="E305" s="176">
        <v>43164</v>
      </c>
      <c r="F305" s="176">
        <v>43166</v>
      </c>
      <c r="G305" s="174" t="s">
        <v>1363</v>
      </c>
      <c r="H305" s="177" t="s">
        <v>466</v>
      </c>
      <c r="I305" s="174" t="s">
        <v>1482</v>
      </c>
      <c r="J305" s="178">
        <v>50000000</v>
      </c>
      <c r="K305" s="178">
        <v>136.25</v>
      </c>
      <c r="L305" s="178">
        <v>-6.7921743608999998</v>
      </c>
      <c r="M305" s="178">
        <v>3332925.63600783</v>
      </c>
      <c r="N305" s="174" t="s">
        <v>337</v>
      </c>
      <c r="O305" s="174" t="s">
        <v>1483</v>
      </c>
      <c r="P305" s="174" t="s">
        <v>23</v>
      </c>
      <c r="Q305" s="174" t="s">
        <v>129</v>
      </c>
      <c r="R305" s="175"/>
      <c r="S305" s="175"/>
      <c r="T305" s="175"/>
      <c r="U305" s="175"/>
      <c r="V305" s="174" t="s">
        <v>502</v>
      </c>
      <c r="W305" s="174" t="s">
        <v>951</v>
      </c>
      <c r="X305" s="174" t="s">
        <v>24</v>
      </c>
      <c r="Y305" s="174"/>
      <c r="Z305" s="174" t="s">
        <v>1484</v>
      </c>
      <c r="AA305" s="174" t="s">
        <v>472</v>
      </c>
      <c r="AB305" s="176">
        <v>43164.467534722222</v>
      </c>
      <c r="AC305" s="175"/>
      <c r="AD305" s="176">
        <v>43164.617337962962</v>
      </c>
      <c r="AE305" s="176">
        <v>43164.617337962962</v>
      </c>
      <c r="AF305" s="175"/>
    </row>
    <row r="306" spans="1:32" x14ac:dyDescent="0.25">
      <c r="A306" s="174" t="s">
        <v>484</v>
      </c>
      <c r="B306" s="174" t="s">
        <v>1485</v>
      </c>
      <c r="C306" s="174" t="s">
        <v>478</v>
      </c>
      <c r="D306" s="174" t="s">
        <v>558</v>
      </c>
      <c r="E306" s="176">
        <v>43164</v>
      </c>
      <c r="F306" s="176">
        <v>43167</v>
      </c>
      <c r="G306" s="174" t="s">
        <v>1363</v>
      </c>
      <c r="H306" s="179" t="s">
        <v>486</v>
      </c>
      <c r="I306" s="174" t="s">
        <v>1486</v>
      </c>
      <c r="J306" s="178">
        <v>2730000</v>
      </c>
      <c r="K306" s="178">
        <v>99.611999999999995</v>
      </c>
      <c r="L306" s="178">
        <v>4.0140509060999996</v>
      </c>
      <c r="M306" s="178">
        <v>-2719407.6</v>
      </c>
      <c r="N306" s="174" t="s">
        <v>337</v>
      </c>
      <c r="O306" s="174" t="s">
        <v>1487</v>
      </c>
      <c r="P306" s="174" t="s">
        <v>24</v>
      </c>
      <c r="Q306" s="174" t="s">
        <v>129</v>
      </c>
      <c r="R306" s="175"/>
      <c r="S306" s="175"/>
      <c r="T306" s="175"/>
      <c r="U306" s="175"/>
      <c r="V306" s="174" t="s">
        <v>489</v>
      </c>
      <c r="W306" s="174" t="s">
        <v>560</v>
      </c>
      <c r="X306" s="174" t="s">
        <v>24</v>
      </c>
      <c r="Y306" s="174"/>
      <c r="Z306" s="175"/>
      <c r="AA306" s="174" t="s">
        <v>512</v>
      </c>
      <c r="AB306" s="176">
        <v>43164.643252314818</v>
      </c>
      <c r="AC306" s="175"/>
      <c r="AD306" s="176">
        <v>43164.640925925924</v>
      </c>
      <c r="AE306" s="176">
        <v>43164.640972222223</v>
      </c>
      <c r="AF306" s="175"/>
    </row>
    <row r="307" spans="1:32" x14ac:dyDescent="0.25">
      <c r="A307" s="174" t="s">
        <v>651</v>
      </c>
      <c r="B307" s="174" t="s">
        <v>1488</v>
      </c>
      <c r="C307" s="174" t="s">
        <v>653</v>
      </c>
      <c r="D307" s="174" t="s">
        <v>1160</v>
      </c>
      <c r="E307" s="176">
        <v>43164</v>
      </c>
      <c r="F307" s="176">
        <v>43172</v>
      </c>
      <c r="G307" s="174" t="s">
        <v>1363</v>
      </c>
      <c r="H307" s="179" t="s">
        <v>486</v>
      </c>
      <c r="I307" s="174" t="s">
        <v>1066</v>
      </c>
      <c r="J307" s="178">
        <v>25000000</v>
      </c>
      <c r="K307" s="178">
        <v>102.33984375</v>
      </c>
      <c r="L307" s="178">
        <v>3.8531308284999999</v>
      </c>
      <c r="M307" s="178">
        <v>-25584960.9375</v>
      </c>
      <c r="N307" s="174" t="s">
        <v>337</v>
      </c>
      <c r="O307" s="174" t="s">
        <v>1067</v>
      </c>
      <c r="P307" s="174" t="s">
        <v>24</v>
      </c>
      <c r="Q307" s="174" t="s">
        <v>129</v>
      </c>
      <c r="R307" s="175"/>
      <c r="S307" s="175"/>
      <c r="T307" s="175"/>
      <c r="U307" s="175"/>
      <c r="V307" s="174" t="s">
        <v>651</v>
      </c>
      <c r="W307" s="174" t="s">
        <v>1162</v>
      </c>
      <c r="X307" s="174" t="s">
        <v>24</v>
      </c>
      <c r="Y307" s="174"/>
      <c r="Z307" s="175"/>
      <c r="AA307" s="174"/>
      <c r="AB307" s="176">
        <v>43164.482708333337</v>
      </c>
      <c r="AC307" s="175"/>
      <c r="AD307" s="176">
        <v>43164.476412037038</v>
      </c>
      <c r="AE307" s="176">
        <v>43164.482986111114</v>
      </c>
      <c r="AF307" s="175"/>
    </row>
    <row r="308" spans="1:32" x14ac:dyDescent="0.25">
      <c r="A308" s="174" t="s">
        <v>484</v>
      </c>
      <c r="B308" s="174" t="s">
        <v>1489</v>
      </c>
      <c r="C308" s="174" t="s">
        <v>478</v>
      </c>
      <c r="D308" s="174" t="s">
        <v>768</v>
      </c>
      <c r="E308" s="176">
        <v>43164</v>
      </c>
      <c r="F308" s="176">
        <v>43166</v>
      </c>
      <c r="G308" s="174" t="s">
        <v>1490</v>
      </c>
      <c r="H308" s="177" t="s">
        <v>466</v>
      </c>
      <c r="I308" s="174" t="s">
        <v>1457</v>
      </c>
      <c r="J308" s="178">
        <v>958000</v>
      </c>
      <c r="K308" s="178">
        <v>93.534999999999997</v>
      </c>
      <c r="L308" s="178">
        <v>4.9339910464000001</v>
      </c>
      <c r="M308" s="178">
        <v>916762.9964444401</v>
      </c>
      <c r="N308" s="174" t="s">
        <v>337</v>
      </c>
      <c r="O308" s="174" t="s">
        <v>1458</v>
      </c>
      <c r="P308" s="174" t="s">
        <v>23</v>
      </c>
      <c r="Q308" s="174" t="s">
        <v>130</v>
      </c>
      <c r="R308" s="175"/>
      <c r="S308" s="175"/>
      <c r="T308" s="175"/>
      <c r="U308" s="175"/>
      <c r="V308" s="174" t="s">
        <v>489</v>
      </c>
      <c r="W308" s="174" t="s">
        <v>770</v>
      </c>
      <c r="X308" s="174" t="s">
        <v>24</v>
      </c>
      <c r="Y308" s="174"/>
      <c r="Z308" s="174" t="s">
        <v>1491</v>
      </c>
      <c r="AA308" s="174" t="s">
        <v>483</v>
      </c>
      <c r="AB308" s="175"/>
      <c r="AC308" s="175"/>
      <c r="AD308" s="176">
        <v>43164.679710648146</v>
      </c>
      <c r="AE308" s="176">
        <v>43164.679710648146</v>
      </c>
      <c r="AF308" s="175"/>
    </row>
    <row r="309" spans="1:32" x14ac:dyDescent="0.25">
      <c r="A309" s="174" t="s">
        <v>484</v>
      </c>
      <c r="B309" s="174" t="s">
        <v>1492</v>
      </c>
      <c r="C309" s="174" t="s">
        <v>478</v>
      </c>
      <c r="D309" s="174" t="s">
        <v>590</v>
      </c>
      <c r="E309" s="176">
        <v>43164</v>
      </c>
      <c r="F309" s="176">
        <v>43166</v>
      </c>
      <c r="G309" s="174" t="s">
        <v>1493</v>
      </c>
      <c r="H309" s="177" t="s">
        <v>466</v>
      </c>
      <c r="I309" s="174" t="s">
        <v>591</v>
      </c>
      <c r="J309" s="178">
        <v>500000</v>
      </c>
      <c r="K309" s="178">
        <v>79</v>
      </c>
      <c r="L309" s="178">
        <v>14.196972647999999</v>
      </c>
      <c r="M309" s="178">
        <v>404111.11111111002</v>
      </c>
      <c r="N309" s="174" t="s">
        <v>337</v>
      </c>
      <c r="O309" s="174" t="s">
        <v>592</v>
      </c>
      <c r="P309" s="174" t="s">
        <v>24</v>
      </c>
      <c r="Q309" s="174" t="s">
        <v>130</v>
      </c>
      <c r="R309" s="175"/>
      <c r="S309" s="175"/>
      <c r="T309" s="175"/>
      <c r="U309" s="175"/>
      <c r="V309" s="174" t="s">
        <v>489</v>
      </c>
      <c r="W309" s="174" t="s">
        <v>594</v>
      </c>
      <c r="X309" s="174" t="s">
        <v>24</v>
      </c>
      <c r="Y309" s="174"/>
      <c r="Z309" s="175"/>
      <c r="AA309" s="174" t="s">
        <v>472</v>
      </c>
      <c r="AB309" s="175"/>
      <c r="AC309" s="175"/>
      <c r="AD309" s="176">
        <v>43164.566307870373</v>
      </c>
      <c r="AE309" s="176">
        <v>43164.566377314812</v>
      </c>
      <c r="AF309" s="175"/>
    </row>
    <row r="310" spans="1:32" x14ac:dyDescent="0.25">
      <c r="A310" s="174" t="s">
        <v>484</v>
      </c>
      <c r="B310" s="174" t="s">
        <v>1494</v>
      </c>
      <c r="C310" s="174" t="s">
        <v>478</v>
      </c>
      <c r="D310" s="174" t="s">
        <v>768</v>
      </c>
      <c r="E310" s="176">
        <v>43164</v>
      </c>
      <c r="F310" s="176">
        <v>43166</v>
      </c>
      <c r="G310" s="174" t="s">
        <v>1495</v>
      </c>
      <c r="H310" s="179" t="s">
        <v>486</v>
      </c>
      <c r="I310" s="174" t="s">
        <v>772</v>
      </c>
      <c r="J310" s="178">
        <v>6745000</v>
      </c>
      <c r="K310" s="178">
        <v>95.611999999999995</v>
      </c>
      <c r="L310" s="178">
        <v>4.4924158318999998</v>
      </c>
      <c r="M310" s="178">
        <v>-6571882.0805555601</v>
      </c>
      <c r="N310" s="174" t="s">
        <v>337</v>
      </c>
      <c r="O310" s="174" t="s">
        <v>773</v>
      </c>
      <c r="P310" s="174" t="s">
        <v>22</v>
      </c>
      <c r="Q310" s="174" t="s">
        <v>129</v>
      </c>
      <c r="R310" s="174" t="s">
        <v>1496</v>
      </c>
      <c r="S310" s="174" t="s">
        <v>132</v>
      </c>
      <c r="T310" s="175"/>
      <c r="U310" s="175"/>
      <c r="V310" s="174" t="s">
        <v>489</v>
      </c>
      <c r="W310" s="174" t="s">
        <v>770</v>
      </c>
      <c r="X310" s="174" t="s">
        <v>22</v>
      </c>
      <c r="Y310" s="174"/>
      <c r="Z310" s="175"/>
      <c r="AA310" s="174" t="s">
        <v>512</v>
      </c>
      <c r="AB310" s="176">
        <v>43164.610729166663</v>
      </c>
      <c r="AC310" s="174" t="s">
        <v>1496</v>
      </c>
      <c r="AD310" s="176">
        <v>43164.604027777779</v>
      </c>
      <c r="AE310" s="176">
        <v>43164.604074074072</v>
      </c>
      <c r="AF310" s="175"/>
    </row>
    <row r="311" spans="1:32" x14ac:dyDescent="0.25">
      <c r="A311" s="174" t="s">
        <v>461</v>
      </c>
      <c r="B311" s="174" t="s">
        <v>1497</v>
      </c>
      <c r="C311" s="174" t="s">
        <v>478</v>
      </c>
      <c r="D311" s="174" t="s">
        <v>768</v>
      </c>
      <c r="E311" s="176">
        <v>43164</v>
      </c>
      <c r="F311" s="176">
        <v>43165</v>
      </c>
      <c r="G311" s="174" t="s">
        <v>1495</v>
      </c>
      <c r="H311" s="177" t="s">
        <v>466</v>
      </c>
      <c r="I311" s="174" t="s">
        <v>475</v>
      </c>
      <c r="J311" s="178">
        <v>6200000</v>
      </c>
      <c r="K311" s="178">
        <v>98.8125</v>
      </c>
      <c r="L311" s="178">
        <v>2.8880910082</v>
      </c>
      <c r="M311" s="178">
        <v>6135323.8950276198</v>
      </c>
      <c r="N311" s="174" t="s">
        <v>337</v>
      </c>
      <c r="O311" s="174" t="s">
        <v>476</v>
      </c>
      <c r="P311" s="174" t="s">
        <v>22</v>
      </c>
      <c r="Q311" s="174" t="s">
        <v>129</v>
      </c>
      <c r="R311" s="174" t="s">
        <v>1498</v>
      </c>
      <c r="S311" s="174" t="s">
        <v>132</v>
      </c>
      <c r="T311" s="175"/>
      <c r="U311" s="175"/>
      <c r="V311" s="174" t="s">
        <v>469</v>
      </c>
      <c r="W311" s="174" t="s">
        <v>770</v>
      </c>
      <c r="X311" s="174" t="s">
        <v>22</v>
      </c>
      <c r="Y311" s="174"/>
      <c r="Z311" s="175"/>
      <c r="AA311" s="174" t="s">
        <v>512</v>
      </c>
      <c r="AB311" s="176">
        <v>43164.610729166663</v>
      </c>
      <c r="AC311" s="174" t="s">
        <v>1498</v>
      </c>
      <c r="AD311" s="176">
        <v>43164.604004629633</v>
      </c>
      <c r="AE311" s="176">
        <v>43164.604085648149</v>
      </c>
      <c r="AF311" s="175"/>
    </row>
    <row r="312" spans="1:32" x14ac:dyDescent="0.25">
      <c r="A312" s="174" t="s">
        <v>461</v>
      </c>
      <c r="B312" s="174" t="s">
        <v>1499</v>
      </c>
      <c r="C312" s="174" t="s">
        <v>478</v>
      </c>
      <c r="D312" s="174" t="s">
        <v>479</v>
      </c>
      <c r="E312" s="176">
        <v>43164</v>
      </c>
      <c r="F312" s="176">
        <v>43165</v>
      </c>
      <c r="G312" s="174" t="s">
        <v>1500</v>
      </c>
      <c r="H312" s="179" t="s">
        <v>486</v>
      </c>
      <c r="I312" s="174" t="s">
        <v>543</v>
      </c>
      <c r="J312" s="178">
        <v>2202000</v>
      </c>
      <c r="K312" s="178">
        <v>92.1875</v>
      </c>
      <c r="L312" s="178">
        <v>3.1572221045000002</v>
      </c>
      <c r="M312" s="178">
        <v>-2048536.7196132601</v>
      </c>
      <c r="N312" s="174" t="s">
        <v>337</v>
      </c>
      <c r="O312" s="174" t="s">
        <v>544</v>
      </c>
      <c r="P312" s="174" t="s">
        <v>22</v>
      </c>
      <c r="Q312" s="174" t="s">
        <v>129</v>
      </c>
      <c r="R312" s="174" t="s">
        <v>1501</v>
      </c>
      <c r="S312" s="174" t="s">
        <v>132</v>
      </c>
      <c r="T312" s="175"/>
      <c r="U312" s="175"/>
      <c r="V312" s="174" t="s">
        <v>469</v>
      </c>
      <c r="W312" s="174" t="s">
        <v>481</v>
      </c>
      <c r="X312" s="174" t="s">
        <v>22</v>
      </c>
      <c r="Y312" s="174"/>
      <c r="Z312" s="175"/>
      <c r="AA312" s="174" t="s">
        <v>512</v>
      </c>
      <c r="AB312" s="176">
        <v>43164.532129629632</v>
      </c>
      <c r="AC312" s="174" t="s">
        <v>1501</v>
      </c>
      <c r="AD312" s="176">
        <v>43164.52579861111</v>
      </c>
      <c r="AE312" s="176">
        <v>43164.52584490741</v>
      </c>
      <c r="AF312" s="175"/>
    </row>
    <row r="313" spans="1:32" x14ac:dyDescent="0.25">
      <c r="A313" s="174" t="s">
        <v>484</v>
      </c>
      <c r="B313" s="174" t="s">
        <v>1502</v>
      </c>
      <c r="C313" s="174" t="s">
        <v>478</v>
      </c>
      <c r="D313" s="174" t="s">
        <v>479</v>
      </c>
      <c r="E313" s="176">
        <v>43164</v>
      </c>
      <c r="F313" s="176">
        <v>43166</v>
      </c>
      <c r="G313" s="174" t="s">
        <v>1500</v>
      </c>
      <c r="H313" s="177" t="s">
        <v>466</v>
      </c>
      <c r="I313" s="174" t="s">
        <v>1503</v>
      </c>
      <c r="J313" s="178">
        <v>2275000</v>
      </c>
      <c r="K313" s="178">
        <v>98.483999999999995</v>
      </c>
      <c r="L313" s="178">
        <v>3.9869827004</v>
      </c>
      <c r="M313" s="178">
        <v>2243961.4166666702</v>
      </c>
      <c r="N313" s="174" t="s">
        <v>337</v>
      </c>
      <c r="O313" s="174" t="s">
        <v>1504</v>
      </c>
      <c r="P313" s="174" t="s">
        <v>22</v>
      </c>
      <c r="Q313" s="174" t="s">
        <v>129</v>
      </c>
      <c r="R313" s="174" t="s">
        <v>1505</v>
      </c>
      <c r="S313" s="174" t="s">
        <v>132</v>
      </c>
      <c r="T313" s="175"/>
      <c r="U313" s="175"/>
      <c r="V313" s="174" t="s">
        <v>489</v>
      </c>
      <c r="W313" s="174" t="s">
        <v>481</v>
      </c>
      <c r="X313" s="174" t="s">
        <v>22</v>
      </c>
      <c r="Y313" s="174"/>
      <c r="Z313" s="175"/>
      <c r="AA313" s="174" t="s">
        <v>512</v>
      </c>
      <c r="AB313" s="176">
        <v>43164.532129629632</v>
      </c>
      <c r="AC313" s="174" t="s">
        <v>1505</v>
      </c>
      <c r="AD313" s="176">
        <v>43164.52579861111</v>
      </c>
      <c r="AE313" s="176">
        <v>43164.525856481479</v>
      </c>
      <c r="AF313" s="175"/>
    </row>
    <row r="314" spans="1:32" x14ac:dyDescent="0.25">
      <c r="A314" s="174" t="s">
        <v>461</v>
      </c>
      <c r="B314" s="174" t="s">
        <v>1506</v>
      </c>
      <c r="C314" s="174" t="s">
        <v>566</v>
      </c>
      <c r="D314" s="174" t="s">
        <v>1507</v>
      </c>
      <c r="E314" s="176">
        <v>43164</v>
      </c>
      <c r="F314" s="176">
        <v>43166</v>
      </c>
      <c r="G314" s="174" t="s">
        <v>1508</v>
      </c>
      <c r="H314" s="177" t="s">
        <v>466</v>
      </c>
      <c r="I314" s="174" t="s">
        <v>1509</v>
      </c>
      <c r="J314" s="178">
        <v>750000</v>
      </c>
      <c r="K314" s="178">
        <v>101.25</v>
      </c>
      <c r="L314" s="178">
        <v>8.1376809607999991</v>
      </c>
      <c r="M314" s="178">
        <v>760921.875</v>
      </c>
      <c r="N314" s="174" t="s">
        <v>337</v>
      </c>
      <c r="O314" s="174" t="s">
        <v>1510</v>
      </c>
      <c r="P314" s="174" t="s">
        <v>22</v>
      </c>
      <c r="Q314" s="174" t="s">
        <v>129</v>
      </c>
      <c r="R314" s="174" t="s">
        <v>1511</v>
      </c>
      <c r="S314" s="174" t="s">
        <v>132</v>
      </c>
      <c r="T314" s="175"/>
      <c r="U314" s="175"/>
      <c r="V314" s="174" t="s">
        <v>1512</v>
      </c>
      <c r="W314" s="174" t="s">
        <v>1513</v>
      </c>
      <c r="X314" s="174" t="s">
        <v>22</v>
      </c>
      <c r="Y314" s="174"/>
      <c r="Z314" s="175"/>
      <c r="AA314" s="174" t="s">
        <v>1514</v>
      </c>
      <c r="AB314" s="176">
        <v>43164.312638888892</v>
      </c>
      <c r="AC314" s="174" t="s">
        <v>1511</v>
      </c>
      <c r="AD314" s="176">
        <v>43164.317974537036</v>
      </c>
      <c r="AE314" s="176">
        <v>43164.317974537036</v>
      </c>
      <c r="AF314" s="175"/>
    </row>
    <row r="315" spans="1:32" x14ac:dyDescent="0.25">
      <c r="A315" s="174" t="s">
        <v>461</v>
      </c>
      <c r="B315" s="174" t="s">
        <v>1515</v>
      </c>
      <c r="C315" s="174" t="s">
        <v>463</v>
      </c>
      <c r="D315" s="174" t="s">
        <v>506</v>
      </c>
      <c r="E315" s="176">
        <v>43164</v>
      </c>
      <c r="F315" s="176">
        <v>43165</v>
      </c>
      <c r="G315" s="174" t="s">
        <v>1508</v>
      </c>
      <c r="H315" s="179" t="s">
        <v>486</v>
      </c>
      <c r="I315" s="174" t="s">
        <v>1516</v>
      </c>
      <c r="J315" s="178">
        <v>171000000</v>
      </c>
      <c r="K315" s="178">
        <v>95.8828125</v>
      </c>
      <c r="L315" s="178">
        <v>2.8157835809999998</v>
      </c>
      <c r="M315" s="178">
        <v>-165526913.63324177</v>
      </c>
      <c r="N315" s="174" t="s">
        <v>337</v>
      </c>
      <c r="O315" s="174" t="s">
        <v>1517</v>
      </c>
      <c r="P315" s="174" t="s">
        <v>22</v>
      </c>
      <c r="Q315" s="174" t="s">
        <v>129</v>
      </c>
      <c r="R315" s="174" t="s">
        <v>1518</v>
      </c>
      <c r="S315" s="174" t="s">
        <v>132</v>
      </c>
      <c r="T315" s="175"/>
      <c r="U315" s="175"/>
      <c r="V315" s="174" t="s">
        <v>469</v>
      </c>
      <c r="W315" s="174" t="s">
        <v>511</v>
      </c>
      <c r="X315" s="174" t="s">
        <v>22</v>
      </c>
      <c r="Y315" s="174"/>
      <c r="Z315" s="175"/>
      <c r="AA315" s="174" t="s">
        <v>512</v>
      </c>
      <c r="AB315" s="176">
        <v>43164.448148148149</v>
      </c>
      <c r="AC315" s="174" t="s">
        <v>1518</v>
      </c>
      <c r="AD315" s="176">
        <v>43164.442465277774</v>
      </c>
      <c r="AE315" s="176">
        <v>43164.442546296297</v>
      </c>
      <c r="AF315" s="175"/>
    </row>
    <row r="316" spans="1:32" x14ac:dyDescent="0.25">
      <c r="A316" s="174" t="s">
        <v>461</v>
      </c>
      <c r="B316" s="174" t="s">
        <v>1519</v>
      </c>
      <c r="C316" s="174" t="s">
        <v>463</v>
      </c>
      <c r="D316" s="174" t="s">
        <v>506</v>
      </c>
      <c r="E316" s="176">
        <v>43164</v>
      </c>
      <c r="F316" s="176">
        <v>43165</v>
      </c>
      <c r="G316" s="174" t="s">
        <v>1508</v>
      </c>
      <c r="H316" s="177" t="s">
        <v>466</v>
      </c>
      <c r="I316" s="174" t="s">
        <v>508</v>
      </c>
      <c r="J316" s="178">
        <v>158400000</v>
      </c>
      <c r="K316" s="178">
        <v>99.5</v>
      </c>
      <c r="L316" s="178">
        <v>2.8293568444999999</v>
      </c>
      <c r="M316" s="178">
        <v>157679021.73913041</v>
      </c>
      <c r="N316" s="174" t="s">
        <v>337</v>
      </c>
      <c r="O316" s="174" t="s">
        <v>509</v>
      </c>
      <c r="P316" s="174" t="s">
        <v>22</v>
      </c>
      <c r="Q316" s="174" t="s">
        <v>129</v>
      </c>
      <c r="R316" s="174" t="s">
        <v>1520</v>
      </c>
      <c r="S316" s="174" t="s">
        <v>132</v>
      </c>
      <c r="T316" s="175"/>
      <c r="U316" s="175"/>
      <c r="V316" s="174" t="s">
        <v>469</v>
      </c>
      <c r="W316" s="174" t="s">
        <v>511</v>
      </c>
      <c r="X316" s="174" t="s">
        <v>22</v>
      </c>
      <c r="Y316" s="174"/>
      <c r="Z316" s="175"/>
      <c r="AA316" s="174" t="s">
        <v>512</v>
      </c>
      <c r="AB316" s="176">
        <v>43164.448148148149</v>
      </c>
      <c r="AC316" s="174" t="s">
        <v>1520</v>
      </c>
      <c r="AD316" s="176">
        <v>43164.442465277774</v>
      </c>
      <c r="AE316" s="176">
        <v>43164.442557870374</v>
      </c>
      <c r="AF316" s="175"/>
    </row>
    <row r="317" spans="1:32" x14ac:dyDescent="0.25">
      <c r="A317" s="174" t="s">
        <v>461</v>
      </c>
      <c r="B317" s="174" t="s">
        <v>1521</v>
      </c>
      <c r="C317" s="174" t="s">
        <v>463</v>
      </c>
      <c r="D317" s="174" t="s">
        <v>506</v>
      </c>
      <c r="E317" s="176">
        <v>43164</v>
      </c>
      <c r="F317" s="176">
        <v>43165</v>
      </c>
      <c r="G317" s="174" t="s">
        <v>1508</v>
      </c>
      <c r="H317" s="179" t="s">
        <v>486</v>
      </c>
      <c r="I317" s="174" t="s">
        <v>1522</v>
      </c>
      <c r="J317" s="178">
        <v>100000000</v>
      </c>
      <c r="K317" s="178">
        <v>97.359375</v>
      </c>
      <c r="L317" s="178">
        <v>2.5899165304</v>
      </c>
      <c r="M317" s="178">
        <v>-97535479.972375691</v>
      </c>
      <c r="N317" s="174" t="s">
        <v>337</v>
      </c>
      <c r="O317" s="174" t="s">
        <v>1523</v>
      </c>
      <c r="P317" s="174" t="s">
        <v>22</v>
      </c>
      <c r="Q317" s="174" t="s">
        <v>129</v>
      </c>
      <c r="R317" s="174" t="s">
        <v>1524</v>
      </c>
      <c r="S317" s="174" t="s">
        <v>132</v>
      </c>
      <c r="T317" s="175"/>
      <c r="U317" s="175"/>
      <c r="V317" s="174" t="s">
        <v>469</v>
      </c>
      <c r="W317" s="174" t="s">
        <v>511</v>
      </c>
      <c r="X317" s="174" t="s">
        <v>22</v>
      </c>
      <c r="Y317" s="174"/>
      <c r="Z317" s="175"/>
      <c r="AA317" s="174" t="s">
        <v>512</v>
      </c>
      <c r="AB317" s="176">
        <v>43164.448148148149</v>
      </c>
      <c r="AC317" s="174" t="s">
        <v>1524</v>
      </c>
      <c r="AD317" s="176">
        <v>43164.446296296293</v>
      </c>
      <c r="AE317" s="176">
        <v>43164.44635416667</v>
      </c>
      <c r="AF317" s="175"/>
    </row>
    <row r="318" spans="1:32" x14ac:dyDescent="0.25">
      <c r="A318" s="174" t="s">
        <v>461</v>
      </c>
      <c r="B318" s="174" t="s">
        <v>1525</v>
      </c>
      <c r="C318" s="174" t="s">
        <v>463</v>
      </c>
      <c r="D318" s="174" t="s">
        <v>506</v>
      </c>
      <c r="E318" s="176">
        <v>43164</v>
      </c>
      <c r="F318" s="176">
        <v>43165</v>
      </c>
      <c r="G318" s="174" t="s">
        <v>1508</v>
      </c>
      <c r="H318" s="177" t="s">
        <v>466</v>
      </c>
      <c r="I318" s="174" t="s">
        <v>467</v>
      </c>
      <c r="J318" s="178">
        <v>78500000</v>
      </c>
      <c r="K318" s="178">
        <v>99.75</v>
      </c>
      <c r="L318" s="178">
        <v>2.6788620698000001</v>
      </c>
      <c r="M318" s="178">
        <v>78337347.146739125</v>
      </c>
      <c r="N318" s="174" t="s">
        <v>337</v>
      </c>
      <c r="O318" s="174" t="s">
        <v>468</v>
      </c>
      <c r="P318" s="174" t="s">
        <v>22</v>
      </c>
      <c r="Q318" s="174" t="s">
        <v>129</v>
      </c>
      <c r="R318" s="174" t="s">
        <v>1526</v>
      </c>
      <c r="S318" s="174" t="s">
        <v>132</v>
      </c>
      <c r="T318" s="175"/>
      <c r="U318" s="175"/>
      <c r="V318" s="174" t="s">
        <v>469</v>
      </c>
      <c r="W318" s="174" t="s">
        <v>511</v>
      </c>
      <c r="X318" s="174" t="s">
        <v>22</v>
      </c>
      <c r="Y318" s="174"/>
      <c r="Z318" s="175"/>
      <c r="AA318" s="174" t="s">
        <v>512</v>
      </c>
      <c r="AB318" s="176">
        <v>43164.448148148149</v>
      </c>
      <c r="AC318" s="174" t="s">
        <v>1526</v>
      </c>
      <c r="AD318" s="176">
        <v>43164.446296296293</v>
      </c>
      <c r="AE318" s="176">
        <v>43164.446400462963</v>
      </c>
      <c r="AF318" s="175"/>
    </row>
    <row r="319" spans="1:32" x14ac:dyDescent="0.25">
      <c r="A319" s="174" t="s">
        <v>484</v>
      </c>
      <c r="B319" s="174" t="s">
        <v>1527</v>
      </c>
      <c r="C319" s="174" t="s">
        <v>478</v>
      </c>
      <c r="D319" s="174" t="s">
        <v>535</v>
      </c>
      <c r="E319" s="176">
        <v>43164</v>
      </c>
      <c r="F319" s="176">
        <v>43166</v>
      </c>
      <c r="G319" s="174" t="s">
        <v>1508</v>
      </c>
      <c r="H319" s="179" t="s">
        <v>486</v>
      </c>
      <c r="I319" s="174" t="s">
        <v>1109</v>
      </c>
      <c r="J319" s="178">
        <v>5000000</v>
      </c>
      <c r="K319" s="178">
        <v>100.51300000000001</v>
      </c>
      <c r="L319" s="178">
        <v>4.6322236006999997</v>
      </c>
      <c r="M319" s="178">
        <v>-5078756.3888888899</v>
      </c>
      <c r="N319" s="174" t="s">
        <v>337</v>
      </c>
      <c r="O319" s="174" t="s">
        <v>1110</v>
      </c>
      <c r="P319" s="174" t="s">
        <v>22</v>
      </c>
      <c r="Q319" s="174" t="s">
        <v>129</v>
      </c>
      <c r="R319" s="174" t="s">
        <v>1528</v>
      </c>
      <c r="S319" s="174" t="s">
        <v>132</v>
      </c>
      <c r="T319" s="175"/>
      <c r="U319" s="175"/>
      <c r="V319" s="174" t="s">
        <v>489</v>
      </c>
      <c r="W319" s="174" t="s">
        <v>540</v>
      </c>
      <c r="X319" s="174" t="s">
        <v>22</v>
      </c>
      <c r="Y319" s="174"/>
      <c r="Z319" s="175"/>
      <c r="AA319" s="174" t="s">
        <v>541</v>
      </c>
      <c r="AB319" s="176">
        <v>43164.584733796299</v>
      </c>
      <c r="AC319" s="174" t="s">
        <v>1528</v>
      </c>
      <c r="AD319" s="176">
        <v>43164.627291666664</v>
      </c>
      <c r="AE319" s="176">
        <v>43164.627291666664</v>
      </c>
      <c r="AF319" s="175"/>
    </row>
    <row r="320" spans="1:32" x14ac:dyDescent="0.25">
      <c r="A320" s="174" t="s">
        <v>461</v>
      </c>
      <c r="B320" s="174" t="s">
        <v>1529</v>
      </c>
      <c r="C320" s="174" t="s">
        <v>478</v>
      </c>
      <c r="D320" s="174" t="s">
        <v>535</v>
      </c>
      <c r="E320" s="176">
        <v>43164</v>
      </c>
      <c r="F320" s="176">
        <v>43165</v>
      </c>
      <c r="G320" s="174" t="s">
        <v>1508</v>
      </c>
      <c r="H320" s="177" t="s">
        <v>466</v>
      </c>
      <c r="I320" s="174" t="s">
        <v>543</v>
      </c>
      <c r="J320" s="178">
        <v>4600000</v>
      </c>
      <c r="K320" s="178">
        <v>91.921875</v>
      </c>
      <c r="L320" s="178">
        <v>3.1718498070000001</v>
      </c>
      <c r="M320" s="178">
        <v>4267194.9240331501</v>
      </c>
      <c r="N320" s="174" t="s">
        <v>337</v>
      </c>
      <c r="O320" s="174" t="s">
        <v>544</v>
      </c>
      <c r="P320" s="174" t="s">
        <v>22</v>
      </c>
      <c r="Q320" s="174" t="s">
        <v>129</v>
      </c>
      <c r="R320" s="174" t="s">
        <v>1530</v>
      </c>
      <c r="S320" s="174" t="s">
        <v>132</v>
      </c>
      <c r="T320" s="175"/>
      <c r="U320" s="175"/>
      <c r="V320" s="174" t="s">
        <v>469</v>
      </c>
      <c r="W320" s="174" t="s">
        <v>540</v>
      </c>
      <c r="X320" s="174" t="s">
        <v>22</v>
      </c>
      <c r="Y320" s="174"/>
      <c r="Z320" s="175"/>
      <c r="AA320" s="174" t="s">
        <v>541</v>
      </c>
      <c r="AB320" s="176">
        <v>43164.584733796299</v>
      </c>
      <c r="AC320" s="174" t="s">
        <v>1530</v>
      </c>
      <c r="AD320" s="176">
        <v>43164.627418981479</v>
      </c>
      <c r="AE320" s="176">
        <v>43164.627418981479</v>
      </c>
      <c r="AF320" s="175"/>
    </row>
    <row r="321" spans="1:32" x14ac:dyDescent="0.25">
      <c r="A321" s="174" t="s">
        <v>484</v>
      </c>
      <c r="B321" s="174" t="s">
        <v>1531</v>
      </c>
      <c r="C321" s="174" t="s">
        <v>478</v>
      </c>
      <c r="D321" s="174" t="s">
        <v>1013</v>
      </c>
      <c r="E321" s="176">
        <v>43164</v>
      </c>
      <c r="F321" s="176">
        <v>43166</v>
      </c>
      <c r="G321" s="174" t="s">
        <v>1508</v>
      </c>
      <c r="H321" s="179" t="s">
        <v>486</v>
      </c>
      <c r="I321" s="174" t="s">
        <v>1532</v>
      </c>
      <c r="J321" s="178">
        <v>5000000</v>
      </c>
      <c r="K321" s="178">
        <v>97.686999999999998</v>
      </c>
      <c r="L321" s="178">
        <v>4.9109719878</v>
      </c>
      <c r="M321" s="178">
        <v>-4978030.5555555606</v>
      </c>
      <c r="N321" s="174" t="s">
        <v>337</v>
      </c>
      <c r="O321" s="174" t="s">
        <v>1533</v>
      </c>
      <c r="P321" s="174" t="s">
        <v>22</v>
      </c>
      <c r="Q321" s="174" t="s">
        <v>129</v>
      </c>
      <c r="R321" s="174" t="s">
        <v>1534</v>
      </c>
      <c r="S321" s="174" t="s">
        <v>132</v>
      </c>
      <c r="T321" s="175"/>
      <c r="U321" s="175"/>
      <c r="V321" s="174" t="s">
        <v>489</v>
      </c>
      <c r="W321" s="174" t="s">
        <v>1017</v>
      </c>
      <c r="X321" s="174" t="s">
        <v>22</v>
      </c>
      <c r="Y321" s="174"/>
      <c r="Z321" s="175"/>
      <c r="AA321" s="174" t="s">
        <v>927</v>
      </c>
      <c r="AB321" s="176">
        <v>43164.649687500001</v>
      </c>
      <c r="AC321" s="174" t="s">
        <v>1534</v>
      </c>
      <c r="AD321" s="176">
        <v>43164.64640046296</v>
      </c>
      <c r="AE321" s="176">
        <v>43164.64640046296</v>
      </c>
      <c r="AF321" s="175"/>
    </row>
    <row r="322" spans="1:32" x14ac:dyDescent="0.25">
      <c r="A322" s="174" t="s">
        <v>461</v>
      </c>
      <c r="B322" s="174" t="s">
        <v>1535</v>
      </c>
      <c r="C322" s="174" t="s">
        <v>478</v>
      </c>
      <c r="D322" s="174" t="s">
        <v>1013</v>
      </c>
      <c r="E322" s="176">
        <v>43164</v>
      </c>
      <c r="F322" s="176">
        <v>43165</v>
      </c>
      <c r="G322" s="174" t="s">
        <v>1508</v>
      </c>
      <c r="H322" s="177" t="s">
        <v>466</v>
      </c>
      <c r="I322" s="174" t="s">
        <v>543</v>
      </c>
      <c r="J322" s="178">
        <v>3900000</v>
      </c>
      <c r="K322" s="178">
        <v>92.125</v>
      </c>
      <c r="L322" s="178">
        <v>3.1606589886999998</v>
      </c>
      <c r="M322" s="178">
        <v>3625761.0497237602</v>
      </c>
      <c r="N322" s="174" t="s">
        <v>337</v>
      </c>
      <c r="O322" s="174" t="s">
        <v>544</v>
      </c>
      <c r="P322" s="174" t="s">
        <v>22</v>
      </c>
      <c r="Q322" s="174" t="s">
        <v>129</v>
      </c>
      <c r="R322" s="174" t="s">
        <v>1536</v>
      </c>
      <c r="S322" s="174" t="s">
        <v>132</v>
      </c>
      <c r="T322" s="175"/>
      <c r="U322" s="175"/>
      <c r="V322" s="174" t="s">
        <v>469</v>
      </c>
      <c r="W322" s="174" t="s">
        <v>1017</v>
      </c>
      <c r="X322" s="174" t="s">
        <v>22</v>
      </c>
      <c r="Y322" s="174"/>
      <c r="Z322" s="175"/>
      <c r="AA322" s="174" t="s">
        <v>927</v>
      </c>
      <c r="AB322" s="176">
        <v>43164.649687500001</v>
      </c>
      <c r="AC322" s="174" t="s">
        <v>1536</v>
      </c>
      <c r="AD322" s="176">
        <v>43164.646817129629</v>
      </c>
      <c r="AE322" s="176">
        <v>43164.646817129629</v>
      </c>
      <c r="AF322" s="175"/>
    </row>
    <row r="323" spans="1:32" x14ac:dyDescent="0.25">
      <c r="A323" s="174" t="s">
        <v>651</v>
      </c>
      <c r="B323" s="174" t="s">
        <v>1537</v>
      </c>
      <c r="C323" s="174" t="s">
        <v>653</v>
      </c>
      <c r="D323" s="174" t="s">
        <v>666</v>
      </c>
      <c r="E323" s="176">
        <v>43164</v>
      </c>
      <c r="F323" s="176">
        <v>43172</v>
      </c>
      <c r="G323" s="174" t="s">
        <v>1508</v>
      </c>
      <c r="H323" s="177" t="s">
        <v>466</v>
      </c>
      <c r="I323" s="174" t="s">
        <v>825</v>
      </c>
      <c r="J323" s="178">
        <v>34000000</v>
      </c>
      <c r="K323" s="178">
        <v>99.78125</v>
      </c>
      <c r="L323" s="178">
        <v>3.4990495520999998</v>
      </c>
      <c r="M323" s="178">
        <v>33925625</v>
      </c>
      <c r="N323" s="174" t="s">
        <v>337</v>
      </c>
      <c r="O323" s="174" t="s">
        <v>826</v>
      </c>
      <c r="P323" s="174" t="s">
        <v>22</v>
      </c>
      <c r="Q323" s="174" t="s">
        <v>129</v>
      </c>
      <c r="R323" s="174" t="s">
        <v>1538</v>
      </c>
      <c r="S323" s="174" t="s">
        <v>132</v>
      </c>
      <c r="T323" s="175"/>
      <c r="U323" s="175"/>
      <c r="V323" s="174" t="s">
        <v>651</v>
      </c>
      <c r="W323" s="174" t="s">
        <v>670</v>
      </c>
      <c r="X323" s="174" t="s">
        <v>22</v>
      </c>
      <c r="Y323" s="174"/>
      <c r="Z323" s="175"/>
      <c r="AA323" s="174"/>
      <c r="AB323" s="176">
        <v>43164.463402777779</v>
      </c>
      <c r="AC323" s="174" t="s">
        <v>1538</v>
      </c>
      <c r="AD323" s="176">
        <v>43164.462881944448</v>
      </c>
      <c r="AE323" s="176">
        <v>43164.629780092589</v>
      </c>
      <c r="AF323" s="175"/>
    </row>
    <row r="324" spans="1:32" x14ac:dyDescent="0.25">
      <c r="A324" s="174" t="s">
        <v>651</v>
      </c>
      <c r="B324" s="174" t="s">
        <v>1539</v>
      </c>
      <c r="C324" s="174" t="s">
        <v>653</v>
      </c>
      <c r="D324" s="174" t="s">
        <v>666</v>
      </c>
      <c r="E324" s="176">
        <v>43164</v>
      </c>
      <c r="F324" s="176">
        <v>43202</v>
      </c>
      <c r="G324" s="174" t="s">
        <v>1508</v>
      </c>
      <c r="H324" s="179" t="s">
        <v>486</v>
      </c>
      <c r="I324" s="174" t="s">
        <v>1540</v>
      </c>
      <c r="J324" s="178">
        <v>34000000</v>
      </c>
      <c r="K324" s="178">
        <v>99.64453125</v>
      </c>
      <c r="L324" s="178">
        <v>3.5066074230000002</v>
      </c>
      <c r="M324" s="178">
        <v>-33879140.625</v>
      </c>
      <c r="N324" s="174" t="s">
        <v>337</v>
      </c>
      <c r="O324" s="174" t="s">
        <v>1541</v>
      </c>
      <c r="P324" s="174" t="s">
        <v>22</v>
      </c>
      <c r="Q324" s="174" t="s">
        <v>129</v>
      </c>
      <c r="R324" s="174" t="s">
        <v>1542</v>
      </c>
      <c r="S324" s="174" t="s">
        <v>132</v>
      </c>
      <c r="T324" s="175"/>
      <c r="U324" s="175"/>
      <c r="V324" s="174" t="s">
        <v>651</v>
      </c>
      <c r="W324" s="174" t="s">
        <v>670</v>
      </c>
      <c r="X324" s="174" t="s">
        <v>22</v>
      </c>
      <c r="Y324" s="174"/>
      <c r="Z324" s="175"/>
      <c r="AA324" s="174"/>
      <c r="AB324" s="176">
        <v>43164.463402777779</v>
      </c>
      <c r="AC324" s="174" t="s">
        <v>1542</v>
      </c>
      <c r="AD324" s="176">
        <v>43164.462881944448</v>
      </c>
      <c r="AE324" s="176">
        <v>43164.629780092589</v>
      </c>
      <c r="AF324" s="175"/>
    </row>
    <row r="325" spans="1:32" x14ac:dyDescent="0.25">
      <c r="A325" s="174" t="s">
        <v>651</v>
      </c>
      <c r="B325" s="174" t="s">
        <v>1543</v>
      </c>
      <c r="C325" s="174" t="s">
        <v>653</v>
      </c>
      <c r="D325" s="174" t="s">
        <v>666</v>
      </c>
      <c r="E325" s="176">
        <v>43164</v>
      </c>
      <c r="F325" s="176">
        <v>43202</v>
      </c>
      <c r="G325" s="174" t="s">
        <v>1508</v>
      </c>
      <c r="H325" s="179" t="s">
        <v>486</v>
      </c>
      <c r="I325" s="174" t="s">
        <v>1544</v>
      </c>
      <c r="J325" s="178">
        <v>32000000</v>
      </c>
      <c r="K325" s="178">
        <v>102.21484375</v>
      </c>
      <c r="L325" s="178">
        <v>3.8602583652</v>
      </c>
      <c r="M325" s="178">
        <v>-32708750</v>
      </c>
      <c r="N325" s="174" t="s">
        <v>337</v>
      </c>
      <c r="O325" s="174" t="s">
        <v>1545</v>
      </c>
      <c r="P325" s="174" t="s">
        <v>22</v>
      </c>
      <c r="Q325" s="174" t="s">
        <v>129</v>
      </c>
      <c r="R325" s="174" t="s">
        <v>1546</v>
      </c>
      <c r="S325" s="174" t="s">
        <v>132</v>
      </c>
      <c r="T325" s="175"/>
      <c r="U325" s="175"/>
      <c r="V325" s="174" t="s">
        <v>651</v>
      </c>
      <c r="W325" s="174" t="s">
        <v>670</v>
      </c>
      <c r="X325" s="174" t="s">
        <v>22</v>
      </c>
      <c r="Y325" s="174"/>
      <c r="Z325" s="175"/>
      <c r="AA325" s="174"/>
      <c r="AB325" s="176">
        <v>43164.469942129632</v>
      </c>
      <c r="AC325" s="174" t="s">
        <v>1546</v>
      </c>
      <c r="AD325" s="176">
        <v>43164.46371527778</v>
      </c>
      <c r="AE325" s="176">
        <v>43164.629780092589</v>
      </c>
      <c r="AF325" s="175"/>
    </row>
    <row r="326" spans="1:32" x14ac:dyDescent="0.25">
      <c r="A326" s="174" t="s">
        <v>651</v>
      </c>
      <c r="B326" s="174" t="s">
        <v>1547</v>
      </c>
      <c r="C326" s="174" t="s">
        <v>653</v>
      </c>
      <c r="D326" s="174" t="s">
        <v>666</v>
      </c>
      <c r="E326" s="176">
        <v>43164</v>
      </c>
      <c r="F326" s="176">
        <v>43172</v>
      </c>
      <c r="G326" s="174" t="s">
        <v>1508</v>
      </c>
      <c r="H326" s="177" t="s">
        <v>466</v>
      </c>
      <c r="I326" s="174" t="s">
        <v>1066</v>
      </c>
      <c r="J326" s="178">
        <v>32000000</v>
      </c>
      <c r="K326" s="178">
        <v>102.375</v>
      </c>
      <c r="L326" s="178">
        <v>3.8511872904</v>
      </c>
      <c r="M326" s="178">
        <v>32760000</v>
      </c>
      <c r="N326" s="174" t="s">
        <v>337</v>
      </c>
      <c r="O326" s="174" t="s">
        <v>1067</v>
      </c>
      <c r="P326" s="174" t="s">
        <v>22</v>
      </c>
      <c r="Q326" s="174" t="s">
        <v>129</v>
      </c>
      <c r="R326" s="174" t="s">
        <v>1548</v>
      </c>
      <c r="S326" s="174" t="s">
        <v>132</v>
      </c>
      <c r="T326" s="175"/>
      <c r="U326" s="175"/>
      <c r="V326" s="174" t="s">
        <v>651</v>
      </c>
      <c r="W326" s="174" t="s">
        <v>670</v>
      </c>
      <c r="X326" s="174" t="s">
        <v>22</v>
      </c>
      <c r="Y326" s="174"/>
      <c r="Z326" s="175"/>
      <c r="AA326" s="174"/>
      <c r="AB326" s="176">
        <v>43164.469942129632</v>
      </c>
      <c r="AC326" s="174" t="s">
        <v>1548</v>
      </c>
      <c r="AD326" s="176">
        <v>43164.46371527778</v>
      </c>
      <c r="AE326" s="176">
        <v>43164.629780092589</v>
      </c>
      <c r="AF326" s="175"/>
    </row>
    <row r="327" spans="1:32" x14ac:dyDescent="0.25">
      <c r="A327" s="174" t="s">
        <v>651</v>
      </c>
      <c r="B327" s="174" t="s">
        <v>1549</v>
      </c>
      <c r="C327" s="174" t="s">
        <v>653</v>
      </c>
      <c r="D327" s="174" t="s">
        <v>1550</v>
      </c>
      <c r="E327" s="176">
        <v>43164</v>
      </c>
      <c r="F327" s="176">
        <v>43172</v>
      </c>
      <c r="G327" s="174" t="s">
        <v>1508</v>
      </c>
      <c r="H327" s="177" t="s">
        <v>466</v>
      </c>
      <c r="I327" s="174" t="s">
        <v>825</v>
      </c>
      <c r="J327" s="178">
        <v>80000000</v>
      </c>
      <c r="K327" s="178">
        <v>99.625</v>
      </c>
      <c r="L327" s="178">
        <v>3.5074769336</v>
      </c>
      <c r="M327" s="178">
        <v>79700000</v>
      </c>
      <c r="N327" s="174" t="s">
        <v>337</v>
      </c>
      <c r="O327" s="174" t="s">
        <v>826</v>
      </c>
      <c r="P327" s="174" t="s">
        <v>22</v>
      </c>
      <c r="Q327" s="174" t="s">
        <v>129</v>
      </c>
      <c r="R327" s="174" t="s">
        <v>1551</v>
      </c>
      <c r="S327" s="174" t="s">
        <v>132</v>
      </c>
      <c r="T327" s="175"/>
      <c r="U327" s="175"/>
      <c r="V327" s="174" t="s">
        <v>651</v>
      </c>
      <c r="W327" s="174" t="s">
        <v>1552</v>
      </c>
      <c r="X327" s="174" t="s">
        <v>22</v>
      </c>
      <c r="Y327" s="174"/>
      <c r="Z327" s="175"/>
      <c r="AA327" s="174"/>
      <c r="AB327" s="176">
        <v>43164.632523148146</v>
      </c>
      <c r="AC327" s="174" t="s">
        <v>1551</v>
      </c>
      <c r="AD327" s="176">
        <v>43164.62940972222</v>
      </c>
      <c r="AE327" s="176">
        <v>43164.668020833335</v>
      </c>
      <c r="AF327" s="175"/>
    </row>
    <row r="328" spans="1:32" x14ac:dyDescent="0.25">
      <c r="A328" s="174" t="s">
        <v>651</v>
      </c>
      <c r="B328" s="174" t="s">
        <v>1553</v>
      </c>
      <c r="C328" s="174" t="s">
        <v>653</v>
      </c>
      <c r="D328" s="174" t="s">
        <v>1550</v>
      </c>
      <c r="E328" s="176">
        <v>43164</v>
      </c>
      <c r="F328" s="176">
        <v>43172</v>
      </c>
      <c r="G328" s="174" t="s">
        <v>1508</v>
      </c>
      <c r="H328" s="179" t="s">
        <v>486</v>
      </c>
      <c r="I328" s="174" t="s">
        <v>1554</v>
      </c>
      <c r="J328" s="178">
        <v>99992622</v>
      </c>
      <c r="K328" s="178">
        <v>99.875</v>
      </c>
      <c r="L328" s="178">
        <v>3.5070268274999998</v>
      </c>
      <c r="M328" s="178">
        <v>-80657753.096301302</v>
      </c>
      <c r="N328" s="174" t="s">
        <v>337</v>
      </c>
      <c r="O328" s="174" t="s">
        <v>1555</v>
      </c>
      <c r="P328" s="174" t="s">
        <v>24</v>
      </c>
      <c r="Q328" s="174" t="s">
        <v>129</v>
      </c>
      <c r="R328" s="175"/>
      <c r="S328" s="175"/>
      <c r="T328" s="175"/>
      <c r="U328" s="175"/>
      <c r="V328" s="174" t="s">
        <v>651</v>
      </c>
      <c r="W328" s="174" t="s">
        <v>1552</v>
      </c>
      <c r="X328" s="174" t="s">
        <v>24</v>
      </c>
      <c r="Y328" s="174"/>
      <c r="Z328" s="175"/>
      <c r="AA328" s="174"/>
      <c r="AB328" s="176">
        <v>43164.639039351852</v>
      </c>
      <c r="AC328" s="175"/>
      <c r="AD328" s="176">
        <v>43164.634930555556</v>
      </c>
      <c r="AE328" s="176">
        <v>43164.639236111114</v>
      </c>
      <c r="AF328" s="175"/>
    </row>
    <row r="329" spans="1:32" x14ac:dyDescent="0.25">
      <c r="A329" s="174" t="s">
        <v>461</v>
      </c>
      <c r="B329" s="174" t="s">
        <v>1788</v>
      </c>
      <c r="C329" s="174" t="s">
        <v>463</v>
      </c>
      <c r="D329" s="174" t="s">
        <v>506</v>
      </c>
      <c r="E329" s="176">
        <v>43164</v>
      </c>
      <c r="F329" s="176">
        <v>43165</v>
      </c>
      <c r="G329" s="174" t="s">
        <v>1789</v>
      </c>
      <c r="H329" s="177" t="s">
        <v>466</v>
      </c>
      <c r="I329" s="174" t="s">
        <v>467</v>
      </c>
      <c r="J329" s="178">
        <v>113900000</v>
      </c>
      <c r="K329" s="178">
        <v>99.75</v>
      </c>
      <c r="L329" s="178">
        <v>2.6788620698000001</v>
      </c>
      <c r="M329" s="178">
        <v>113663997.96195653</v>
      </c>
      <c r="N329" s="174" t="s">
        <v>337</v>
      </c>
      <c r="O329" s="174" t="s">
        <v>468</v>
      </c>
      <c r="P329" s="174" t="s">
        <v>22</v>
      </c>
      <c r="Q329" s="174" t="s">
        <v>129</v>
      </c>
      <c r="R329" s="174" t="s">
        <v>1790</v>
      </c>
      <c r="S329" s="174" t="s">
        <v>132</v>
      </c>
      <c r="T329" s="175"/>
      <c r="U329" s="175"/>
      <c r="V329" s="174" t="s">
        <v>469</v>
      </c>
      <c r="W329" s="174" t="s">
        <v>511</v>
      </c>
      <c r="X329" s="174" t="s">
        <v>22</v>
      </c>
      <c r="Y329" s="174"/>
      <c r="Z329" s="175"/>
      <c r="AA329" s="174" t="s">
        <v>512</v>
      </c>
      <c r="AB329" s="176">
        <v>43164.695775462962</v>
      </c>
      <c r="AC329" s="174" t="s">
        <v>1790</v>
      </c>
      <c r="AD329" s="176">
        <v>43164.687615740739</v>
      </c>
      <c r="AE329" s="176">
        <v>43164.6877662037</v>
      </c>
      <c r="AF329" s="175"/>
    </row>
    <row r="330" spans="1:32" x14ac:dyDescent="0.25">
      <c r="A330" s="174" t="s">
        <v>461</v>
      </c>
      <c r="B330" s="174" t="s">
        <v>1791</v>
      </c>
      <c r="C330" s="174" t="s">
        <v>463</v>
      </c>
      <c r="D330" s="174" t="s">
        <v>506</v>
      </c>
      <c r="E330" s="176">
        <v>43164</v>
      </c>
      <c r="F330" s="176">
        <v>43165</v>
      </c>
      <c r="G330" s="174" t="s">
        <v>1789</v>
      </c>
      <c r="H330" s="179" t="s">
        <v>486</v>
      </c>
      <c r="I330" s="174" t="s">
        <v>1522</v>
      </c>
      <c r="J330" s="178">
        <v>145000000</v>
      </c>
      <c r="K330" s="178">
        <v>97.359375</v>
      </c>
      <c r="L330" s="178">
        <v>2.5899165304</v>
      </c>
      <c r="M330" s="178">
        <v>-141426445.95994475</v>
      </c>
      <c r="N330" s="174" t="s">
        <v>337</v>
      </c>
      <c r="O330" s="174" t="s">
        <v>1523</v>
      </c>
      <c r="P330" s="174" t="s">
        <v>22</v>
      </c>
      <c r="Q330" s="174" t="s">
        <v>129</v>
      </c>
      <c r="R330" s="174" t="s">
        <v>1792</v>
      </c>
      <c r="S330" s="174" t="s">
        <v>132</v>
      </c>
      <c r="T330" s="175"/>
      <c r="U330" s="175"/>
      <c r="V330" s="174" t="s">
        <v>469</v>
      </c>
      <c r="W330" s="174" t="s">
        <v>511</v>
      </c>
      <c r="X330" s="174" t="s">
        <v>22</v>
      </c>
      <c r="Y330" s="174"/>
      <c r="Z330" s="175"/>
      <c r="AA330" s="174" t="s">
        <v>512</v>
      </c>
      <c r="AB330" s="176">
        <v>43164.695775462962</v>
      </c>
      <c r="AC330" s="174" t="s">
        <v>1792</v>
      </c>
      <c r="AD330" s="176">
        <v>43164.687615740739</v>
      </c>
      <c r="AE330" s="176">
        <v>43164.687777777777</v>
      </c>
      <c r="AF330" s="175"/>
    </row>
    <row r="331" spans="1:32" x14ac:dyDescent="0.25">
      <c r="A331" s="174" t="s">
        <v>461</v>
      </c>
      <c r="B331" s="174" t="s">
        <v>1793</v>
      </c>
      <c r="C331" s="174" t="s">
        <v>463</v>
      </c>
      <c r="D331" s="174" t="s">
        <v>506</v>
      </c>
      <c r="E331" s="176">
        <v>43164</v>
      </c>
      <c r="F331" s="176">
        <v>43165</v>
      </c>
      <c r="G331" s="174" t="s">
        <v>1789</v>
      </c>
      <c r="H331" s="179" t="s">
        <v>486</v>
      </c>
      <c r="I331" s="174" t="s">
        <v>1522</v>
      </c>
      <c r="J331" s="178">
        <v>55000000</v>
      </c>
      <c r="K331" s="178">
        <v>97.375</v>
      </c>
      <c r="L331" s="178">
        <v>2.5856197504999998</v>
      </c>
      <c r="M331" s="178">
        <v>-53653107.734806627</v>
      </c>
      <c r="N331" s="174" t="s">
        <v>337</v>
      </c>
      <c r="O331" s="174" t="s">
        <v>1523</v>
      </c>
      <c r="P331" s="174" t="s">
        <v>22</v>
      </c>
      <c r="Q331" s="174" t="s">
        <v>129</v>
      </c>
      <c r="R331" s="174" t="s">
        <v>1794</v>
      </c>
      <c r="S331" s="174" t="s">
        <v>132</v>
      </c>
      <c r="T331" s="175"/>
      <c r="U331" s="175"/>
      <c r="V331" s="174" t="s">
        <v>469</v>
      </c>
      <c r="W331" s="174" t="s">
        <v>511</v>
      </c>
      <c r="X331" s="174" t="s">
        <v>22</v>
      </c>
      <c r="Y331" s="174"/>
      <c r="Z331" s="175"/>
      <c r="AA331" s="174" t="s">
        <v>512</v>
      </c>
      <c r="AB331" s="176">
        <v>43164.695775462962</v>
      </c>
      <c r="AC331" s="174" t="s">
        <v>1794</v>
      </c>
      <c r="AD331" s="176">
        <v>43164.693414351852</v>
      </c>
      <c r="AE331" s="176">
        <v>43164.693460648145</v>
      </c>
      <c r="AF331" s="175"/>
    </row>
    <row r="332" spans="1:32" x14ac:dyDescent="0.25">
      <c r="A332" s="174" t="s">
        <v>461</v>
      </c>
      <c r="B332" s="174" t="s">
        <v>1795</v>
      </c>
      <c r="C332" s="174" t="s">
        <v>463</v>
      </c>
      <c r="D332" s="174" t="s">
        <v>506</v>
      </c>
      <c r="E332" s="176">
        <v>43164</v>
      </c>
      <c r="F332" s="176">
        <v>43165</v>
      </c>
      <c r="G332" s="174" t="s">
        <v>1789</v>
      </c>
      <c r="H332" s="177" t="s">
        <v>466</v>
      </c>
      <c r="I332" s="174" t="s">
        <v>467</v>
      </c>
      <c r="J332" s="178">
        <v>43200000</v>
      </c>
      <c r="K332" s="178">
        <v>99.75</v>
      </c>
      <c r="L332" s="178">
        <v>2.6788620698000001</v>
      </c>
      <c r="M332" s="178">
        <v>43110489.130434781</v>
      </c>
      <c r="N332" s="174" t="s">
        <v>337</v>
      </c>
      <c r="O332" s="174" t="s">
        <v>468</v>
      </c>
      <c r="P332" s="174" t="s">
        <v>22</v>
      </c>
      <c r="Q332" s="174" t="s">
        <v>129</v>
      </c>
      <c r="R332" s="174" t="s">
        <v>1796</v>
      </c>
      <c r="S332" s="174" t="s">
        <v>132</v>
      </c>
      <c r="T332" s="175"/>
      <c r="U332" s="175"/>
      <c r="V332" s="174" t="s">
        <v>469</v>
      </c>
      <c r="W332" s="174" t="s">
        <v>511</v>
      </c>
      <c r="X332" s="174" t="s">
        <v>22</v>
      </c>
      <c r="Y332" s="174"/>
      <c r="Z332" s="175"/>
      <c r="AA332" s="174" t="s">
        <v>512</v>
      </c>
      <c r="AB332" s="176">
        <v>43164.695775462962</v>
      </c>
      <c r="AC332" s="174" t="s">
        <v>1796</v>
      </c>
      <c r="AD332" s="176">
        <v>43164.693425925929</v>
      </c>
      <c r="AE332" s="176">
        <v>43164.693506944444</v>
      </c>
      <c r="AF332" s="175"/>
    </row>
    <row r="333" spans="1:32" x14ac:dyDescent="0.25">
      <c r="A333" s="174" t="s">
        <v>461</v>
      </c>
      <c r="B333" s="174" t="s">
        <v>1797</v>
      </c>
      <c r="C333" s="174" t="s">
        <v>463</v>
      </c>
      <c r="D333" s="174" t="s">
        <v>623</v>
      </c>
      <c r="E333" s="176">
        <v>43164</v>
      </c>
      <c r="F333" s="176">
        <v>43165</v>
      </c>
      <c r="G333" s="174" t="s">
        <v>1798</v>
      </c>
      <c r="H333" s="177" t="s">
        <v>466</v>
      </c>
      <c r="I333" s="174" t="s">
        <v>1799</v>
      </c>
      <c r="J333" s="178">
        <v>87100000</v>
      </c>
      <c r="K333" s="178">
        <v>97.96484375</v>
      </c>
      <c r="L333" s="178">
        <v>2.8262412460999999</v>
      </c>
      <c r="M333" s="178">
        <v>85531895.480835631</v>
      </c>
      <c r="N333" s="174" t="s">
        <v>337</v>
      </c>
      <c r="O333" s="174" t="s">
        <v>1800</v>
      </c>
      <c r="P333" s="174" t="s">
        <v>22</v>
      </c>
      <c r="Q333" s="174" t="s">
        <v>129</v>
      </c>
      <c r="R333" s="174" t="s">
        <v>1801</v>
      </c>
      <c r="S333" s="174" t="s">
        <v>132</v>
      </c>
      <c r="T333" s="175"/>
      <c r="U333" s="175"/>
      <c r="V333" s="174" t="s">
        <v>469</v>
      </c>
      <c r="W333" s="174" t="s">
        <v>627</v>
      </c>
      <c r="X333" s="174" t="s">
        <v>22</v>
      </c>
      <c r="Y333" s="174"/>
      <c r="Z333" s="175"/>
      <c r="AA333" s="174" t="s">
        <v>628</v>
      </c>
      <c r="AB333" s="176">
        <v>43164.409270833334</v>
      </c>
      <c r="AC333" s="174" t="s">
        <v>1801</v>
      </c>
      <c r="AD333" s="176">
        <v>43164.407557870371</v>
      </c>
      <c r="AE333" s="176">
        <v>43164.407557870371</v>
      </c>
      <c r="AF333" s="175"/>
    </row>
    <row r="334" spans="1:32" x14ac:dyDescent="0.25">
      <c r="A334" s="174" t="s">
        <v>461</v>
      </c>
      <c r="B334" s="174" t="s">
        <v>1802</v>
      </c>
      <c r="C334" s="174" t="s">
        <v>463</v>
      </c>
      <c r="D334" s="174" t="s">
        <v>623</v>
      </c>
      <c r="E334" s="176">
        <v>43164</v>
      </c>
      <c r="F334" s="176">
        <v>43165</v>
      </c>
      <c r="G334" s="174" t="s">
        <v>1798</v>
      </c>
      <c r="H334" s="179" t="s">
        <v>486</v>
      </c>
      <c r="I334" s="174" t="s">
        <v>1803</v>
      </c>
      <c r="J334" s="178">
        <v>100000000</v>
      </c>
      <c r="K334" s="178">
        <v>96.453125</v>
      </c>
      <c r="L334" s="178">
        <v>2.7723283211999998</v>
      </c>
      <c r="M334" s="178">
        <v>-96487771.739130452</v>
      </c>
      <c r="N334" s="174" t="s">
        <v>337</v>
      </c>
      <c r="O334" s="174" t="s">
        <v>1804</v>
      </c>
      <c r="P334" s="174" t="s">
        <v>22</v>
      </c>
      <c r="Q334" s="174" t="s">
        <v>129</v>
      </c>
      <c r="R334" s="174" t="s">
        <v>1805</v>
      </c>
      <c r="S334" s="174" t="s">
        <v>132</v>
      </c>
      <c r="T334" s="175"/>
      <c r="U334" s="175"/>
      <c r="V334" s="174" t="s">
        <v>469</v>
      </c>
      <c r="W334" s="174" t="s">
        <v>627</v>
      </c>
      <c r="X334" s="174" t="s">
        <v>22</v>
      </c>
      <c r="Y334" s="174"/>
      <c r="Z334" s="175"/>
      <c r="AA334" s="174" t="s">
        <v>628</v>
      </c>
      <c r="AB334" s="176">
        <v>43164.409270833334</v>
      </c>
      <c r="AC334" s="174" t="s">
        <v>1805</v>
      </c>
      <c r="AD334" s="176">
        <v>43164.407557870371</v>
      </c>
      <c r="AE334" s="176">
        <v>43164.407557870371</v>
      </c>
      <c r="AF334" s="175"/>
    </row>
    <row r="335" spans="1:32" x14ac:dyDescent="0.25">
      <c r="A335" s="174" t="s">
        <v>461</v>
      </c>
      <c r="B335" s="174" t="s">
        <v>1806</v>
      </c>
      <c r="C335" s="174" t="s">
        <v>478</v>
      </c>
      <c r="D335" s="174" t="s">
        <v>846</v>
      </c>
      <c r="E335" s="176">
        <v>43164</v>
      </c>
      <c r="F335" s="176">
        <v>43165</v>
      </c>
      <c r="G335" s="174" t="s">
        <v>1798</v>
      </c>
      <c r="H335" s="177" t="s">
        <v>466</v>
      </c>
      <c r="I335" s="174" t="s">
        <v>475</v>
      </c>
      <c r="J335" s="178">
        <v>1300000</v>
      </c>
      <c r="K335" s="178">
        <v>99.1953125</v>
      </c>
      <c r="L335" s="178">
        <v>2.8433360745999998</v>
      </c>
      <c r="M335" s="178">
        <v>1291415.4437154701</v>
      </c>
      <c r="N335" s="174" t="s">
        <v>337</v>
      </c>
      <c r="O335" s="174" t="s">
        <v>476</v>
      </c>
      <c r="P335" s="174" t="s">
        <v>22</v>
      </c>
      <c r="Q335" s="174" t="s">
        <v>129</v>
      </c>
      <c r="R335" s="174" t="s">
        <v>1807</v>
      </c>
      <c r="S335" s="174" t="s">
        <v>132</v>
      </c>
      <c r="T335" s="175"/>
      <c r="U335" s="175"/>
      <c r="V335" s="174" t="s">
        <v>469</v>
      </c>
      <c r="W335" s="174" t="s">
        <v>851</v>
      </c>
      <c r="X335" s="174" t="s">
        <v>22</v>
      </c>
      <c r="Y335" s="174"/>
      <c r="Z335" s="175"/>
      <c r="AA335" s="174" t="s">
        <v>742</v>
      </c>
      <c r="AB335" s="176">
        <v>43164.415682870371</v>
      </c>
      <c r="AC335" s="174" t="s">
        <v>1807</v>
      </c>
      <c r="AD335" s="176">
        <v>43164.412662037037</v>
      </c>
      <c r="AE335" s="176">
        <v>43164.412662037037</v>
      </c>
      <c r="AF335" s="175"/>
    </row>
    <row r="336" spans="1:32" x14ac:dyDescent="0.25">
      <c r="A336" s="174" t="s">
        <v>484</v>
      </c>
      <c r="B336" s="174" t="s">
        <v>1808</v>
      </c>
      <c r="C336" s="174" t="s">
        <v>566</v>
      </c>
      <c r="D336" s="174" t="s">
        <v>1201</v>
      </c>
      <c r="E336" s="176">
        <v>43164</v>
      </c>
      <c r="F336" s="176">
        <v>43166</v>
      </c>
      <c r="G336" s="174" t="s">
        <v>1798</v>
      </c>
      <c r="H336" s="179" t="s">
        <v>486</v>
      </c>
      <c r="I336" s="174" t="s">
        <v>1627</v>
      </c>
      <c r="J336" s="178">
        <v>2000000</v>
      </c>
      <c r="K336" s="178">
        <v>78.375</v>
      </c>
      <c r="L336" s="178">
        <v>4.1909284553999999</v>
      </c>
      <c r="M336" s="178">
        <v>-1580232.8767123299</v>
      </c>
      <c r="N336" s="174" t="s">
        <v>386</v>
      </c>
      <c r="O336" s="174" t="s">
        <v>1628</v>
      </c>
      <c r="P336" s="174" t="s">
        <v>22</v>
      </c>
      <c r="Q336" s="174" t="s">
        <v>129</v>
      </c>
      <c r="R336" s="174" t="s">
        <v>1809</v>
      </c>
      <c r="S336" s="174" t="s">
        <v>132</v>
      </c>
      <c r="T336" s="175"/>
      <c r="U336" s="175"/>
      <c r="V336" s="174" t="s">
        <v>640</v>
      </c>
      <c r="W336" s="174" t="s">
        <v>1206</v>
      </c>
      <c r="X336" s="174" t="s">
        <v>22</v>
      </c>
      <c r="Y336" s="174"/>
      <c r="Z336" s="175"/>
      <c r="AA336" s="174" t="s">
        <v>512</v>
      </c>
      <c r="AB336" s="176">
        <v>43164.435173611113</v>
      </c>
      <c r="AC336" s="174" t="s">
        <v>1809</v>
      </c>
      <c r="AD336" s="176">
        <v>43164.431805555556</v>
      </c>
      <c r="AE336" s="176">
        <v>43164.431863425925</v>
      </c>
      <c r="AF336" s="175"/>
    </row>
    <row r="337" spans="1:32" x14ac:dyDescent="0.25">
      <c r="A337" s="174" t="s">
        <v>461</v>
      </c>
      <c r="B337" s="174" t="s">
        <v>1810</v>
      </c>
      <c r="C337" s="174" t="s">
        <v>463</v>
      </c>
      <c r="D337" s="174" t="s">
        <v>935</v>
      </c>
      <c r="E337" s="176">
        <v>43164</v>
      </c>
      <c r="F337" s="176">
        <v>43165</v>
      </c>
      <c r="G337" s="174" t="s">
        <v>1798</v>
      </c>
      <c r="H337" s="177" t="s">
        <v>466</v>
      </c>
      <c r="I337" s="174" t="s">
        <v>475</v>
      </c>
      <c r="J337" s="178">
        <v>12000000</v>
      </c>
      <c r="K337" s="178">
        <v>98.96875</v>
      </c>
      <c r="L337" s="178">
        <v>2.8697998404999998</v>
      </c>
      <c r="M337" s="178">
        <v>11893570.441988951</v>
      </c>
      <c r="N337" s="174" t="s">
        <v>337</v>
      </c>
      <c r="O337" s="174" t="s">
        <v>476</v>
      </c>
      <c r="P337" s="174" t="s">
        <v>22</v>
      </c>
      <c r="Q337" s="174" t="s">
        <v>129</v>
      </c>
      <c r="R337" s="174" t="s">
        <v>1811</v>
      </c>
      <c r="S337" s="174" t="s">
        <v>132</v>
      </c>
      <c r="T337" s="175"/>
      <c r="U337" s="175"/>
      <c r="V337" s="174" t="s">
        <v>469</v>
      </c>
      <c r="W337" s="174" t="s">
        <v>938</v>
      </c>
      <c r="X337" s="174" t="s">
        <v>22</v>
      </c>
      <c r="Y337" s="174"/>
      <c r="Z337" s="175"/>
      <c r="AA337" s="174" t="s">
        <v>512</v>
      </c>
      <c r="AB337" s="176">
        <v>43164.480451388888</v>
      </c>
      <c r="AC337" s="174" t="s">
        <v>1811</v>
      </c>
      <c r="AD337" s="176">
        <v>43164.476354166669</v>
      </c>
      <c r="AE337" s="176">
        <v>43164.476400462961</v>
      </c>
      <c r="AF337" s="175"/>
    </row>
    <row r="338" spans="1:32" x14ac:dyDescent="0.25">
      <c r="A338" s="174" t="s">
        <v>461</v>
      </c>
      <c r="B338" s="174" t="s">
        <v>1812</v>
      </c>
      <c r="C338" s="174" t="s">
        <v>463</v>
      </c>
      <c r="D338" s="174" t="s">
        <v>935</v>
      </c>
      <c r="E338" s="176">
        <v>43164</v>
      </c>
      <c r="F338" s="176">
        <v>43165</v>
      </c>
      <c r="G338" s="174" t="s">
        <v>1798</v>
      </c>
      <c r="H338" s="177" t="s">
        <v>466</v>
      </c>
      <c r="I338" s="174" t="s">
        <v>475</v>
      </c>
      <c r="J338" s="178">
        <v>2000000</v>
      </c>
      <c r="K338" s="178">
        <v>98.78125</v>
      </c>
      <c r="L338" s="178">
        <v>2.8917532010999998</v>
      </c>
      <c r="M338" s="178">
        <v>1978511.7403314901</v>
      </c>
      <c r="N338" s="174" t="s">
        <v>337</v>
      </c>
      <c r="O338" s="174" t="s">
        <v>476</v>
      </c>
      <c r="P338" s="174" t="s">
        <v>22</v>
      </c>
      <c r="Q338" s="174" t="s">
        <v>129</v>
      </c>
      <c r="R338" s="174" t="s">
        <v>1813</v>
      </c>
      <c r="S338" s="174" t="s">
        <v>132</v>
      </c>
      <c r="T338" s="175"/>
      <c r="U338" s="175"/>
      <c r="V338" s="174" t="s">
        <v>469</v>
      </c>
      <c r="W338" s="174" t="s">
        <v>938</v>
      </c>
      <c r="X338" s="174" t="s">
        <v>22</v>
      </c>
      <c r="Y338" s="174"/>
      <c r="Z338" s="175"/>
      <c r="AA338" s="174" t="s">
        <v>512</v>
      </c>
      <c r="AB338" s="176">
        <v>43164.584733796299</v>
      </c>
      <c r="AC338" s="174" t="s">
        <v>1813</v>
      </c>
      <c r="AD338" s="176">
        <v>43164.581354166665</v>
      </c>
      <c r="AE338" s="176">
        <v>43164.581400462965</v>
      </c>
      <c r="AF338" s="175"/>
    </row>
    <row r="339" spans="1:32" x14ac:dyDescent="0.25">
      <c r="A339" s="174" t="s">
        <v>461</v>
      </c>
      <c r="B339" s="174" t="s">
        <v>1814</v>
      </c>
      <c r="C339" s="174" t="s">
        <v>478</v>
      </c>
      <c r="D339" s="174" t="s">
        <v>590</v>
      </c>
      <c r="E339" s="176">
        <v>43164</v>
      </c>
      <c r="F339" s="176">
        <v>43165</v>
      </c>
      <c r="G339" s="174" t="s">
        <v>1815</v>
      </c>
      <c r="H339" s="179" t="s">
        <v>486</v>
      </c>
      <c r="I339" s="174" t="s">
        <v>467</v>
      </c>
      <c r="J339" s="178">
        <v>10000000</v>
      </c>
      <c r="K339" s="178">
        <v>99.890625</v>
      </c>
      <c r="L339" s="178">
        <v>2.6485130385</v>
      </c>
      <c r="M339" s="178">
        <v>-9993342.3913043495</v>
      </c>
      <c r="N339" s="174" t="s">
        <v>337</v>
      </c>
      <c r="O339" s="174" t="s">
        <v>468</v>
      </c>
      <c r="P339" s="174" t="s">
        <v>23</v>
      </c>
      <c r="Q339" s="174" t="s">
        <v>133</v>
      </c>
      <c r="R339" s="175"/>
      <c r="S339" s="175"/>
      <c r="T339" s="175"/>
      <c r="U339" s="175"/>
      <c r="V339" s="174" t="s">
        <v>469</v>
      </c>
      <c r="W339" s="174" t="s">
        <v>594</v>
      </c>
      <c r="X339" s="174" t="s">
        <v>24</v>
      </c>
      <c r="Y339" s="174"/>
      <c r="Z339" s="174" t="s">
        <v>1816</v>
      </c>
      <c r="AA339" s="174" t="s">
        <v>483</v>
      </c>
      <c r="AB339" s="176">
        <v>43164.566504629627</v>
      </c>
      <c r="AC339" s="175"/>
      <c r="AD339" s="176">
        <v>43164.590567129628</v>
      </c>
      <c r="AE339" s="176">
        <v>43164.590567129628</v>
      </c>
      <c r="AF339" s="175"/>
    </row>
    <row r="340" spans="1:32" x14ac:dyDescent="0.25">
      <c r="A340" s="174" t="s">
        <v>461</v>
      </c>
      <c r="B340" s="174" t="s">
        <v>1817</v>
      </c>
      <c r="C340" s="174" t="s">
        <v>497</v>
      </c>
      <c r="D340" s="174" t="s">
        <v>1818</v>
      </c>
      <c r="E340" s="176">
        <v>43164</v>
      </c>
      <c r="F340" s="176">
        <v>43165</v>
      </c>
      <c r="G340" s="174" t="s">
        <v>1819</v>
      </c>
      <c r="H340" s="179" t="s">
        <v>486</v>
      </c>
      <c r="I340" s="174" t="s">
        <v>1820</v>
      </c>
      <c r="J340" s="178">
        <v>500000</v>
      </c>
      <c r="K340" s="178">
        <v>162.82499999999999</v>
      </c>
      <c r="L340" s="178">
        <v>1.6562868956000001</v>
      </c>
      <c r="M340" s="178">
        <v>-816203.72928176995</v>
      </c>
      <c r="N340" s="174" t="s">
        <v>998</v>
      </c>
      <c r="O340" s="174" t="s">
        <v>1821</v>
      </c>
      <c r="P340" s="174" t="s">
        <v>22</v>
      </c>
      <c r="Q340" s="174" t="s">
        <v>129</v>
      </c>
      <c r="R340" s="174" t="s">
        <v>1822</v>
      </c>
      <c r="S340" s="174" t="s">
        <v>132</v>
      </c>
      <c r="T340" s="175"/>
      <c r="U340" s="175"/>
      <c r="V340" s="174" t="s">
        <v>1001</v>
      </c>
      <c r="W340" s="174" t="s">
        <v>1823</v>
      </c>
      <c r="X340" s="174" t="s">
        <v>22</v>
      </c>
      <c r="Y340" s="174"/>
      <c r="Z340" s="175"/>
      <c r="AA340" s="174" t="s">
        <v>512</v>
      </c>
      <c r="AB340" s="176">
        <v>43164.255636574075</v>
      </c>
      <c r="AC340" s="174" t="s">
        <v>1822</v>
      </c>
      <c r="AD340" s="176">
        <v>43164.248796296299</v>
      </c>
      <c r="AE340" s="176">
        <v>43164.248877314814</v>
      </c>
      <c r="AF340" s="175"/>
    </row>
    <row r="341" spans="1:32" x14ac:dyDescent="0.25">
      <c r="A341" s="174" t="s">
        <v>484</v>
      </c>
      <c r="B341" s="174" t="s">
        <v>1824</v>
      </c>
      <c r="C341" s="174" t="s">
        <v>566</v>
      </c>
      <c r="D341" s="174" t="s">
        <v>698</v>
      </c>
      <c r="E341" s="176">
        <v>43164</v>
      </c>
      <c r="F341" s="176">
        <v>43166</v>
      </c>
      <c r="G341" s="174" t="s">
        <v>1819</v>
      </c>
      <c r="H341" s="179" t="s">
        <v>486</v>
      </c>
      <c r="I341" s="174" t="s">
        <v>1825</v>
      </c>
      <c r="J341" s="178">
        <v>1000000</v>
      </c>
      <c r="K341" s="178">
        <v>103.125</v>
      </c>
      <c r="L341" s="178">
        <v>2.6945652246999998</v>
      </c>
      <c r="M341" s="178">
        <v>-1042715.27777778</v>
      </c>
      <c r="N341" s="174" t="s">
        <v>386</v>
      </c>
      <c r="O341" s="174" t="s">
        <v>1826</v>
      </c>
      <c r="P341" s="174" t="s">
        <v>22</v>
      </c>
      <c r="Q341" s="174" t="s">
        <v>129</v>
      </c>
      <c r="R341" s="174" t="s">
        <v>1827</v>
      </c>
      <c r="S341" s="174" t="s">
        <v>132</v>
      </c>
      <c r="T341" s="175"/>
      <c r="U341" s="175"/>
      <c r="V341" s="174" t="s">
        <v>1828</v>
      </c>
      <c r="W341" s="174" t="s">
        <v>703</v>
      </c>
      <c r="X341" s="174" t="s">
        <v>22</v>
      </c>
      <c r="Y341" s="174"/>
      <c r="Z341" s="175"/>
      <c r="AA341" s="174" t="s">
        <v>512</v>
      </c>
      <c r="AB341" s="176">
        <v>43164.461145833331</v>
      </c>
      <c r="AC341" s="174" t="s">
        <v>1827</v>
      </c>
      <c r="AD341" s="176">
        <v>43164.457592592589</v>
      </c>
      <c r="AE341" s="176">
        <v>43164.457662037035</v>
      </c>
      <c r="AF341" s="175"/>
    </row>
    <row r="342" spans="1:32" x14ac:dyDescent="0.25">
      <c r="A342" s="174" t="s">
        <v>484</v>
      </c>
      <c r="B342" s="174" t="s">
        <v>1830</v>
      </c>
      <c r="C342" s="174" t="s">
        <v>478</v>
      </c>
      <c r="D342" s="174" t="s">
        <v>1831</v>
      </c>
      <c r="E342" s="176">
        <v>43164</v>
      </c>
      <c r="F342" s="176">
        <v>43166</v>
      </c>
      <c r="G342" s="174" t="s">
        <v>1832</v>
      </c>
      <c r="H342" s="179" t="s">
        <v>486</v>
      </c>
      <c r="I342" s="174" t="s">
        <v>1833</v>
      </c>
      <c r="J342" s="178">
        <v>2000000</v>
      </c>
      <c r="K342" s="178">
        <v>96.75</v>
      </c>
      <c r="L342" s="178">
        <v>10.6237115378</v>
      </c>
      <c r="M342" s="178">
        <v>-1947069.4444444401</v>
      </c>
      <c r="N342" s="174" t="s">
        <v>337</v>
      </c>
      <c r="O342" s="174" t="s">
        <v>1834</v>
      </c>
      <c r="P342" s="174" t="s">
        <v>22</v>
      </c>
      <c r="Q342" s="174" t="s">
        <v>129</v>
      </c>
      <c r="R342" s="174" t="s">
        <v>1835</v>
      </c>
      <c r="S342" s="174" t="s">
        <v>132</v>
      </c>
      <c r="T342" s="175"/>
      <c r="U342" s="175"/>
      <c r="V342" s="174" t="s">
        <v>747</v>
      </c>
      <c r="W342" s="174" t="s">
        <v>1836</v>
      </c>
      <c r="X342" s="174" t="s">
        <v>22</v>
      </c>
      <c r="Y342" s="174"/>
      <c r="Z342" s="175"/>
      <c r="AA342" s="174" t="s">
        <v>472</v>
      </c>
      <c r="AB342" s="176">
        <v>43164.428738425922</v>
      </c>
      <c r="AC342" s="174" t="s">
        <v>1835</v>
      </c>
      <c r="AD342" s="176">
        <v>43164.422210648147</v>
      </c>
      <c r="AE342" s="176">
        <v>43164.422268518516</v>
      </c>
      <c r="AF342" s="175"/>
    </row>
    <row r="343" spans="1:32" x14ac:dyDescent="0.25">
      <c r="A343" s="174" t="s">
        <v>651</v>
      </c>
      <c r="B343" s="174" t="s">
        <v>1837</v>
      </c>
      <c r="C343" s="174" t="s">
        <v>653</v>
      </c>
      <c r="D343" s="174" t="s">
        <v>647</v>
      </c>
      <c r="E343" s="176">
        <v>43164</v>
      </c>
      <c r="F343" s="176">
        <v>43172</v>
      </c>
      <c r="G343" s="174" t="s">
        <v>1832</v>
      </c>
      <c r="H343" s="177" t="s">
        <v>466</v>
      </c>
      <c r="I343" s="174" t="s">
        <v>787</v>
      </c>
      <c r="J343" s="178">
        <v>13000000</v>
      </c>
      <c r="K343" s="178">
        <v>96.62890625</v>
      </c>
      <c r="L343" s="178">
        <v>3.1636679019999998</v>
      </c>
      <c r="M343" s="178">
        <v>12561757.8125</v>
      </c>
      <c r="N343" s="174" t="s">
        <v>337</v>
      </c>
      <c r="O343" s="174" t="s">
        <v>788</v>
      </c>
      <c r="P343" s="174" t="s">
        <v>23</v>
      </c>
      <c r="Q343" s="174" t="s">
        <v>133</v>
      </c>
      <c r="R343" s="175"/>
      <c r="S343" s="175"/>
      <c r="T343" s="175"/>
      <c r="U343" s="175"/>
      <c r="V343" s="174" t="s">
        <v>651</v>
      </c>
      <c r="W343" s="174" t="s">
        <v>650</v>
      </c>
      <c r="X343" s="174" t="s">
        <v>24</v>
      </c>
      <c r="Y343" s="174"/>
      <c r="Z343" s="174" t="s">
        <v>1838</v>
      </c>
      <c r="AA343" s="174" t="s">
        <v>483</v>
      </c>
      <c r="AB343" s="176">
        <v>43164.588425925926</v>
      </c>
      <c r="AC343" s="175"/>
      <c r="AD343" s="176">
        <v>43164.587673611109</v>
      </c>
      <c r="AE343" s="176">
        <v>43164.680115740739</v>
      </c>
      <c r="AF343" s="175"/>
    </row>
    <row r="344" spans="1:32" x14ac:dyDescent="0.25">
      <c r="A344" s="174" t="s">
        <v>461</v>
      </c>
      <c r="B344" s="174" t="s">
        <v>1847</v>
      </c>
      <c r="C344" s="174" t="s">
        <v>566</v>
      </c>
      <c r="D344" s="174" t="s">
        <v>753</v>
      </c>
      <c r="E344" s="176">
        <v>43164</v>
      </c>
      <c r="F344" s="176">
        <v>43166</v>
      </c>
      <c r="G344" s="174" t="s">
        <v>1840</v>
      </c>
      <c r="H344" s="177" t="s">
        <v>466</v>
      </c>
      <c r="I344" s="174" t="s">
        <v>1848</v>
      </c>
      <c r="J344" s="178">
        <v>18000000</v>
      </c>
      <c r="K344" s="178">
        <v>101.13209999999999</v>
      </c>
      <c r="L344" s="178">
        <v>-0.63404177859999999</v>
      </c>
      <c r="M344" s="178">
        <v>18203778</v>
      </c>
      <c r="N344" s="174" t="s">
        <v>386</v>
      </c>
      <c r="O344" s="174" t="s">
        <v>1849</v>
      </c>
      <c r="P344" s="174" t="s">
        <v>22</v>
      </c>
      <c r="Q344" s="174" t="s">
        <v>129</v>
      </c>
      <c r="R344" s="174" t="s">
        <v>1850</v>
      </c>
      <c r="S344" s="174" t="s">
        <v>132</v>
      </c>
      <c r="T344" s="175"/>
      <c r="U344" s="175"/>
      <c r="V344" s="174" t="s">
        <v>575</v>
      </c>
      <c r="W344" s="174" t="s">
        <v>757</v>
      </c>
      <c r="X344" s="174" t="s">
        <v>22</v>
      </c>
      <c r="Y344" s="174"/>
      <c r="Z344" s="175"/>
      <c r="AA344" s="174" t="s">
        <v>512</v>
      </c>
      <c r="AB344" s="176">
        <v>43165.202789351853</v>
      </c>
      <c r="AC344" s="174" t="s">
        <v>1850</v>
      </c>
      <c r="AD344" s="176">
        <v>43165.201597222222</v>
      </c>
      <c r="AE344" s="176">
        <v>43165.201643518521</v>
      </c>
      <c r="AF344" s="175"/>
    </row>
    <row r="345" spans="1:32" x14ac:dyDescent="0.25">
      <c r="A345" s="174" t="s">
        <v>461</v>
      </c>
      <c r="B345" s="174" t="s">
        <v>1851</v>
      </c>
      <c r="C345" s="174" t="s">
        <v>566</v>
      </c>
      <c r="D345" s="174" t="s">
        <v>708</v>
      </c>
      <c r="E345" s="176">
        <v>43164</v>
      </c>
      <c r="F345" s="176">
        <v>43166</v>
      </c>
      <c r="G345" s="174" t="s">
        <v>1840</v>
      </c>
      <c r="H345" s="177" t="s">
        <v>466</v>
      </c>
      <c r="I345" s="174" t="s">
        <v>1841</v>
      </c>
      <c r="J345" s="178">
        <v>50000000</v>
      </c>
      <c r="K345" s="178">
        <v>107.425</v>
      </c>
      <c r="L345" s="178">
        <v>-0.1448786014</v>
      </c>
      <c r="M345" s="178">
        <v>54090582.19178082</v>
      </c>
      <c r="N345" s="174" t="s">
        <v>386</v>
      </c>
      <c r="O345" s="174" t="s">
        <v>1842</v>
      </c>
      <c r="P345" s="174" t="s">
        <v>23</v>
      </c>
      <c r="Q345" s="174" t="s">
        <v>129</v>
      </c>
      <c r="R345" s="174" t="s">
        <v>1852</v>
      </c>
      <c r="S345" s="174" t="s">
        <v>1853</v>
      </c>
      <c r="T345" s="175"/>
      <c r="U345" s="175"/>
      <c r="V345" s="174" t="s">
        <v>575</v>
      </c>
      <c r="W345" s="174" t="s">
        <v>712</v>
      </c>
      <c r="X345" s="174" t="s">
        <v>25</v>
      </c>
      <c r="Y345" s="174"/>
      <c r="Z345" s="174" t="s">
        <v>1854</v>
      </c>
      <c r="AA345" s="174" t="s">
        <v>483</v>
      </c>
      <c r="AB345" s="176">
        <v>43164.493368055555</v>
      </c>
      <c r="AC345" s="174" t="s">
        <v>1852</v>
      </c>
      <c r="AD345" s="176">
        <v>43164.528796296298</v>
      </c>
      <c r="AE345" s="176">
        <v>43164.528796296298</v>
      </c>
      <c r="AF345" s="175"/>
    </row>
    <row r="346" spans="1:32" x14ac:dyDescent="0.25">
      <c r="A346" s="174" t="s">
        <v>461</v>
      </c>
      <c r="B346" s="174" t="s">
        <v>1855</v>
      </c>
      <c r="C346" s="174" t="s">
        <v>566</v>
      </c>
      <c r="D346" s="174" t="s">
        <v>708</v>
      </c>
      <c r="E346" s="176">
        <v>43164</v>
      </c>
      <c r="F346" s="176">
        <v>43166</v>
      </c>
      <c r="G346" s="174" t="s">
        <v>1840</v>
      </c>
      <c r="H346" s="177" t="s">
        <v>466</v>
      </c>
      <c r="I346" s="174" t="s">
        <v>1841</v>
      </c>
      <c r="J346" s="178">
        <v>50000000</v>
      </c>
      <c r="K346" s="178">
        <v>107.425</v>
      </c>
      <c r="L346" s="178">
        <v>-0.1448786014</v>
      </c>
      <c r="M346" s="178">
        <v>54090582.19178082</v>
      </c>
      <c r="N346" s="174" t="s">
        <v>386</v>
      </c>
      <c r="O346" s="174" t="s">
        <v>1842</v>
      </c>
      <c r="P346" s="174" t="s">
        <v>23</v>
      </c>
      <c r="Q346" s="174" t="s">
        <v>129</v>
      </c>
      <c r="R346" s="174" t="s">
        <v>1856</v>
      </c>
      <c r="S346" s="174" t="s">
        <v>1853</v>
      </c>
      <c r="T346" s="175"/>
      <c r="U346" s="175"/>
      <c r="V346" s="174" t="s">
        <v>575</v>
      </c>
      <c r="W346" s="174" t="s">
        <v>712</v>
      </c>
      <c r="X346" s="174" t="s">
        <v>25</v>
      </c>
      <c r="Y346" s="174"/>
      <c r="Z346" s="174" t="s">
        <v>1857</v>
      </c>
      <c r="AA346" s="174" t="s">
        <v>483</v>
      </c>
      <c r="AB346" s="176">
        <v>43164.493368055555</v>
      </c>
      <c r="AC346" s="174" t="s">
        <v>1856</v>
      </c>
      <c r="AD346" s="176">
        <v>43164.52915509259</v>
      </c>
      <c r="AE346" s="176">
        <v>43164.52915509259</v>
      </c>
      <c r="AF346" s="175"/>
    </row>
    <row r="347" spans="1:32" x14ac:dyDescent="0.25">
      <c r="A347" s="174" t="s">
        <v>461</v>
      </c>
      <c r="B347" s="174" t="s">
        <v>1858</v>
      </c>
      <c r="C347" s="174" t="s">
        <v>566</v>
      </c>
      <c r="D347" s="174" t="s">
        <v>708</v>
      </c>
      <c r="E347" s="176">
        <v>43164</v>
      </c>
      <c r="F347" s="176">
        <v>43166</v>
      </c>
      <c r="G347" s="174" t="s">
        <v>1840</v>
      </c>
      <c r="H347" s="177" t="s">
        <v>466</v>
      </c>
      <c r="I347" s="174" t="s">
        <v>1841</v>
      </c>
      <c r="J347" s="178">
        <v>50000000</v>
      </c>
      <c r="K347" s="178">
        <v>107.425</v>
      </c>
      <c r="L347" s="178">
        <v>-0.1448786014</v>
      </c>
      <c r="M347" s="178">
        <v>54090582.19178082</v>
      </c>
      <c r="N347" s="174" t="s">
        <v>386</v>
      </c>
      <c r="O347" s="174" t="s">
        <v>1842</v>
      </c>
      <c r="P347" s="174" t="s">
        <v>23</v>
      </c>
      <c r="Q347" s="174" t="s">
        <v>129</v>
      </c>
      <c r="R347" s="174" t="s">
        <v>1859</v>
      </c>
      <c r="S347" s="174" t="s">
        <v>1853</v>
      </c>
      <c r="T347" s="175"/>
      <c r="U347" s="175"/>
      <c r="V347" s="174" t="s">
        <v>575</v>
      </c>
      <c r="W347" s="174" t="s">
        <v>712</v>
      </c>
      <c r="X347" s="174" t="s">
        <v>25</v>
      </c>
      <c r="Y347" s="174"/>
      <c r="Z347" s="174" t="s">
        <v>1857</v>
      </c>
      <c r="AA347" s="174" t="s">
        <v>483</v>
      </c>
      <c r="AB347" s="176">
        <v>43164.493368055555</v>
      </c>
      <c r="AC347" s="174" t="s">
        <v>1859</v>
      </c>
      <c r="AD347" s="176">
        <v>43164.529166666667</v>
      </c>
      <c r="AE347" s="176">
        <v>43164.529166666667</v>
      </c>
      <c r="AF347" s="175"/>
    </row>
    <row r="348" spans="1:32" x14ac:dyDescent="0.25">
      <c r="A348" s="174" t="s">
        <v>461</v>
      </c>
      <c r="B348" s="174" t="s">
        <v>1860</v>
      </c>
      <c r="C348" s="174" t="s">
        <v>478</v>
      </c>
      <c r="D348" s="174" t="s">
        <v>582</v>
      </c>
      <c r="E348" s="176">
        <v>43164</v>
      </c>
      <c r="F348" s="176">
        <v>43165</v>
      </c>
      <c r="G348" s="174" t="s">
        <v>1840</v>
      </c>
      <c r="H348" s="179" t="s">
        <v>486</v>
      </c>
      <c r="I348" s="174" t="s">
        <v>644</v>
      </c>
      <c r="J348" s="178">
        <v>4550000</v>
      </c>
      <c r="K348" s="178">
        <v>97.1015625</v>
      </c>
      <c r="L348" s="178">
        <v>3.1501601561000001</v>
      </c>
      <c r="M348" s="178">
        <v>-4425285.4583908804</v>
      </c>
      <c r="N348" s="174" t="s">
        <v>337</v>
      </c>
      <c r="O348" s="174" t="s">
        <v>645</v>
      </c>
      <c r="P348" s="174" t="s">
        <v>23</v>
      </c>
      <c r="Q348" s="174" t="s">
        <v>129</v>
      </c>
      <c r="R348" s="175"/>
      <c r="S348" s="175"/>
      <c r="T348" s="175"/>
      <c r="U348" s="175"/>
      <c r="V348" s="174" t="s">
        <v>469</v>
      </c>
      <c r="W348" s="174" t="s">
        <v>586</v>
      </c>
      <c r="X348" s="174" t="s">
        <v>24</v>
      </c>
      <c r="Y348" s="174"/>
      <c r="Z348" s="174" t="s">
        <v>1861</v>
      </c>
      <c r="AA348" s="174" t="s">
        <v>483</v>
      </c>
      <c r="AB348" s="176">
        <v>43164.63009259259</v>
      </c>
      <c r="AC348" s="175"/>
      <c r="AD348" s="176">
        <v>43164.741990740738</v>
      </c>
      <c r="AE348" s="176">
        <v>43164.741990740738</v>
      </c>
      <c r="AF348" s="175"/>
    </row>
    <row r="349" spans="1:32" x14ac:dyDescent="0.25">
      <c r="A349" s="174" t="s">
        <v>461</v>
      </c>
      <c r="B349" s="174" t="s">
        <v>1862</v>
      </c>
      <c r="C349" s="174" t="s">
        <v>478</v>
      </c>
      <c r="D349" s="174" t="s">
        <v>1201</v>
      </c>
      <c r="E349" s="176">
        <v>43164</v>
      </c>
      <c r="F349" s="176">
        <v>43165</v>
      </c>
      <c r="G349" s="174" t="s">
        <v>1863</v>
      </c>
      <c r="H349" s="179" t="s">
        <v>486</v>
      </c>
      <c r="I349" s="174" t="s">
        <v>475</v>
      </c>
      <c r="J349" s="178">
        <v>7400000</v>
      </c>
      <c r="K349" s="178">
        <v>99.320312000000001</v>
      </c>
      <c r="L349" s="178">
        <v>2.8287649275</v>
      </c>
      <c r="M349" s="178">
        <v>-7360384.0272265198</v>
      </c>
      <c r="N349" s="174" t="s">
        <v>337</v>
      </c>
      <c r="O349" s="174" t="s">
        <v>476</v>
      </c>
      <c r="P349" s="174" t="s">
        <v>23</v>
      </c>
      <c r="Q349" s="174" t="s">
        <v>130</v>
      </c>
      <c r="R349" s="175"/>
      <c r="S349" s="175"/>
      <c r="T349" s="175"/>
      <c r="U349" s="175"/>
      <c r="V349" s="174" t="s">
        <v>469</v>
      </c>
      <c r="W349" s="174" t="s">
        <v>1206</v>
      </c>
      <c r="X349" s="174" t="s">
        <v>24</v>
      </c>
      <c r="Y349" s="174"/>
      <c r="Z349" s="174" t="s">
        <v>1864</v>
      </c>
      <c r="AA349" s="174" t="s">
        <v>483</v>
      </c>
      <c r="AB349" s="175"/>
      <c r="AC349" s="175"/>
      <c r="AD349" s="176">
        <v>43164.465497685182</v>
      </c>
      <c r="AE349" s="176">
        <v>43164.465497685182</v>
      </c>
      <c r="AF349" s="175"/>
    </row>
    <row r="350" spans="1:32" x14ac:dyDescent="0.25">
      <c r="A350" s="174" t="s">
        <v>484</v>
      </c>
      <c r="B350" s="174" t="s">
        <v>1865</v>
      </c>
      <c r="C350" s="174" t="s">
        <v>478</v>
      </c>
      <c r="D350" s="174" t="s">
        <v>1201</v>
      </c>
      <c r="E350" s="176">
        <v>43164</v>
      </c>
      <c r="F350" s="176">
        <v>43166</v>
      </c>
      <c r="G350" s="174" t="s">
        <v>1863</v>
      </c>
      <c r="H350" s="177" t="s">
        <v>466</v>
      </c>
      <c r="I350" s="174" t="s">
        <v>1866</v>
      </c>
      <c r="J350" s="178">
        <v>8217000</v>
      </c>
      <c r="K350" s="178">
        <v>96.103999999999999</v>
      </c>
      <c r="L350" s="178">
        <v>3.4440147944000001</v>
      </c>
      <c r="M350" s="178">
        <v>7952079.3550000004</v>
      </c>
      <c r="N350" s="174" t="s">
        <v>337</v>
      </c>
      <c r="O350" s="174" t="s">
        <v>1867</v>
      </c>
      <c r="P350" s="174" t="s">
        <v>23</v>
      </c>
      <c r="Q350" s="174" t="s">
        <v>130</v>
      </c>
      <c r="R350" s="175"/>
      <c r="S350" s="175"/>
      <c r="T350" s="175"/>
      <c r="U350" s="175"/>
      <c r="V350" s="174" t="s">
        <v>489</v>
      </c>
      <c r="W350" s="174" t="s">
        <v>1206</v>
      </c>
      <c r="X350" s="174" t="s">
        <v>24</v>
      </c>
      <c r="Y350" s="174"/>
      <c r="Z350" s="174" t="s">
        <v>1864</v>
      </c>
      <c r="AA350" s="174" t="s">
        <v>483</v>
      </c>
      <c r="AB350" s="175"/>
      <c r="AC350" s="175"/>
      <c r="AD350" s="176">
        <v>43164.465509259258</v>
      </c>
      <c r="AE350" s="176">
        <v>43164.465509259258</v>
      </c>
      <c r="AF350" s="175"/>
    </row>
    <row r="351" spans="1:32" x14ac:dyDescent="0.25">
      <c r="A351" s="174" t="s">
        <v>484</v>
      </c>
      <c r="B351" s="174" t="s">
        <v>1868</v>
      </c>
      <c r="C351" s="174" t="s">
        <v>478</v>
      </c>
      <c r="D351" s="174" t="s">
        <v>903</v>
      </c>
      <c r="E351" s="176">
        <v>43164</v>
      </c>
      <c r="F351" s="176">
        <v>43166</v>
      </c>
      <c r="G351" s="174" t="s">
        <v>1863</v>
      </c>
      <c r="H351" s="177" t="s">
        <v>466</v>
      </c>
      <c r="I351" s="174" t="s">
        <v>1669</v>
      </c>
      <c r="J351" s="178">
        <v>2000000</v>
      </c>
      <c r="K351" s="178">
        <v>89.5625</v>
      </c>
      <c r="L351" s="178">
        <v>8.8441469086000009</v>
      </c>
      <c r="M351" s="178">
        <v>1845763.8888888902</v>
      </c>
      <c r="N351" s="174" t="s">
        <v>337</v>
      </c>
      <c r="O351" s="174" t="s">
        <v>1670</v>
      </c>
      <c r="P351" s="174" t="s">
        <v>23</v>
      </c>
      <c r="Q351" s="174" t="s">
        <v>130</v>
      </c>
      <c r="R351" s="175"/>
      <c r="S351" s="175"/>
      <c r="T351" s="175"/>
      <c r="U351" s="175"/>
      <c r="V351" s="174" t="s">
        <v>489</v>
      </c>
      <c r="W351" s="174" t="s">
        <v>906</v>
      </c>
      <c r="X351" s="174" t="s">
        <v>24</v>
      </c>
      <c r="Y351" s="174"/>
      <c r="Z351" s="174" t="s">
        <v>1864</v>
      </c>
      <c r="AA351" s="174" t="s">
        <v>483</v>
      </c>
      <c r="AB351" s="175"/>
      <c r="AC351" s="175"/>
      <c r="AD351" s="176">
        <v>43164.465520833335</v>
      </c>
      <c r="AE351" s="176">
        <v>43164.465520833335</v>
      </c>
      <c r="AF351" s="175"/>
    </row>
    <row r="352" spans="1:32" x14ac:dyDescent="0.25">
      <c r="A352" s="174" t="s">
        <v>484</v>
      </c>
      <c r="B352" s="174" t="s">
        <v>1870</v>
      </c>
      <c r="C352" s="174" t="s">
        <v>478</v>
      </c>
      <c r="D352" s="174" t="s">
        <v>768</v>
      </c>
      <c r="E352" s="176">
        <v>43164</v>
      </c>
      <c r="F352" s="176">
        <v>43166</v>
      </c>
      <c r="G352" s="174" t="s">
        <v>1863</v>
      </c>
      <c r="H352" s="177" t="s">
        <v>466</v>
      </c>
      <c r="I352" s="174" t="s">
        <v>1457</v>
      </c>
      <c r="J352" s="178">
        <v>3605000</v>
      </c>
      <c r="K352" s="178">
        <v>93.46</v>
      </c>
      <c r="L352" s="178">
        <v>4.9390136515999998</v>
      </c>
      <c r="M352" s="178">
        <v>3447119.4255555598</v>
      </c>
      <c r="N352" s="174" t="s">
        <v>337</v>
      </c>
      <c r="O352" s="174" t="s">
        <v>1458</v>
      </c>
      <c r="P352" s="174" t="s">
        <v>23</v>
      </c>
      <c r="Q352" s="174" t="s">
        <v>130</v>
      </c>
      <c r="R352" s="175"/>
      <c r="S352" s="175"/>
      <c r="T352" s="175"/>
      <c r="U352" s="175"/>
      <c r="V352" s="174" t="s">
        <v>489</v>
      </c>
      <c r="W352" s="174" t="s">
        <v>770</v>
      </c>
      <c r="X352" s="174" t="s">
        <v>24</v>
      </c>
      <c r="Y352" s="174"/>
      <c r="Z352" s="174" t="s">
        <v>1864</v>
      </c>
      <c r="AA352" s="174" t="s">
        <v>483</v>
      </c>
      <c r="AB352" s="175"/>
      <c r="AC352" s="175"/>
      <c r="AD352" s="176">
        <v>43164.663460648146</v>
      </c>
      <c r="AE352" s="176">
        <v>43164.663460648146</v>
      </c>
      <c r="AF352" s="175"/>
    </row>
    <row r="353" spans="1:32" x14ac:dyDescent="0.25">
      <c r="A353" s="174" t="s">
        <v>461</v>
      </c>
      <c r="B353" s="174" t="s">
        <v>1871</v>
      </c>
      <c r="C353" s="174" t="s">
        <v>478</v>
      </c>
      <c r="D353" s="174" t="s">
        <v>768</v>
      </c>
      <c r="E353" s="176">
        <v>43164</v>
      </c>
      <c r="F353" s="176">
        <v>43165</v>
      </c>
      <c r="G353" s="174" t="s">
        <v>1863</v>
      </c>
      <c r="H353" s="179" t="s">
        <v>486</v>
      </c>
      <c r="I353" s="174" t="s">
        <v>543</v>
      </c>
      <c r="J353" s="178">
        <v>3100000</v>
      </c>
      <c r="K353" s="178">
        <v>91.96875</v>
      </c>
      <c r="L353" s="178">
        <v>3.1692644617000001</v>
      </c>
      <c r="M353" s="178">
        <v>-2877171.44337017</v>
      </c>
      <c r="N353" s="174" t="s">
        <v>337</v>
      </c>
      <c r="O353" s="174" t="s">
        <v>544</v>
      </c>
      <c r="P353" s="174" t="s">
        <v>23</v>
      </c>
      <c r="Q353" s="174" t="s">
        <v>130</v>
      </c>
      <c r="R353" s="175"/>
      <c r="S353" s="175"/>
      <c r="T353" s="175"/>
      <c r="U353" s="175"/>
      <c r="V353" s="174" t="s">
        <v>469</v>
      </c>
      <c r="W353" s="174" t="s">
        <v>770</v>
      </c>
      <c r="X353" s="174" t="s">
        <v>24</v>
      </c>
      <c r="Y353" s="174"/>
      <c r="Z353" s="174" t="s">
        <v>1864</v>
      </c>
      <c r="AA353" s="174" t="s">
        <v>483</v>
      </c>
      <c r="AB353" s="175"/>
      <c r="AC353" s="175"/>
      <c r="AD353" s="176">
        <v>43164.663472222222</v>
      </c>
      <c r="AE353" s="176">
        <v>43164.663472222222</v>
      </c>
      <c r="AF353" s="175"/>
    </row>
    <row r="354" spans="1:32" x14ac:dyDescent="0.25">
      <c r="A354" s="174" t="s">
        <v>461</v>
      </c>
      <c r="B354" s="174" t="s">
        <v>1872</v>
      </c>
      <c r="C354" s="174" t="s">
        <v>463</v>
      </c>
      <c r="D354" s="174" t="s">
        <v>506</v>
      </c>
      <c r="E354" s="176">
        <v>43164</v>
      </c>
      <c r="F354" s="176">
        <v>43165</v>
      </c>
      <c r="G354" s="174" t="s">
        <v>1863</v>
      </c>
      <c r="H354" s="179" t="s">
        <v>486</v>
      </c>
      <c r="I354" s="174" t="s">
        <v>871</v>
      </c>
      <c r="J354" s="178">
        <v>1000000</v>
      </c>
      <c r="K354" s="178">
        <v>100.0625</v>
      </c>
      <c r="L354" s="178">
        <v>2.2175195864999999</v>
      </c>
      <c r="M354" s="178">
        <v>-1000991.8478260899</v>
      </c>
      <c r="N354" s="174" t="s">
        <v>337</v>
      </c>
      <c r="O354" s="174" t="s">
        <v>872</v>
      </c>
      <c r="P354" s="174" t="s">
        <v>23</v>
      </c>
      <c r="Q354" s="174" t="s">
        <v>130</v>
      </c>
      <c r="R354" s="175"/>
      <c r="S354" s="175"/>
      <c r="T354" s="175"/>
      <c r="U354" s="175"/>
      <c r="V354" s="174" t="s">
        <v>469</v>
      </c>
      <c r="W354" s="174" t="s">
        <v>511</v>
      </c>
      <c r="X354" s="174" t="s">
        <v>24</v>
      </c>
      <c r="Y354" s="174"/>
      <c r="Z354" s="174" t="s">
        <v>794</v>
      </c>
      <c r="AA354" s="174" t="s">
        <v>483</v>
      </c>
      <c r="AB354" s="175"/>
      <c r="AC354" s="175"/>
      <c r="AD354" s="176">
        <v>43164.71837962963</v>
      </c>
      <c r="AE354" s="176">
        <v>43164.71837962963</v>
      </c>
      <c r="AF354" s="175"/>
    </row>
    <row r="355" spans="1:32" x14ac:dyDescent="0.25">
      <c r="A355" s="174" t="s">
        <v>461</v>
      </c>
      <c r="B355" s="174" t="s">
        <v>1873</v>
      </c>
      <c r="C355" s="174" t="s">
        <v>463</v>
      </c>
      <c r="D355" s="174" t="s">
        <v>506</v>
      </c>
      <c r="E355" s="176">
        <v>43164</v>
      </c>
      <c r="F355" s="176">
        <v>43165</v>
      </c>
      <c r="G355" s="174" t="s">
        <v>1863</v>
      </c>
      <c r="H355" s="179" t="s">
        <v>486</v>
      </c>
      <c r="I355" s="174" t="s">
        <v>871</v>
      </c>
      <c r="J355" s="178">
        <v>2000000</v>
      </c>
      <c r="K355" s="178">
        <v>100.0625</v>
      </c>
      <c r="L355" s="178">
        <v>2.2175195864999999</v>
      </c>
      <c r="M355" s="178">
        <v>-2001983.6956521699</v>
      </c>
      <c r="N355" s="174" t="s">
        <v>337</v>
      </c>
      <c r="O355" s="174" t="s">
        <v>872</v>
      </c>
      <c r="P355" s="174" t="s">
        <v>23</v>
      </c>
      <c r="Q355" s="174" t="s">
        <v>130</v>
      </c>
      <c r="R355" s="175"/>
      <c r="S355" s="175"/>
      <c r="T355" s="175"/>
      <c r="U355" s="175"/>
      <c r="V355" s="174" t="s">
        <v>469</v>
      </c>
      <c r="W355" s="174" t="s">
        <v>511</v>
      </c>
      <c r="X355" s="174" t="s">
        <v>24</v>
      </c>
      <c r="Y355" s="174"/>
      <c r="Z355" s="174" t="s">
        <v>794</v>
      </c>
      <c r="AA355" s="174" t="s">
        <v>483</v>
      </c>
      <c r="AB355" s="175"/>
      <c r="AC355" s="175"/>
      <c r="AD355" s="176">
        <v>43164.71837962963</v>
      </c>
      <c r="AE355" s="176">
        <v>43164.71837962963</v>
      </c>
      <c r="AF355" s="175"/>
    </row>
    <row r="356" spans="1:32" x14ac:dyDescent="0.25">
      <c r="A356" s="174" t="s">
        <v>461</v>
      </c>
      <c r="B356" s="174" t="s">
        <v>1874</v>
      </c>
      <c r="C356" s="174" t="s">
        <v>463</v>
      </c>
      <c r="D356" s="174" t="s">
        <v>506</v>
      </c>
      <c r="E356" s="176">
        <v>43164</v>
      </c>
      <c r="F356" s="176">
        <v>43165</v>
      </c>
      <c r="G356" s="174" t="s">
        <v>1863</v>
      </c>
      <c r="H356" s="179" t="s">
        <v>486</v>
      </c>
      <c r="I356" s="174" t="s">
        <v>871</v>
      </c>
      <c r="J356" s="178">
        <v>1000000</v>
      </c>
      <c r="K356" s="178">
        <v>100.0625</v>
      </c>
      <c r="L356" s="178">
        <v>2.2175195864999999</v>
      </c>
      <c r="M356" s="178">
        <v>-1000991.8478260899</v>
      </c>
      <c r="N356" s="174" t="s">
        <v>337</v>
      </c>
      <c r="O356" s="174" t="s">
        <v>872</v>
      </c>
      <c r="P356" s="174" t="s">
        <v>23</v>
      </c>
      <c r="Q356" s="174" t="s">
        <v>130</v>
      </c>
      <c r="R356" s="175"/>
      <c r="S356" s="175"/>
      <c r="T356" s="175"/>
      <c r="U356" s="175"/>
      <c r="V356" s="174" t="s">
        <v>469</v>
      </c>
      <c r="W356" s="174" t="s">
        <v>511</v>
      </c>
      <c r="X356" s="174" t="s">
        <v>24</v>
      </c>
      <c r="Y356" s="174"/>
      <c r="Z356" s="174" t="s">
        <v>794</v>
      </c>
      <c r="AA356" s="174" t="s">
        <v>483</v>
      </c>
      <c r="AB356" s="175"/>
      <c r="AC356" s="175"/>
      <c r="AD356" s="176">
        <v>43164.71837962963</v>
      </c>
      <c r="AE356" s="176">
        <v>43164.71837962963</v>
      </c>
      <c r="AF356" s="175"/>
    </row>
    <row r="357" spans="1:32" x14ac:dyDescent="0.25">
      <c r="A357" s="174" t="s">
        <v>461</v>
      </c>
      <c r="B357" s="174" t="s">
        <v>1875</v>
      </c>
      <c r="C357" s="174" t="s">
        <v>463</v>
      </c>
      <c r="D357" s="174" t="s">
        <v>506</v>
      </c>
      <c r="E357" s="176">
        <v>43164</v>
      </c>
      <c r="F357" s="176">
        <v>43165</v>
      </c>
      <c r="G357" s="174" t="s">
        <v>1863</v>
      </c>
      <c r="H357" s="179" t="s">
        <v>486</v>
      </c>
      <c r="I357" s="174" t="s">
        <v>871</v>
      </c>
      <c r="J357" s="178">
        <v>2000000</v>
      </c>
      <c r="K357" s="178">
        <v>100.0625</v>
      </c>
      <c r="L357" s="178">
        <v>2.2175195864999999</v>
      </c>
      <c r="M357" s="178">
        <v>-2001983.6956521699</v>
      </c>
      <c r="N357" s="174" t="s">
        <v>337</v>
      </c>
      <c r="O357" s="174" t="s">
        <v>872</v>
      </c>
      <c r="P357" s="174" t="s">
        <v>23</v>
      </c>
      <c r="Q357" s="174" t="s">
        <v>130</v>
      </c>
      <c r="R357" s="175"/>
      <c r="S357" s="175"/>
      <c r="T357" s="175"/>
      <c r="U357" s="175"/>
      <c r="V357" s="174" t="s">
        <v>469</v>
      </c>
      <c r="W357" s="174" t="s">
        <v>511</v>
      </c>
      <c r="X357" s="174" t="s">
        <v>24</v>
      </c>
      <c r="Y357" s="174"/>
      <c r="Z357" s="174" t="s">
        <v>794</v>
      </c>
      <c r="AA357" s="174" t="s">
        <v>483</v>
      </c>
      <c r="AB357" s="175"/>
      <c r="AC357" s="175"/>
      <c r="AD357" s="176">
        <v>43164.71837962963</v>
      </c>
      <c r="AE357" s="176">
        <v>43164.71837962963</v>
      </c>
      <c r="AF357" s="175"/>
    </row>
    <row r="358" spans="1:32" x14ac:dyDescent="0.25">
      <c r="A358" s="174" t="s">
        <v>461</v>
      </c>
      <c r="B358" s="174" t="s">
        <v>1876</v>
      </c>
      <c r="C358" s="174" t="s">
        <v>463</v>
      </c>
      <c r="D358" s="174" t="s">
        <v>506</v>
      </c>
      <c r="E358" s="176">
        <v>43164</v>
      </c>
      <c r="F358" s="176">
        <v>43165</v>
      </c>
      <c r="G358" s="174" t="s">
        <v>1863</v>
      </c>
      <c r="H358" s="179" t="s">
        <v>486</v>
      </c>
      <c r="I358" s="174" t="s">
        <v>871</v>
      </c>
      <c r="J358" s="178">
        <v>1000000</v>
      </c>
      <c r="K358" s="178">
        <v>100.0625</v>
      </c>
      <c r="L358" s="178">
        <v>2.2175195864999999</v>
      </c>
      <c r="M358" s="178">
        <v>-1000991.8478260899</v>
      </c>
      <c r="N358" s="174" t="s">
        <v>337</v>
      </c>
      <c r="O358" s="174" t="s">
        <v>872</v>
      </c>
      <c r="P358" s="174" t="s">
        <v>23</v>
      </c>
      <c r="Q358" s="174" t="s">
        <v>130</v>
      </c>
      <c r="R358" s="175"/>
      <c r="S358" s="175"/>
      <c r="T358" s="175"/>
      <c r="U358" s="175"/>
      <c r="V358" s="174" t="s">
        <v>469</v>
      </c>
      <c r="W358" s="174" t="s">
        <v>511</v>
      </c>
      <c r="X358" s="174" t="s">
        <v>24</v>
      </c>
      <c r="Y358" s="174"/>
      <c r="Z358" s="174" t="s">
        <v>794</v>
      </c>
      <c r="AA358" s="174" t="s">
        <v>483</v>
      </c>
      <c r="AB358" s="175"/>
      <c r="AC358" s="175"/>
      <c r="AD358" s="176">
        <v>43164.71837962963</v>
      </c>
      <c r="AE358" s="176">
        <v>43164.71837962963</v>
      </c>
      <c r="AF358" s="175"/>
    </row>
    <row r="359" spans="1:32" x14ac:dyDescent="0.25">
      <c r="A359" s="174" t="s">
        <v>461</v>
      </c>
      <c r="B359" s="174" t="s">
        <v>1877</v>
      </c>
      <c r="C359" s="174" t="s">
        <v>463</v>
      </c>
      <c r="D359" s="174" t="s">
        <v>506</v>
      </c>
      <c r="E359" s="176">
        <v>43164</v>
      </c>
      <c r="F359" s="176">
        <v>43165</v>
      </c>
      <c r="G359" s="174" t="s">
        <v>1863</v>
      </c>
      <c r="H359" s="179" t="s">
        <v>486</v>
      </c>
      <c r="I359" s="174" t="s">
        <v>871</v>
      </c>
      <c r="J359" s="178">
        <v>1000000</v>
      </c>
      <c r="K359" s="178">
        <v>100.0625</v>
      </c>
      <c r="L359" s="178">
        <v>2.2175195864999999</v>
      </c>
      <c r="M359" s="178">
        <v>-1000991.8478260899</v>
      </c>
      <c r="N359" s="174" t="s">
        <v>337</v>
      </c>
      <c r="O359" s="174" t="s">
        <v>872</v>
      </c>
      <c r="P359" s="174" t="s">
        <v>23</v>
      </c>
      <c r="Q359" s="174" t="s">
        <v>130</v>
      </c>
      <c r="R359" s="175"/>
      <c r="S359" s="175"/>
      <c r="T359" s="175"/>
      <c r="U359" s="175"/>
      <c r="V359" s="174" t="s">
        <v>469</v>
      </c>
      <c r="W359" s="174" t="s">
        <v>511</v>
      </c>
      <c r="X359" s="174" t="s">
        <v>24</v>
      </c>
      <c r="Y359" s="174"/>
      <c r="Z359" s="174" t="s">
        <v>794</v>
      </c>
      <c r="AA359" s="174" t="s">
        <v>483</v>
      </c>
      <c r="AB359" s="175"/>
      <c r="AC359" s="175"/>
      <c r="AD359" s="176">
        <v>43164.71837962963</v>
      </c>
      <c r="AE359" s="176">
        <v>43164.71837962963</v>
      </c>
      <c r="AF359" s="175"/>
    </row>
    <row r="360" spans="1:32" x14ac:dyDescent="0.25">
      <c r="A360" s="174" t="s">
        <v>461</v>
      </c>
      <c r="B360" s="174" t="s">
        <v>1878</v>
      </c>
      <c r="C360" s="174" t="s">
        <v>463</v>
      </c>
      <c r="D360" s="174" t="s">
        <v>506</v>
      </c>
      <c r="E360" s="176">
        <v>43164</v>
      </c>
      <c r="F360" s="176">
        <v>43165</v>
      </c>
      <c r="G360" s="174" t="s">
        <v>1863</v>
      </c>
      <c r="H360" s="179" t="s">
        <v>486</v>
      </c>
      <c r="I360" s="174" t="s">
        <v>871</v>
      </c>
      <c r="J360" s="178">
        <v>1000000</v>
      </c>
      <c r="K360" s="178">
        <v>100.0625</v>
      </c>
      <c r="L360" s="178">
        <v>2.2175195864999999</v>
      </c>
      <c r="M360" s="178">
        <v>-1000991.8478260899</v>
      </c>
      <c r="N360" s="174" t="s">
        <v>337</v>
      </c>
      <c r="O360" s="174" t="s">
        <v>872</v>
      </c>
      <c r="P360" s="174" t="s">
        <v>23</v>
      </c>
      <c r="Q360" s="174" t="s">
        <v>130</v>
      </c>
      <c r="R360" s="175"/>
      <c r="S360" s="175"/>
      <c r="T360" s="175"/>
      <c r="U360" s="175"/>
      <c r="V360" s="174" t="s">
        <v>469</v>
      </c>
      <c r="W360" s="174" t="s">
        <v>511</v>
      </c>
      <c r="X360" s="174" t="s">
        <v>24</v>
      </c>
      <c r="Y360" s="174"/>
      <c r="Z360" s="174" t="s">
        <v>794</v>
      </c>
      <c r="AA360" s="174" t="s">
        <v>483</v>
      </c>
      <c r="AB360" s="175"/>
      <c r="AC360" s="175"/>
      <c r="AD360" s="176">
        <v>43164.718391203707</v>
      </c>
      <c r="AE360" s="176">
        <v>43164.718391203707</v>
      </c>
      <c r="AF360" s="175"/>
    </row>
    <row r="361" spans="1:32" x14ac:dyDescent="0.25">
      <c r="A361" s="174" t="s">
        <v>461</v>
      </c>
      <c r="B361" s="174" t="s">
        <v>1879</v>
      </c>
      <c r="C361" s="174" t="s">
        <v>463</v>
      </c>
      <c r="D361" s="174" t="s">
        <v>506</v>
      </c>
      <c r="E361" s="176">
        <v>43164</v>
      </c>
      <c r="F361" s="176">
        <v>43165</v>
      </c>
      <c r="G361" s="174" t="s">
        <v>1863</v>
      </c>
      <c r="H361" s="179" t="s">
        <v>486</v>
      </c>
      <c r="I361" s="174" t="s">
        <v>871</v>
      </c>
      <c r="J361" s="178">
        <v>1000000</v>
      </c>
      <c r="K361" s="178">
        <v>100.0625</v>
      </c>
      <c r="L361" s="178">
        <v>2.2175195864999999</v>
      </c>
      <c r="M361" s="178">
        <v>-1000991.8478260899</v>
      </c>
      <c r="N361" s="174" t="s">
        <v>337</v>
      </c>
      <c r="O361" s="174" t="s">
        <v>872</v>
      </c>
      <c r="P361" s="174" t="s">
        <v>23</v>
      </c>
      <c r="Q361" s="174" t="s">
        <v>130</v>
      </c>
      <c r="R361" s="175"/>
      <c r="S361" s="175"/>
      <c r="T361" s="175"/>
      <c r="U361" s="175"/>
      <c r="V361" s="174" t="s">
        <v>469</v>
      </c>
      <c r="W361" s="174" t="s">
        <v>511</v>
      </c>
      <c r="X361" s="174" t="s">
        <v>24</v>
      </c>
      <c r="Y361" s="174"/>
      <c r="Z361" s="174" t="s">
        <v>794</v>
      </c>
      <c r="AA361" s="174" t="s">
        <v>483</v>
      </c>
      <c r="AB361" s="175"/>
      <c r="AC361" s="175"/>
      <c r="AD361" s="176">
        <v>43164.718391203707</v>
      </c>
      <c r="AE361" s="176">
        <v>43164.718391203707</v>
      </c>
      <c r="AF361" s="175"/>
    </row>
    <row r="362" spans="1:32" x14ac:dyDescent="0.25">
      <c r="A362" s="174" t="s">
        <v>461</v>
      </c>
      <c r="B362" s="174" t="s">
        <v>1880</v>
      </c>
      <c r="C362" s="174" t="s">
        <v>463</v>
      </c>
      <c r="D362" s="174" t="s">
        <v>506</v>
      </c>
      <c r="E362" s="176">
        <v>43164</v>
      </c>
      <c r="F362" s="176">
        <v>43165</v>
      </c>
      <c r="G362" s="174" t="s">
        <v>1863</v>
      </c>
      <c r="H362" s="179" t="s">
        <v>486</v>
      </c>
      <c r="I362" s="174" t="s">
        <v>871</v>
      </c>
      <c r="J362" s="178">
        <v>1000000</v>
      </c>
      <c r="K362" s="178">
        <v>100.0625</v>
      </c>
      <c r="L362" s="178">
        <v>2.2175195864999999</v>
      </c>
      <c r="M362" s="178">
        <v>-1000991.8478260899</v>
      </c>
      <c r="N362" s="174" t="s">
        <v>337</v>
      </c>
      <c r="O362" s="174" t="s">
        <v>872</v>
      </c>
      <c r="P362" s="174" t="s">
        <v>23</v>
      </c>
      <c r="Q362" s="174" t="s">
        <v>130</v>
      </c>
      <c r="R362" s="175"/>
      <c r="S362" s="175"/>
      <c r="T362" s="175"/>
      <c r="U362" s="175"/>
      <c r="V362" s="174" t="s">
        <v>469</v>
      </c>
      <c r="W362" s="174" t="s">
        <v>511</v>
      </c>
      <c r="X362" s="174" t="s">
        <v>24</v>
      </c>
      <c r="Y362" s="174"/>
      <c r="Z362" s="174" t="s">
        <v>794</v>
      </c>
      <c r="AA362" s="174" t="s">
        <v>483</v>
      </c>
      <c r="AB362" s="175"/>
      <c r="AC362" s="175"/>
      <c r="AD362" s="176">
        <v>43164.718402777777</v>
      </c>
      <c r="AE362" s="176">
        <v>43164.718402777777</v>
      </c>
      <c r="AF362" s="175"/>
    </row>
    <row r="363" spans="1:32" x14ac:dyDescent="0.25">
      <c r="A363" s="174" t="s">
        <v>461</v>
      </c>
      <c r="B363" s="174" t="s">
        <v>1881</v>
      </c>
      <c r="C363" s="174" t="s">
        <v>463</v>
      </c>
      <c r="D363" s="174" t="s">
        <v>506</v>
      </c>
      <c r="E363" s="176">
        <v>43164</v>
      </c>
      <c r="F363" s="176">
        <v>43165</v>
      </c>
      <c r="G363" s="174" t="s">
        <v>1863</v>
      </c>
      <c r="H363" s="179" t="s">
        <v>486</v>
      </c>
      <c r="I363" s="174" t="s">
        <v>871</v>
      </c>
      <c r="J363" s="178">
        <v>1000000</v>
      </c>
      <c r="K363" s="178">
        <v>100.0625</v>
      </c>
      <c r="L363" s="178">
        <v>2.2175195864999999</v>
      </c>
      <c r="M363" s="178">
        <v>-1000991.8478260899</v>
      </c>
      <c r="N363" s="174" t="s">
        <v>337</v>
      </c>
      <c r="O363" s="174" t="s">
        <v>872</v>
      </c>
      <c r="P363" s="174" t="s">
        <v>23</v>
      </c>
      <c r="Q363" s="174" t="s">
        <v>130</v>
      </c>
      <c r="R363" s="175"/>
      <c r="S363" s="175"/>
      <c r="T363" s="175"/>
      <c r="U363" s="175"/>
      <c r="V363" s="174" t="s">
        <v>469</v>
      </c>
      <c r="W363" s="174" t="s">
        <v>511</v>
      </c>
      <c r="X363" s="174" t="s">
        <v>24</v>
      </c>
      <c r="Y363" s="174"/>
      <c r="Z363" s="174" t="s">
        <v>794</v>
      </c>
      <c r="AA363" s="174" t="s">
        <v>483</v>
      </c>
      <c r="AB363" s="175"/>
      <c r="AC363" s="175"/>
      <c r="AD363" s="176">
        <v>43164.718402777777</v>
      </c>
      <c r="AE363" s="176">
        <v>43164.718402777777</v>
      </c>
      <c r="AF363" s="175"/>
    </row>
    <row r="364" spans="1:32" x14ac:dyDescent="0.25">
      <c r="A364" s="174" t="s">
        <v>461</v>
      </c>
      <c r="B364" s="174" t="s">
        <v>1882</v>
      </c>
      <c r="C364" s="174" t="s">
        <v>463</v>
      </c>
      <c r="D364" s="174" t="s">
        <v>506</v>
      </c>
      <c r="E364" s="176">
        <v>43164</v>
      </c>
      <c r="F364" s="176">
        <v>43165</v>
      </c>
      <c r="G364" s="174" t="s">
        <v>1863</v>
      </c>
      <c r="H364" s="179" t="s">
        <v>486</v>
      </c>
      <c r="I364" s="174" t="s">
        <v>871</v>
      </c>
      <c r="J364" s="178">
        <v>1000000</v>
      </c>
      <c r="K364" s="178">
        <v>100.0625</v>
      </c>
      <c r="L364" s="178">
        <v>2.2175195864999999</v>
      </c>
      <c r="M364" s="178">
        <v>-1000991.8478260899</v>
      </c>
      <c r="N364" s="174" t="s">
        <v>337</v>
      </c>
      <c r="O364" s="174" t="s">
        <v>872</v>
      </c>
      <c r="P364" s="174" t="s">
        <v>23</v>
      </c>
      <c r="Q364" s="174" t="s">
        <v>130</v>
      </c>
      <c r="R364" s="175"/>
      <c r="S364" s="175"/>
      <c r="T364" s="175"/>
      <c r="U364" s="175"/>
      <c r="V364" s="174" t="s">
        <v>469</v>
      </c>
      <c r="W364" s="174" t="s">
        <v>511</v>
      </c>
      <c r="X364" s="174" t="s">
        <v>24</v>
      </c>
      <c r="Y364" s="174"/>
      <c r="Z364" s="174" t="s">
        <v>794</v>
      </c>
      <c r="AA364" s="174" t="s">
        <v>483</v>
      </c>
      <c r="AB364" s="175"/>
      <c r="AC364" s="175"/>
      <c r="AD364" s="176">
        <v>43164.718414351853</v>
      </c>
      <c r="AE364" s="176">
        <v>43164.718414351853</v>
      </c>
      <c r="AF364" s="175"/>
    </row>
    <row r="365" spans="1:32" x14ac:dyDescent="0.25">
      <c r="A365" s="174" t="s">
        <v>461</v>
      </c>
      <c r="B365" s="174" t="s">
        <v>1883</v>
      </c>
      <c r="C365" s="174" t="s">
        <v>463</v>
      </c>
      <c r="D365" s="174" t="s">
        <v>506</v>
      </c>
      <c r="E365" s="176">
        <v>43164</v>
      </c>
      <c r="F365" s="176">
        <v>43165</v>
      </c>
      <c r="G365" s="174" t="s">
        <v>1863</v>
      </c>
      <c r="H365" s="179" t="s">
        <v>486</v>
      </c>
      <c r="I365" s="174" t="s">
        <v>871</v>
      </c>
      <c r="J365" s="178">
        <v>1000000</v>
      </c>
      <c r="K365" s="178">
        <v>100.0625</v>
      </c>
      <c r="L365" s="178">
        <v>2.2175195864999999</v>
      </c>
      <c r="M365" s="178">
        <v>-1000991.8478260899</v>
      </c>
      <c r="N365" s="174" t="s">
        <v>337</v>
      </c>
      <c r="O365" s="174" t="s">
        <v>872</v>
      </c>
      <c r="P365" s="174" t="s">
        <v>23</v>
      </c>
      <c r="Q365" s="174" t="s">
        <v>130</v>
      </c>
      <c r="R365" s="175"/>
      <c r="S365" s="175"/>
      <c r="T365" s="175"/>
      <c r="U365" s="175"/>
      <c r="V365" s="174" t="s">
        <v>469</v>
      </c>
      <c r="W365" s="174" t="s">
        <v>511</v>
      </c>
      <c r="X365" s="174" t="s">
        <v>24</v>
      </c>
      <c r="Y365" s="174"/>
      <c r="Z365" s="174" t="s">
        <v>794</v>
      </c>
      <c r="AA365" s="174" t="s">
        <v>483</v>
      </c>
      <c r="AB365" s="175"/>
      <c r="AC365" s="175"/>
      <c r="AD365" s="176">
        <v>43164.718425925923</v>
      </c>
      <c r="AE365" s="176">
        <v>43164.718425925923</v>
      </c>
      <c r="AF365" s="175"/>
    </row>
    <row r="366" spans="1:32" x14ac:dyDescent="0.25">
      <c r="A366" s="174" t="s">
        <v>461</v>
      </c>
      <c r="B366" s="174" t="s">
        <v>1884</v>
      </c>
      <c r="C366" s="174" t="s">
        <v>463</v>
      </c>
      <c r="D366" s="174" t="s">
        <v>506</v>
      </c>
      <c r="E366" s="176">
        <v>43164</v>
      </c>
      <c r="F366" s="176">
        <v>43165</v>
      </c>
      <c r="G366" s="174" t="s">
        <v>1863</v>
      </c>
      <c r="H366" s="179" t="s">
        <v>486</v>
      </c>
      <c r="I366" s="174" t="s">
        <v>871</v>
      </c>
      <c r="J366" s="178">
        <v>1000000</v>
      </c>
      <c r="K366" s="178">
        <v>100.0625</v>
      </c>
      <c r="L366" s="178">
        <v>2.2175195864999999</v>
      </c>
      <c r="M366" s="178">
        <v>-1000991.8478260899</v>
      </c>
      <c r="N366" s="174" t="s">
        <v>337</v>
      </c>
      <c r="O366" s="174" t="s">
        <v>872</v>
      </c>
      <c r="P366" s="174" t="s">
        <v>23</v>
      </c>
      <c r="Q366" s="174" t="s">
        <v>130</v>
      </c>
      <c r="R366" s="175"/>
      <c r="S366" s="175"/>
      <c r="T366" s="175"/>
      <c r="U366" s="175"/>
      <c r="V366" s="174" t="s">
        <v>469</v>
      </c>
      <c r="W366" s="174" t="s">
        <v>511</v>
      </c>
      <c r="X366" s="174" t="s">
        <v>24</v>
      </c>
      <c r="Y366" s="174"/>
      <c r="Z366" s="174" t="s">
        <v>794</v>
      </c>
      <c r="AA366" s="174" t="s">
        <v>483</v>
      </c>
      <c r="AB366" s="175"/>
      <c r="AC366" s="175"/>
      <c r="AD366" s="176">
        <v>43164.7184375</v>
      </c>
      <c r="AE366" s="176">
        <v>43164.7184375</v>
      </c>
      <c r="AF366" s="175"/>
    </row>
    <row r="367" spans="1:32" x14ac:dyDescent="0.25">
      <c r="A367" s="174" t="s">
        <v>461</v>
      </c>
      <c r="B367" s="174" t="s">
        <v>1885</v>
      </c>
      <c r="C367" s="174" t="s">
        <v>463</v>
      </c>
      <c r="D367" s="174" t="s">
        <v>506</v>
      </c>
      <c r="E367" s="176">
        <v>43164</v>
      </c>
      <c r="F367" s="176">
        <v>43165</v>
      </c>
      <c r="G367" s="174" t="s">
        <v>1863</v>
      </c>
      <c r="H367" s="179" t="s">
        <v>486</v>
      </c>
      <c r="I367" s="174" t="s">
        <v>871</v>
      </c>
      <c r="J367" s="178">
        <v>1000000</v>
      </c>
      <c r="K367" s="178">
        <v>100.0625</v>
      </c>
      <c r="L367" s="178">
        <v>2.2175195864999999</v>
      </c>
      <c r="M367" s="178">
        <v>-1000991.8478260899</v>
      </c>
      <c r="N367" s="174" t="s">
        <v>337</v>
      </c>
      <c r="O367" s="174" t="s">
        <v>872</v>
      </c>
      <c r="P367" s="174" t="s">
        <v>23</v>
      </c>
      <c r="Q367" s="174" t="s">
        <v>130</v>
      </c>
      <c r="R367" s="175"/>
      <c r="S367" s="175"/>
      <c r="T367" s="175"/>
      <c r="U367" s="175"/>
      <c r="V367" s="174" t="s">
        <v>469</v>
      </c>
      <c r="W367" s="174" t="s">
        <v>511</v>
      </c>
      <c r="X367" s="174" t="s">
        <v>24</v>
      </c>
      <c r="Y367" s="174"/>
      <c r="Z367" s="174" t="s">
        <v>794</v>
      </c>
      <c r="AA367" s="174" t="s">
        <v>483</v>
      </c>
      <c r="AB367" s="175"/>
      <c r="AC367" s="175"/>
      <c r="AD367" s="176">
        <v>43164.7184375</v>
      </c>
      <c r="AE367" s="176">
        <v>43164.7184375</v>
      </c>
      <c r="AF367" s="175"/>
    </row>
    <row r="368" spans="1:32" x14ac:dyDescent="0.25">
      <c r="A368" s="174" t="s">
        <v>461</v>
      </c>
      <c r="B368" s="174" t="s">
        <v>1886</v>
      </c>
      <c r="C368" s="174" t="s">
        <v>463</v>
      </c>
      <c r="D368" s="174" t="s">
        <v>506</v>
      </c>
      <c r="E368" s="176">
        <v>43164</v>
      </c>
      <c r="F368" s="176">
        <v>43165</v>
      </c>
      <c r="G368" s="174" t="s">
        <v>1863</v>
      </c>
      <c r="H368" s="179" t="s">
        <v>486</v>
      </c>
      <c r="I368" s="174" t="s">
        <v>871</v>
      </c>
      <c r="J368" s="178">
        <v>3000000</v>
      </c>
      <c r="K368" s="178">
        <v>100.0625</v>
      </c>
      <c r="L368" s="178">
        <v>2.2175195864999999</v>
      </c>
      <c r="M368" s="178">
        <v>-3002975.5434782603</v>
      </c>
      <c r="N368" s="174" t="s">
        <v>337</v>
      </c>
      <c r="O368" s="174" t="s">
        <v>872</v>
      </c>
      <c r="P368" s="174" t="s">
        <v>23</v>
      </c>
      <c r="Q368" s="174" t="s">
        <v>130</v>
      </c>
      <c r="R368" s="175"/>
      <c r="S368" s="175"/>
      <c r="T368" s="175"/>
      <c r="U368" s="175"/>
      <c r="V368" s="174" t="s">
        <v>469</v>
      </c>
      <c r="W368" s="174" t="s">
        <v>511</v>
      </c>
      <c r="X368" s="174" t="s">
        <v>24</v>
      </c>
      <c r="Y368" s="174"/>
      <c r="Z368" s="174" t="s">
        <v>794</v>
      </c>
      <c r="AA368" s="174" t="s">
        <v>483</v>
      </c>
      <c r="AB368" s="175"/>
      <c r="AC368" s="175"/>
      <c r="AD368" s="176">
        <v>43164.718449074076</v>
      </c>
      <c r="AE368" s="176">
        <v>43164.718449074076</v>
      </c>
      <c r="AF368" s="175"/>
    </row>
    <row r="369" spans="1:32" x14ac:dyDescent="0.25">
      <c r="A369" s="174" t="s">
        <v>461</v>
      </c>
      <c r="B369" s="174" t="s">
        <v>1887</v>
      </c>
      <c r="C369" s="174" t="s">
        <v>463</v>
      </c>
      <c r="D369" s="174" t="s">
        <v>506</v>
      </c>
      <c r="E369" s="176">
        <v>43164</v>
      </c>
      <c r="F369" s="176">
        <v>43165</v>
      </c>
      <c r="G369" s="174" t="s">
        <v>1863</v>
      </c>
      <c r="H369" s="179" t="s">
        <v>486</v>
      </c>
      <c r="I369" s="174" t="s">
        <v>871</v>
      </c>
      <c r="J369" s="178">
        <v>2000000</v>
      </c>
      <c r="K369" s="178">
        <v>100.0625</v>
      </c>
      <c r="L369" s="178">
        <v>2.2175195864999999</v>
      </c>
      <c r="M369" s="178">
        <v>-2001983.6956521699</v>
      </c>
      <c r="N369" s="174" t="s">
        <v>337</v>
      </c>
      <c r="O369" s="174" t="s">
        <v>872</v>
      </c>
      <c r="P369" s="174" t="s">
        <v>23</v>
      </c>
      <c r="Q369" s="174" t="s">
        <v>130</v>
      </c>
      <c r="R369" s="175"/>
      <c r="S369" s="175"/>
      <c r="T369" s="175"/>
      <c r="U369" s="175"/>
      <c r="V369" s="174" t="s">
        <v>469</v>
      </c>
      <c r="W369" s="174" t="s">
        <v>511</v>
      </c>
      <c r="X369" s="174" t="s">
        <v>24</v>
      </c>
      <c r="Y369" s="174"/>
      <c r="Z369" s="174" t="s">
        <v>794</v>
      </c>
      <c r="AA369" s="174" t="s">
        <v>483</v>
      </c>
      <c r="AB369" s="175"/>
      <c r="AC369" s="175"/>
      <c r="AD369" s="176">
        <v>43164.718460648146</v>
      </c>
      <c r="AE369" s="176">
        <v>43164.718460648146</v>
      </c>
      <c r="AF369" s="175"/>
    </row>
    <row r="370" spans="1:32" x14ac:dyDescent="0.25">
      <c r="A370" s="174" t="s">
        <v>461</v>
      </c>
      <c r="B370" s="174" t="s">
        <v>1888</v>
      </c>
      <c r="C370" s="174" t="s">
        <v>463</v>
      </c>
      <c r="D370" s="174" t="s">
        <v>506</v>
      </c>
      <c r="E370" s="176">
        <v>43164</v>
      </c>
      <c r="F370" s="176">
        <v>43165</v>
      </c>
      <c r="G370" s="174" t="s">
        <v>1863</v>
      </c>
      <c r="H370" s="179" t="s">
        <v>486</v>
      </c>
      <c r="I370" s="174" t="s">
        <v>871</v>
      </c>
      <c r="J370" s="178">
        <v>5000000</v>
      </c>
      <c r="K370" s="178">
        <v>100.0625</v>
      </c>
      <c r="L370" s="178">
        <v>2.2175195864999999</v>
      </c>
      <c r="M370" s="178">
        <v>-5004959.2391304309</v>
      </c>
      <c r="N370" s="174" t="s">
        <v>337</v>
      </c>
      <c r="O370" s="174" t="s">
        <v>872</v>
      </c>
      <c r="P370" s="174" t="s">
        <v>23</v>
      </c>
      <c r="Q370" s="174" t="s">
        <v>130</v>
      </c>
      <c r="R370" s="175"/>
      <c r="S370" s="175"/>
      <c r="T370" s="175"/>
      <c r="U370" s="175"/>
      <c r="V370" s="174" t="s">
        <v>469</v>
      </c>
      <c r="W370" s="174" t="s">
        <v>511</v>
      </c>
      <c r="X370" s="174" t="s">
        <v>24</v>
      </c>
      <c r="Y370" s="174"/>
      <c r="Z370" s="174" t="s">
        <v>794</v>
      </c>
      <c r="AA370" s="174" t="s">
        <v>483</v>
      </c>
      <c r="AB370" s="175"/>
      <c r="AC370" s="175"/>
      <c r="AD370" s="176">
        <v>43164.718472222223</v>
      </c>
      <c r="AE370" s="176">
        <v>43164.718472222223</v>
      </c>
      <c r="AF370" s="175"/>
    </row>
    <row r="371" spans="1:32" x14ac:dyDescent="0.25">
      <c r="A371" s="174" t="s">
        <v>461</v>
      </c>
      <c r="B371" s="174" t="s">
        <v>1889</v>
      </c>
      <c r="C371" s="174" t="s">
        <v>463</v>
      </c>
      <c r="D371" s="174" t="s">
        <v>506</v>
      </c>
      <c r="E371" s="176">
        <v>43164</v>
      </c>
      <c r="F371" s="176">
        <v>43165</v>
      </c>
      <c r="G371" s="174" t="s">
        <v>1863</v>
      </c>
      <c r="H371" s="179" t="s">
        <v>486</v>
      </c>
      <c r="I371" s="174" t="s">
        <v>871</v>
      </c>
      <c r="J371" s="178">
        <v>1000000</v>
      </c>
      <c r="K371" s="178">
        <v>100.0625</v>
      </c>
      <c r="L371" s="178">
        <v>2.2175195864999999</v>
      </c>
      <c r="M371" s="178">
        <v>-1000991.8478260899</v>
      </c>
      <c r="N371" s="174" t="s">
        <v>337</v>
      </c>
      <c r="O371" s="174" t="s">
        <v>872</v>
      </c>
      <c r="P371" s="174" t="s">
        <v>23</v>
      </c>
      <c r="Q371" s="174" t="s">
        <v>130</v>
      </c>
      <c r="R371" s="175"/>
      <c r="S371" s="175"/>
      <c r="T371" s="175"/>
      <c r="U371" s="175"/>
      <c r="V371" s="174" t="s">
        <v>469</v>
      </c>
      <c r="W371" s="174" t="s">
        <v>511</v>
      </c>
      <c r="X371" s="174" t="s">
        <v>24</v>
      </c>
      <c r="Y371" s="174"/>
      <c r="Z371" s="174" t="s">
        <v>794</v>
      </c>
      <c r="AA371" s="174" t="s">
        <v>483</v>
      </c>
      <c r="AB371" s="175"/>
      <c r="AC371" s="175"/>
      <c r="AD371" s="176">
        <v>43164.7184837963</v>
      </c>
      <c r="AE371" s="176">
        <v>43164.7184837963</v>
      </c>
      <c r="AF371" s="175"/>
    </row>
    <row r="372" spans="1:32" x14ac:dyDescent="0.25">
      <c r="A372" s="174" t="s">
        <v>461</v>
      </c>
      <c r="B372" s="174" t="s">
        <v>1890</v>
      </c>
      <c r="C372" s="174" t="s">
        <v>463</v>
      </c>
      <c r="D372" s="174" t="s">
        <v>506</v>
      </c>
      <c r="E372" s="176">
        <v>43164</v>
      </c>
      <c r="F372" s="176">
        <v>43165</v>
      </c>
      <c r="G372" s="174" t="s">
        <v>1863</v>
      </c>
      <c r="H372" s="179" t="s">
        <v>486</v>
      </c>
      <c r="I372" s="174" t="s">
        <v>871</v>
      </c>
      <c r="J372" s="178">
        <v>1000000</v>
      </c>
      <c r="K372" s="178">
        <v>100.0625</v>
      </c>
      <c r="L372" s="178">
        <v>2.2175195864999999</v>
      </c>
      <c r="M372" s="178">
        <v>-1000991.8478260899</v>
      </c>
      <c r="N372" s="174" t="s">
        <v>337</v>
      </c>
      <c r="O372" s="174" t="s">
        <v>872</v>
      </c>
      <c r="P372" s="174" t="s">
        <v>23</v>
      </c>
      <c r="Q372" s="174" t="s">
        <v>130</v>
      </c>
      <c r="R372" s="175"/>
      <c r="S372" s="175"/>
      <c r="T372" s="175"/>
      <c r="U372" s="175"/>
      <c r="V372" s="174" t="s">
        <v>469</v>
      </c>
      <c r="W372" s="174" t="s">
        <v>511</v>
      </c>
      <c r="X372" s="174" t="s">
        <v>24</v>
      </c>
      <c r="Y372" s="174"/>
      <c r="Z372" s="174" t="s">
        <v>794</v>
      </c>
      <c r="AA372" s="174" t="s">
        <v>483</v>
      </c>
      <c r="AB372" s="175"/>
      <c r="AC372" s="175"/>
      <c r="AD372" s="176">
        <v>43164.718495370369</v>
      </c>
      <c r="AE372" s="176">
        <v>43164.718495370369</v>
      </c>
      <c r="AF372" s="175"/>
    </row>
    <row r="373" spans="1:32" x14ac:dyDescent="0.25">
      <c r="A373" s="174" t="s">
        <v>461</v>
      </c>
      <c r="B373" s="174" t="s">
        <v>1891</v>
      </c>
      <c r="C373" s="174" t="s">
        <v>463</v>
      </c>
      <c r="D373" s="174" t="s">
        <v>506</v>
      </c>
      <c r="E373" s="176">
        <v>43164</v>
      </c>
      <c r="F373" s="176">
        <v>43165</v>
      </c>
      <c r="G373" s="174" t="s">
        <v>1863</v>
      </c>
      <c r="H373" s="179" t="s">
        <v>486</v>
      </c>
      <c r="I373" s="174" t="s">
        <v>871</v>
      </c>
      <c r="J373" s="178">
        <v>1000000</v>
      </c>
      <c r="K373" s="178">
        <v>100.0625</v>
      </c>
      <c r="L373" s="178">
        <v>2.2175195864999999</v>
      </c>
      <c r="M373" s="178">
        <v>-1000991.8478260899</v>
      </c>
      <c r="N373" s="174" t="s">
        <v>337</v>
      </c>
      <c r="O373" s="174" t="s">
        <v>872</v>
      </c>
      <c r="P373" s="174" t="s">
        <v>23</v>
      </c>
      <c r="Q373" s="174" t="s">
        <v>130</v>
      </c>
      <c r="R373" s="175"/>
      <c r="S373" s="175"/>
      <c r="T373" s="175"/>
      <c r="U373" s="175"/>
      <c r="V373" s="174" t="s">
        <v>469</v>
      </c>
      <c r="W373" s="174" t="s">
        <v>511</v>
      </c>
      <c r="X373" s="174" t="s">
        <v>24</v>
      </c>
      <c r="Y373" s="174"/>
      <c r="Z373" s="174" t="s">
        <v>794</v>
      </c>
      <c r="AA373" s="174" t="s">
        <v>483</v>
      </c>
      <c r="AB373" s="175"/>
      <c r="AC373" s="175"/>
      <c r="AD373" s="176">
        <v>43164.718506944446</v>
      </c>
      <c r="AE373" s="176">
        <v>43164.718506944446</v>
      </c>
      <c r="AF373" s="175"/>
    </row>
    <row r="374" spans="1:32" x14ac:dyDescent="0.25">
      <c r="A374" s="174" t="s">
        <v>461</v>
      </c>
      <c r="B374" s="174" t="s">
        <v>1892</v>
      </c>
      <c r="C374" s="174" t="s">
        <v>463</v>
      </c>
      <c r="D374" s="174" t="s">
        <v>506</v>
      </c>
      <c r="E374" s="176">
        <v>43164</v>
      </c>
      <c r="F374" s="176">
        <v>43165</v>
      </c>
      <c r="G374" s="174" t="s">
        <v>1863</v>
      </c>
      <c r="H374" s="179" t="s">
        <v>486</v>
      </c>
      <c r="I374" s="174" t="s">
        <v>871</v>
      </c>
      <c r="J374" s="178">
        <v>1000000</v>
      </c>
      <c r="K374" s="178">
        <v>100.0625</v>
      </c>
      <c r="L374" s="178">
        <v>2.2175195864999999</v>
      </c>
      <c r="M374" s="178">
        <v>-1000991.8478260899</v>
      </c>
      <c r="N374" s="174" t="s">
        <v>337</v>
      </c>
      <c r="O374" s="174" t="s">
        <v>872</v>
      </c>
      <c r="P374" s="174" t="s">
        <v>23</v>
      </c>
      <c r="Q374" s="174" t="s">
        <v>130</v>
      </c>
      <c r="R374" s="175"/>
      <c r="S374" s="175"/>
      <c r="T374" s="175"/>
      <c r="U374" s="175"/>
      <c r="V374" s="174" t="s">
        <v>469</v>
      </c>
      <c r="W374" s="174" t="s">
        <v>511</v>
      </c>
      <c r="X374" s="174" t="s">
        <v>24</v>
      </c>
      <c r="Y374" s="174"/>
      <c r="Z374" s="174" t="s">
        <v>794</v>
      </c>
      <c r="AA374" s="174" t="s">
        <v>483</v>
      </c>
      <c r="AB374" s="175"/>
      <c r="AC374" s="175"/>
      <c r="AD374" s="176">
        <v>43164.718506944446</v>
      </c>
      <c r="AE374" s="176">
        <v>43164.718506944446</v>
      </c>
      <c r="AF374" s="175"/>
    </row>
    <row r="375" spans="1:32" x14ac:dyDescent="0.25">
      <c r="A375" s="174" t="s">
        <v>461</v>
      </c>
      <c r="B375" s="174" t="s">
        <v>1893</v>
      </c>
      <c r="C375" s="174" t="s">
        <v>463</v>
      </c>
      <c r="D375" s="174" t="s">
        <v>506</v>
      </c>
      <c r="E375" s="176">
        <v>43164</v>
      </c>
      <c r="F375" s="176">
        <v>43165</v>
      </c>
      <c r="G375" s="174" t="s">
        <v>1863</v>
      </c>
      <c r="H375" s="179" t="s">
        <v>486</v>
      </c>
      <c r="I375" s="174" t="s">
        <v>871</v>
      </c>
      <c r="J375" s="178">
        <v>1000000</v>
      </c>
      <c r="K375" s="178">
        <v>100.06640625</v>
      </c>
      <c r="L375" s="178">
        <v>2.2154968293000001</v>
      </c>
      <c r="M375" s="178">
        <v>-1001030.9103260899</v>
      </c>
      <c r="N375" s="174" t="s">
        <v>337</v>
      </c>
      <c r="O375" s="174" t="s">
        <v>872</v>
      </c>
      <c r="P375" s="174" t="s">
        <v>23</v>
      </c>
      <c r="Q375" s="174" t="s">
        <v>130</v>
      </c>
      <c r="R375" s="175"/>
      <c r="S375" s="175"/>
      <c r="T375" s="175"/>
      <c r="U375" s="175"/>
      <c r="V375" s="174" t="s">
        <v>469</v>
      </c>
      <c r="W375" s="174" t="s">
        <v>511</v>
      </c>
      <c r="X375" s="174" t="s">
        <v>24</v>
      </c>
      <c r="Y375" s="174"/>
      <c r="Z375" s="174" t="s">
        <v>794</v>
      </c>
      <c r="AA375" s="174" t="s">
        <v>483</v>
      </c>
      <c r="AB375" s="175"/>
      <c r="AC375" s="175"/>
      <c r="AD375" s="176">
        <v>43164.718518518515</v>
      </c>
      <c r="AE375" s="176">
        <v>43164.718518518515</v>
      </c>
      <c r="AF375" s="175"/>
    </row>
    <row r="376" spans="1:32" x14ac:dyDescent="0.25">
      <c r="A376" s="174" t="s">
        <v>461</v>
      </c>
      <c r="B376" s="174" t="s">
        <v>1894</v>
      </c>
      <c r="C376" s="174" t="s">
        <v>463</v>
      </c>
      <c r="D376" s="174" t="s">
        <v>506</v>
      </c>
      <c r="E376" s="176">
        <v>43164</v>
      </c>
      <c r="F376" s="176">
        <v>43165</v>
      </c>
      <c r="G376" s="174" t="s">
        <v>1863</v>
      </c>
      <c r="H376" s="179" t="s">
        <v>486</v>
      </c>
      <c r="I376" s="174" t="s">
        <v>871</v>
      </c>
      <c r="J376" s="178">
        <v>1000000</v>
      </c>
      <c r="K376" s="178">
        <v>100.06640625</v>
      </c>
      <c r="L376" s="178">
        <v>2.2154968293000001</v>
      </c>
      <c r="M376" s="178">
        <v>-1001030.9103260899</v>
      </c>
      <c r="N376" s="174" t="s">
        <v>337</v>
      </c>
      <c r="O376" s="174" t="s">
        <v>872</v>
      </c>
      <c r="P376" s="174" t="s">
        <v>23</v>
      </c>
      <c r="Q376" s="174" t="s">
        <v>130</v>
      </c>
      <c r="R376" s="175"/>
      <c r="S376" s="175"/>
      <c r="T376" s="175"/>
      <c r="U376" s="175"/>
      <c r="V376" s="174" t="s">
        <v>469</v>
      </c>
      <c r="W376" s="174" t="s">
        <v>511</v>
      </c>
      <c r="X376" s="174" t="s">
        <v>24</v>
      </c>
      <c r="Y376" s="174"/>
      <c r="Z376" s="174" t="s">
        <v>794</v>
      </c>
      <c r="AA376" s="174" t="s">
        <v>483</v>
      </c>
      <c r="AB376" s="175"/>
      <c r="AC376" s="175"/>
      <c r="AD376" s="176">
        <v>43164.718530092592</v>
      </c>
      <c r="AE376" s="176">
        <v>43164.718530092592</v>
      </c>
      <c r="AF376" s="175"/>
    </row>
    <row r="377" spans="1:32" x14ac:dyDescent="0.25">
      <c r="A377" s="174" t="s">
        <v>461</v>
      </c>
      <c r="B377" s="174" t="s">
        <v>1895</v>
      </c>
      <c r="C377" s="174" t="s">
        <v>463</v>
      </c>
      <c r="D377" s="174" t="s">
        <v>506</v>
      </c>
      <c r="E377" s="176">
        <v>43164</v>
      </c>
      <c r="F377" s="176">
        <v>43165</v>
      </c>
      <c r="G377" s="174" t="s">
        <v>1863</v>
      </c>
      <c r="H377" s="179" t="s">
        <v>486</v>
      </c>
      <c r="I377" s="174" t="s">
        <v>871</v>
      </c>
      <c r="J377" s="178">
        <v>1000000</v>
      </c>
      <c r="K377" s="178">
        <v>100.06640625</v>
      </c>
      <c r="L377" s="178">
        <v>2.2154968293000001</v>
      </c>
      <c r="M377" s="178">
        <v>-1001030.9103260899</v>
      </c>
      <c r="N377" s="174" t="s">
        <v>337</v>
      </c>
      <c r="O377" s="174" t="s">
        <v>872</v>
      </c>
      <c r="P377" s="174" t="s">
        <v>23</v>
      </c>
      <c r="Q377" s="174" t="s">
        <v>130</v>
      </c>
      <c r="R377" s="175"/>
      <c r="S377" s="175"/>
      <c r="T377" s="175"/>
      <c r="U377" s="175"/>
      <c r="V377" s="174" t="s">
        <v>469</v>
      </c>
      <c r="W377" s="174" t="s">
        <v>511</v>
      </c>
      <c r="X377" s="174" t="s">
        <v>24</v>
      </c>
      <c r="Y377" s="174"/>
      <c r="Z377" s="174" t="s">
        <v>794</v>
      </c>
      <c r="AA377" s="174" t="s">
        <v>483</v>
      </c>
      <c r="AB377" s="175"/>
      <c r="AC377" s="175"/>
      <c r="AD377" s="176">
        <v>43164.718541666669</v>
      </c>
      <c r="AE377" s="176">
        <v>43164.718541666669</v>
      </c>
      <c r="AF377" s="175"/>
    </row>
    <row r="378" spans="1:32" x14ac:dyDescent="0.25">
      <c r="A378" s="174" t="s">
        <v>461</v>
      </c>
      <c r="B378" s="174" t="s">
        <v>1896</v>
      </c>
      <c r="C378" s="174" t="s">
        <v>463</v>
      </c>
      <c r="D378" s="174" t="s">
        <v>506</v>
      </c>
      <c r="E378" s="176">
        <v>43164</v>
      </c>
      <c r="F378" s="176">
        <v>43165</v>
      </c>
      <c r="G378" s="174" t="s">
        <v>1863</v>
      </c>
      <c r="H378" s="179" t="s">
        <v>486</v>
      </c>
      <c r="I378" s="174" t="s">
        <v>871</v>
      </c>
      <c r="J378" s="178">
        <v>1000000</v>
      </c>
      <c r="K378" s="178">
        <v>100.06640625</v>
      </c>
      <c r="L378" s="178">
        <v>2.2154968293000001</v>
      </c>
      <c r="M378" s="178">
        <v>-1001030.9103260899</v>
      </c>
      <c r="N378" s="174" t="s">
        <v>337</v>
      </c>
      <c r="O378" s="174" t="s">
        <v>872</v>
      </c>
      <c r="P378" s="174" t="s">
        <v>23</v>
      </c>
      <c r="Q378" s="174" t="s">
        <v>130</v>
      </c>
      <c r="R378" s="175"/>
      <c r="S378" s="175"/>
      <c r="T378" s="175"/>
      <c r="U378" s="175"/>
      <c r="V378" s="174" t="s">
        <v>469</v>
      </c>
      <c r="W378" s="174" t="s">
        <v>511</v>
      </c>
      <c r="X378" s="174" t="s">
        <v>24</v>
      </c>
      <c r="Y378" s="174"/>
      <c r="Z378" s="174" t="s">
        <v>794</v>
      </c>
      <c r="AA378" s="174" t="s">
        <v>483</v>
      </c>
      <c r="AB378" s="175"/>
      <c r="AC378" s="175"/>
      <c r="AD378" s="176">
        <v>43164.718541666669</v>
      </c>
      <c r="AE378" s="176">
        <v>43164.718541666669</v>
      </c>
      <c r="AF378" s="175"/>
    </row>
    <row r="379" spans="1:32" x14ac:dyDescent="0.25">
      <c r="A379" s="174" t="s">
        <v>461</v>
      </c>
      <c r="B379" s="174" t="s">
        <v>1897</v>
      </c>
      <c r="C379" s="174" t="s">
        <v>463</v>
      </c>
      <c r="D379" s="174" t="s">
        <v>506</v>
      </c>
      <c r="E379" s="176">
        <v>43164</v>
      </c>
      <c r="F379" s="176">
        <v>43165</v>
      </c>
      <c r="G379" s="174" t="s">
        <v>1863</v>
      </c>
      <c r="H379" s="179" t="s">
        <v>486</v>
      </c>
      <c r="I379" s="174" t="s">
        <v>871</v>
      </c>
      <c r="J379" s="178">
        <v>1000000</v>
      </c>
      <c r="K379" s="178">
        <v>100.06640625</v>
      </c>
      <c r="L379" s="178">
        <v>2.2154968293000001</v>
      </c>
      <c r="M379" s="178">
        <v>-1001030.9103260899</v>
      </c>
      <c r="N379" s="174" t="s">
        <v>337</v>
      </c>
      <c r="O379" s="174" t="s">
        <v>872</v>
      </c>
      <c r="P379" s="174" t="s">
        <v>23</v>
      </c>
      <c r="Q379" s="174" t="s">
        <v>130</v>
      </c>
      <c r="R379" s="175"/>
      <c r="S379" s="175"/>
      <c r="T379" s="175"/>
      <c r="U379" s="175"/>
      <c r="V379" s="174" t="s">
        <v>469</v>
      </c>
      <c r="W379" s="174" t="s">
        <v>511</v>
      </c>
      <c r="X379" s="174" t="s">
        <v>24</v>
      </c>
      <c r="Y379" s="174"/>
      <c r="Z379" s="174" t="s">
        <v>794</v>
      </c>
      <c r="AA379" s="174" t="s">
        <v>483</v>
      </c>
      <c r="AB379" s="175"/>
      <c r="AC379" s="175"/>
      <c r="AD379" s="176">
        <v>43164.718541666669</v>
      </c>
      <c r="AE379" s="176">
        <v>43164.718541666669</v>
      </c>
      <c r="AF379" s="175"/>
    </row>
    <row r="380" spans="1:32" x14ac:dyDescent="0.25">
      <c r="A380" s="174" t="s">
        <v>461</v>
      </c>
      <c r="B380" s="174" t="s">
        <v>1898</v>
      </c>
      <c r="C380" s="174" t="s">
        <v>463</v>
      </c>
      <c r="D380" s="174" t="s">
        <v>506</v>
      </c>
      <c r="E380" s="176">
        <v>43164</v>
      </c>
      <c r="F380" s="176">
        <v>43165</v>
      </c>
      <c r="G380" s="174" t="s">
        <v>1863</v>
      </c>
      <c r="H380" s="179" t="s">
        <v>486</v>
      </c>
      <c r="I380" s="174" t="s">
        <v>871</v>
      </c>
      <c r="J380" s="178">
        <v>1000000</v>
      </c>
      <c r="K380" s="178">
        <v>100.06640625</v>
      </c>
      <c r="L380" s="178">
        <v>2.2154968293000001</v>
      </c>
      <c r="M380" s="178">
        <v>-1001030.9103260899</v>
      </c>
      <c r="N380" s="174" t="s">
        <v>337</v>
      </c>
      <c r="O380" s="174" t="s">
        <v>872</v>
      </c>
      <c r="P380" s="174" t="s">
        <v>23</v>
      </c>
      <c r="Q380" s="174" t="s">
        <v>130</v>
      </c>
      <c r="R380" s="175"/>
      <c r="S380" s="175"/>
      <c r="T380" s="175"/>
      <c r="U380" s="175"/>
      <c r="V380" s="174" t="s">
        <v>469</v>
      </c>
      <c r="W380" s="174" t="s">
        <v>511</v>
      </c>
      <c r="X380" s="174" t="s">
        <v>24</v>
      </c>
      <c r="Y380" s="174"/>
      <c r="Z380" s="174" t="s">
        <v>794</v>
      </c>
      <c r="AA380" s="174" t="s">
        <v>483</v>
      </c>
      <c r="AB380" s="175"/>
      <c r="AC380" s="175"/>
      <c r="AD380" s="176">
        <v>43164.718553240738</v>
      </c>
      <c r="AE380" s="176">
        <v>43164.718553240738</v>
      </c>
      <c r="AF380" s="175"/>
    </row>
    <row r="381" spans="1:32" x14ac:dyDescent="0.25">
      <c r="A381" s="174" t="s">
        <v>461</v>
      </c>
      <c r="B381" s="174" t="s">
        <v>1899</v>
      </c>
      <c r="C381" s="174" t="s">
        <v>463</v>
      </c>
      <c r="D381" s="174" t="s">
        <v>506</v>
      </c>
      <c r="E381" s="176">
        <v>43164</v>
      </c>
      <c r="F381" s="176">
        <v>43165</v>
      </c>
      <c r="G381" s="174" t="s">
        <v>1863</v>
      </c>
      <c r="H381" s="179" t="s">
        <v>486</v>
      </c>
      <c r="I381" s="174" t="s">
        <v>871</v>
      </c>
      <c r="J381" s="178">
        <v>1000000</v>
      </c>
      <c r="K381" s="178">
        <v>100.0625</v>
      </c>
      <c r="L381" s="178">
        <v>2.2175195864999999</v>
      </c>
      <c r="M381" s="178">
        <v>-1000991.8478260899</v>
      </c>
      <c r="N381" s="174" t="s">
        <v>337</v>
      </c>
      <c r="O381" s="174" t="s">
        <v>872</v>
      </c>
      <c r="P381" s="174" t="s">
        <v>23</v>
      </c>
      <c r="Q381" s="174" t="s">
        <v>130</v>
      </c>
      <c r="R381" s="175"/>
      <c r="S381" s="175"/>
      <c r="T381" s="175"/>
      <c r="U381" s="175"/>
      <c r="V381" s="174" t="s">
        <v>469</v>
      </c>
      <c r="W381" s="174" t="s">
        <v>511</v>
      </c>
      <c r="X381" s="174" t="s">
        <v>24</v>
      </c>
      <c r="Y381" s="174"/>
      <c r="Z381" s="174" t="s">
        <v>794</v>
      </c>
      <c r="AA381" s="174" t="s">
        <v>483</v>
      </c>
      <c r="AB381" s="175"/>
      <c r="AC381" s="175"/>
      <c r="AD381" s="176">
        <v>43164.718564814815</v>
      </c>
      <c r="AE381" s="176">
        <v>43164.718564814815</v>
      </c>
      <c r="AF381" s="175"/>
    </row>
    <row r="382" spans="1:32" x14ac:dyDescent="0.25">
      <c r="A382" s="174" t="s">
        <v>461</v>
      </c>
      <c r="B382" s="174" t="s">
        <v>1900</v>
      </c>
      <c r="C382" s="174" t="s">
        <v>463</v>
      </c>
      <c r="D382" s="174" t="s">
        <v>506</v>
      </c>
      <c r="E382" s="176">
        <v>43164</v>
      </c>
      <c r="F382" s="176">
        <v>43165</v>
      </c>
      <c r="G382" s="174" t="s">
        <v>1863</v>
      </c>
      <c r="H382" s="179" t="s">
        <v>486</v>
      </c>
      <c r="I382" s="174" t="s">
        <v>871</v>
      </c>
      <c r="J382" s="178">
        <v>2000000</v>
      </c>
      <c r="K382" s="178">
        <v>100.06640625</v>
      </c>
      <c r="L382" s="178">
        <v>2.2154968293000001</v>
      </c>
      <c r="M382" s="178">
        <v>-2002061.8206521699</v>
      </c>
      <c r="N382" s="174" t="s">
        <v>337</v>
      </c>
      <c r="O382" s="174" t="s">
        <v>872</v>
      </c>
      <c r="P382" s="174" t="s">
        <v>23</v>
      </c>
      <c r="Q382" s="174" t="s">
        <v>130</v>
      </c>
      <c r="R382" s="175"/>
      <c r="S382" s="175"/>
      <c r="T382" s="175"/>
      <c r="U382" s="175"/>
      <c r="V382" s="174" t="s">
        <v>469</v>
      </c>
      <c r="W382" s="174" t="s">
        <v>511</v>
      </c>
      <c r="X382" s="174" t="s">
        <v>24</v>
      </c>
      <c r="Y382" s="174"/>
      <c r="Z382" s="174" t="s">
        <v>794</v>
      </c>
      <c r="AA382" s="174" t="s">
        <v>483</v>
      </c>
      <c r="AB382" s="175"/>
      <c r="AC382" s="175"/>
      <c r="AD382" s="176">
        <v>43164.718576388892</v>
      </c>
      <c r="AE382" s="176">
        <v>43164.718576388892</v>
      </c>
      <c r="AF382" s="175"/>
    </row>
    <row r="383" spans="1:32" x14ac:dyDescent="0.25">
      <c r="A383" s="174" t="s">
        <v>461</v>
      </c>
      <c r="B383" s="174" t="s">
        <v>1901</v>
      </c>
      <c r="C383" s="174" t="s">
        <v>463</v>
      </c>
      <c r="D383" s="174" t="s">
        <v>506</v>
      </c>
      <c r="E383" s="176">
        <v>43164</v>
      </c>
      <c r="F383" s="176">
        <v>43165</v>
      </c>
      <c r="G383" s="174" t="s">
        <v>1863</v>
      </c>
      <c r="H383" s="179" t="s">
        <v>486</v>
      </c>
      <c r="I383" s="174" t="s">
        <v>871</v>
      </c>
      <c r="J383" s="178">
        <v>1000000</v>
      </c>
      <c r="K383" s="178">
        <v>100.06640625</v>
      </c>
      <c r="L383" s="178">
        <v>2.2154968293000001</v>
      </c>
      <c r="M383" s="178">
        <v>-1001030.9103260899</v>
      </c>
      <c r="N383" s="174" t="s">
        <v>337</v>
      </c>
      <c r="O383" s="174" t="s">
        <v>872</v>
      </c>
      <c r="P383" s="174" t="s">
        <v>23</v>
      </c>
      <c r="Q383" s="174" t="s">
        <v>130</v>
      </c>
      <c r="R383" s="175"/>
      <c r="S383" s="175"/>
      <c r="T383" s="175"/>
      <c r="U383" s="175"/>
      <c r="V383" s="174" t="s">
        <v>469</v>
      </c>
      <c r="W383" s="174" t="s">
        <v>511</v>
      </c>
      <c r="X383" s="174" t="s">
        <v>24</v>
      </c>
      <c r="Y383" s="174"/>
      <c r="Z383" s="174" t="s">
        <v>794</v>
      </c>
      <c r="AA383" s="174" t="s">
        <v>483</v>
      </c>
      <c r="AB383" s="175"/>
      <c r="AC383" s="175"/>
      <c r="AD383" s="176">
        <v>43164.718576388892</v>
      </c>
      <c r="AE383" s="176">
        <v>43164.718576388892</v>
      </c>
      <c r="AF383" s="175"/>
    </row>
    <row r="384" spans="1:32" x14ac:dyDescent="0.25">
      <c r="A384" s="174" t="s">
        <v>461</v>
      </c>
      <c r="B384" s="174" t="s">
        <v>1902</v>
      </c>
      <c r="C384" s="174" t="s">
        <v>463</v>
      </c>
      <c r="D384" s="174" t="s">
        <v>506</v>
      </c>
      <c r="E384" s="176">
        <v>43164</v>
      </c>
      <c r="F384" s="176">
        <v>43165</v>
      </c>
      <c r="G384" s="174" t="s">
        <v>1863</v>
      </c>
      <c r="H384" s="179" t="s">
        <v>486</v>
      </c>
      <c r="I384" s="174" t="s">
        <v>871</v>
      </c>
      <c r="J384" s="178">
        <v>1000000</v>
      </c>
      <c r="K384" s="178">
        <v>100.0625</v>
      </c>
      <c r="L384" s="178">
        <v>2.2175195864999999</v>
      </c>
      <c r="M384" s="178">
        <v>-1000991.8478260899</v>
      </c>
      <c r="N384" s="174" t="s">
        <v>337</v>
      </c>
      <c r="O384" s="174" t="s">
        <v>872</v>
      </c>
      <c r="P384" s="174" t="s">
        <v>23</v>
      </c>
      <c r="Q384" s="174" t="s">
        <v>130</v>
      </c>
      <c r="R384" s="175"/>
      <c r="S384" s="175"/>
      <c r="T384" s="175"/>
      <c r="U384" s="175"/>
      <c r="V384" s="174" t="s">
        <v>469</v>
      </c>
      <c r="W384" s="174" t="s">
        <v>511</v>
      </c>
      <c r="X384" s="174" t="s">
        <v>24</v>
      </c>
      <c r="Y384" s="174"/>
      <c r="Z384" s="174" t="s">
        <v>794</v>
      </c>
      <c r="AA384" s="174" t="s">
        <v>483</v>
      </c>
      <c r="AB384" s="175"/>
      <c r="AC384" s="175"/>
      <c r="AD384" s="176">
        <v>43164.718587962961</v>
      </c>
      <c r="AE384" s="176">
        <v>43164.718587962961</v>
      </c>
      <c r="AF384" s="175"/>
    </row>
    <row r="385" spans="1:32" x14ac:dyDescent="0.25">
      <c r="A385" s="174" t="s">
        <v>461</v>
      </c>
      <c r="B385" s="174" t="s">
        <v>1903</v>
      </c>
      <c r="C385" s="174" t="s">
        <v>463</v>
      </c>
      <c r="D385" s="174" t="s">
        <v>506</v>
      </c>
      <c r="E385" s="176">
        <v>43164</v>
      </c>
      <c r="F385" s="176">
        <v>43165</v>
      </c>
      <c r="G385" s="174" t="s">
        <v>1863</v>
      </c>
      <c r="H385" s="179" t="s">
        <v>486</v>
      </c>
      <c r="I385" s="174" t="s">
        <v>871</v>
      </c>
      <c r="J385" s="178">
        <v>1000000</v>
      </c>
      <c r="K385" s="178">
        <v>100.0625</v>
      </c>
      <c r="L385" s="178">
        <v>2.2175195864999999</v>
      </c>
      <c r="M385" s="178">
        <v>-1000991.8478260899</v>
      </c>
      <c r="N385" s="174" t="s">
        <v>337</v>
      </c>
      <c r="O385" s="174" t="s">
        <v>872</v>
      </c>
      <c r="P385" s="174" t="s">
        <v>23</v>
      </c>
      <c r="Q385" s="174" t="s">
        <v>130</v>
      </c>
      <c r="R385" s="175"/>
      <c r="S385" s="175"/>
      <c r="T385" s="175"/>
      <c r="U385" s="175"/>
      <c r="V385" s="174" t="s">
        <v>469</v>
      </c>
      <c r="W385" s="174" t="s">
        <v>511</v>
      </c>
      <c r="X385" s="174" t="s">
        <v>24</v>
      </c>
      <c r="Y385" s="174"/>
      <c r="Z385" s="174" t="s">
        <v>794</v>
      </c>
      <c r="AA385" s="174" t="s">
        <v>483</v>
      </c>
      <c r="AB385" s="175"/>
      <c r="AC385" s="175"/>
      <c r="AD385" s="176">
        <v>43164.718599537038</v>
      </c>
      <c r="AE385" s="176">
        <v>43164.718599537038</v>
      </c>
      <c r="AF385" s="175"/>
    </row>
    <row r="386" spans="1:32" x14ac:dyDescent="0.25">
      <c r="A386" s="174" t="s">
        <v>461</v>
      </c>
      <c r="B386" s="174" t="s">
        <v>1904</v>
      </c>
      <c r="C386" s="174" t="s">
        <v>463</v>
      </c>
      <c r="D386" s="174" t="s">
        <v>506</v>
      </c>
      <c r="E386" s="176">
        <v>43164</v>
      </c>
      <c r="F386" s="176">
        <v>43165</v>
      </c>
      <c r="G386" s="174" t="s">
        <v>1863</v>
      </c>
      <c r="H386" s="179" t="s">
        <v>486</v>
      </c>
      <c r="I386" s="174" t="s">
        <v>871</v>
      </c>
      <c r="J386" s="178">
        <v>16000000</v>
      </c>
      <c r="K386" s="178">
        <v>100.0546875</v>
      </c>
      <c r="L386" s="178">
        <v>2.2215654009999999</v>
      </c>
      <c r="M386" s="178">
        <v>-16014619.565217391</v>
      </c>
      <c r="N386" s="174" t="s">
        <v>337</v>
      </c>
      <c r="O386" s="174" t="s">
        <v>872</v>
      </c>
      <c r="P386" s="174" t="s">
        <v>23</v>
      </c>
      <c r="Q386" s="174" t="s">
        <v>130</v>
      </c>
      <c r="R386" s="175"/>
      <c r="S386" s="175"/>
      <c r="T386" s="175"/>
      <c r="U386" s="175"/>
      <c r="V386" s="174" t="s">
        <v>469</v>
      </c>
      <c r="W386" s="174" t="s">
        <v>511</v>
      </c>
      <c r="X386" s="174" t="s">
        <v>24</v>
      </c>
      <c r="Y386" s="174"/>
      <c r="Z386" s="174" t="s">
        <v>794</v>
      </c>
      <c r="AA386" s="174" t="s">
        <v>483</v>
      </c>
      <c r="AB386" s="175"/>
      <c r="AC386" s="175"/>
      <c r="AD386" s="176">
        <v>43164.718611111108</v>
      </c>
      <c r="AE386" s="176">
        <v>43164.718611111108</v>
      </c>
      <c r="AF386" s="175"/>
    </row>
    <row r="387" spans="1:32" x14ac:dyDescent="0.25">
      <c r="A387" s="174" t="s">
        <v>461</v>
      </c>
      <c r="B387" s="174" t="s">
        <v>1905</v>
      </c>
      <c r="C387" s="174" t="s">
        <v>463</v>
      </c>
      <c r="D387" s="174" t="s">
        <v>506</v>
      </c>
      <c r="E387" s="176">
        <v>43164</v>
      </c>
      <c r="F387" s="176">
        <v>43165</v>
      </c>
      <c r="G387" s="174" t="s">
        <v>1863</v>
      </c>
      <c r="H387" s="179" t="s">
        <v>486</v>
      </c>
      <c r="I387" s="174" t="s">
        <v>871</v>
      </c>
      <c r="J387" s="178">
        <v>1000000</v>
      </c>
      <c r="K387" s="178">
        <v>100.05078125</v>
      </c>
      <c r="L387" s="178">
        <v>2.2235884581000001</v>
      </c>
      <c r="M387" s="178">
        <v>-1000874.6603260899</v>
      </c>
      <c r="N387" s="174" t="s">
        <v>337</v>
      </c>
      <c r="O387" s="174" t="s">
        <v>872</v>
      </c>
      <c r="P387" s="174" t="s">
        <v>23</v>
      </c>
      <c r="Q387" s="174" t="s">
        <v>130</v>
      </c>
      <c r="R387" s="175"/>
      <c r="S387" s="175"/>
      <c r="T387" s="175"/>
      <c r="U387" s="175"/>
      <c r="V387" s="174" t="s">
        <v>469</v>
      </c>
      <c r="W387" s="174" t="s">
        <v>511</v>
      </c>
      <c r="X387" s="174" t="s">
        <v>24</v>
      </c>
      <c r="Y387" s="174"/>
      <c r="Z387" s="174" t="s">
        <v>794</v>
      </c>
      <c r="AA387" s="174" t="s">
        <v>483</v>
      </c>
      <c r="AB387" s="175"/>
      <c r="AC387" s="175"/>
      <c r="AD387" s="176">
        <v>43164.718622685185</v>
      </c>
      <c r="AE387" s="176">
        <v>43164.718622685185</v>
      </c>
      <c r="AF387" s="175"/>
    </row>
    <row r="388" spans="1:32" x14ac:dyDescent="0.25">
      <c r="A388" s="174" t="s">
        <v>461</v>
      </c>
      <c r="B388" s="174" t="s">
        <v>1906</v>
      </c>
      <c r="C388" s="174" t="s">
        <v>463</v>
      </c>
      <c r="D388" s="174" t="s">
        <v>506</v>
      </c>
      <c r="E388" s="176">
        <v>43164</v>
      </c>
      <c r="F388" s="176">
        <v>43165</v>
      </c>
      <c r="G388" s="174" t="s">
        <v>1863</v>
      </c>
      <c r="H388" s="179" t="s">
        <v>486</v>
      </c>
      <c r="I388" s="174" t="s">
        <v>871</v>
      </c>
      <c r="J388" s="178">
        <v>16000000</v>
      </c>
      <c r="K388" s="178">
        <v>100.04296875</v>
      </c>
      <c r="L388" s="178">
        <v>2.2276348723999999</v>
      </c>
      <c r="M388" s="178">
        <v>-16012744.565217391</v>
      </c>
      <c r="N388" s="174" t="s">
        <v>337</v>
      </c>
      <c r="O388" s="174" t="s">
        <v>872</v>
      </c>
      <c r="P388" s="174" t="s">
        <v>23</v>
      </c>
      <c r="Q388" s="174" t="s">
        <v>130</v>
      </c>
      <c r="R388" s="175"/>
      <c r="S388" s="175"/>
      <c r="T388" s="175"/>
      <c r="U388" s="175"/>
      <c r="V388" s="174" t="s">
        <v>469</v>
      </c>
      <c r="W388" s="174" t="s">
        <v>511</v>
      </c>
      <c r="X388" s="174" t="s">
        <v>24</v>
      </c>
      <c r="Y388" s="174"/>
      <c r="Z388" s="174" t="s">
        <v>794</v>
      </c>
      <c r="AA388" s="174" t="s">
        <v>483</v>
      </c>
      <c r="AB388" s="175"/>
      <c r="AC388" s="175"/>
      <c r="AD388" s="176">
        <v>43164.718634259261</v>
      </c>
      <c r="AE388" s="176">
        <v>43164.718634259261</v>
      </c>
      <c r="AF388" s="175"/>
    </row>
    <row r="389" spans="1:32" x14ac:dyDescent="0.25">
      <c r="A389" s="174" t="s">
        <v>461</v>
      </c>
      <c r="B389" s="174" t="s">
        <v>1907</v>
      </c>
      <c r="C389" s="174" t="s">
        <v>463</v>
      </c>
      <c r="D389" s="174" t="s">
        <v>506</v>
      </c>
      <c r="E389" s="176">
        <v>43164</v>
      </c>
      <c r="F389" s="176">
        <v>43165</v>
      </c>
      <c r="G389" s="174" t="s">
        <v>1863</v>
      </c>
      <c r="H389" s="179" t="s">
        <v>486</v>
      </c>
      <c r="I389" s="174" t="s">
        <v>871</v>
      </c>
      <c r="J389" s="178">
        <v>8000000</v>
      </c>
      <c r="K389" s="178">
        <v>100.04296875</v>
      </c>
      <c r="L389" s="178">
        <v>2.2276348723999999</v>
      </c>
      <c r="M389" s="178">
        <v>-8006372.2826087</v>
      </c>
      <c r="N389" s="174" t="s">
        <v>337</v>
      </c>
      <c r="O389" s="174" t="s">
        <v>872</v>
      </c>
      <c r="P389" s="174" t="s">
        <v>23</v>
      </c>
      <c r="Q389" s="174" t="s">
        <v>130</v>
      </c>
      <c r="R389" s="175"/>
      <c r="S389" s="175"/>
      <c r="T389" s="175"/>
      <c r="U389" s="175"/>
      <c r="V389" s="174" t="s">
        <v>469</v>
      </c>
      <c r="W389" s="174" t="s">
        <v>511</v>
      </c>
      <c r="X389" s="174" t="s">
        <v>24</v>
      </c>
      <c r="Y389" s="174"/>
      <c r="Z389" s="174" t="s">
        <v>794</v>
      </c>
      <c r="AA389" s="174" t="s">
        <v>483</v>
      </c>
      <c r="AB389" s="175"/>
      <c r="AC389" s="175"/>
      <c r="AD389" s="176">
        <v>43164.718645833331</v>
      </c>
      <c r="AE389" s="176">
        <v>43164.718645833331</v>
      </c>
      <c r="AF389" s="175"/>
    </row>
    <row r="390" spans="1:32" x14ac:dyDescent="0.25">
      <c r="A390" s="174" t="s">
        <v>461</v>
      </c>
      <c r="B390" s="174" t="s">
        <v>1908</v>
      </c>
      <c r="C390" s="174" t="s">
        <v>463</v>
      </c>
      <c r="D390" s="174" t="s">
        <v>506</v>
      </c>
      <c r="E390" s="176">
        <v>43164</v>
      </c>
      <c r="F390" s="176">
        <v>43165</v>
      </c>
      <c r="G390" s="174" t="s">
        <v>1863</v>
      </c>
      <c r="H390" s="179" t="s">
        <v>486</v>
      </c>
      <c r="I390" s="174" t="s">
        <v>467</v>
      </c>
      <c r="J390" s="178">
        <v>3000000</v>
      </c>
      <c r="K390" s="178">
        <v>99.91796875</v>
      </c>
      <c r="L390" s="178">
        <v>2.6426175092999999</v>
      </c>
      <c r="M390" s="178">
        <v>-2998823.0298913</v>
      </c>
      <c r="N390" s="174" t="s">
        <v>337</v>
      </c>
      <c r="O390" s="174" t="s">
        <v>468</v>
      </c>
      <c r="P390" s="174" t="s">
        <v>23</v>
      </c>
      <c r="Q390" s="174" t="s">
        <v>130</v>
      </c>
      <c r="R390" s="175"/>
      <c r="S390" s="175"/>
      <c r="T390" s="175"/>
      <c r="U390" s="175"/>
      <c r="V390" s="174" t="s">
        <v>469</v>
      </c>
      <c r="W390" s="174" t="s">
        <v>511</v>
      </c>
      <c r="X390" s="174" t="s">
        <v>24</v>
      </c>
      <c r="Y390" s="174"/>
      <c r="Z390" s="174" t="s">
        <v>794</v>
      </c>
      <c r="AA390" s="174" t="s">
        <v>483</v>
      </c>
      <c r="AB390" s="175"/>
      <c r="AC390" s="175"/>
      <c r="AD390" s="176">
        <v>43164.718645833331</v>
      </c>
      <c r="AE390" s="176">
        <v>43164.718645833331</v>
      </c>
      <c r="AF390" s="175"/>
    </row>
    <row r="391" spans="1:32" x14ac:dyDescent="0.25">
      <c r="A391" s="174" t="s">
        <v>461</v>
      </c>
      <c r="B391" s="174" t="s">
        <v>1909</v>
      </c>
      <c r="C391" s="174" t="s">
        <v>463</v>
      </c>
      <c r="D391" s="174" t="s">
        <v>506</v>
      </c>
      <c r="E391" s="176">
        <v>43164</v>
      </c>
      <c r="F391" s="176">
        <v>43165</v>
      </c>
      <c r="G391" s="174" t="s">
        <v>1863</v>
      </c>
      <c r="H391" s="179" t="s">
        <v>486</v>
      </c>
      <c r="I391" s="174" t="s">
        <v>467</v>
      </c>
      <c r="J391" s="178">
        <v>3000000</v>
      </c>
      <c r="K391" s="178">
        <v>99.91796875</v>
      </c>
      <c r="L391" s="178">
        <v>2.6426175092999999</v>
      </c>
      <c r="M391" s="178">
        <v>-2998823.0298913</v>
      </c>
      <c r="N391" s="174" t="s">
        <v>337</v>
      </c>
      <c r="O391" s="174" t="s">
        <v>468</v>
      </c>
      <c r="P391" s="174" t="s">
        <v>23</v>
      </c>
      <c r="Q391" s="174" t="s">
        <v>130</v>
      </c>
      <c r="R391" s="175"/>
      <c r="S391" s="175"/>
      <c r="T391" s="175"/>
      <c r="U391" s="175"/>
      <c r="V391" s="174" t="s">
        <v>469</v>
      </c>
      <c r="W391" s="174" t="s">
        <v>511</v>
      </c>
      <c r="X391" s="174" t="s">
        <v>24</v>
      </c>
      <c r="Y391" s="174"/>
      <c r="Z391" s="174" t="s">
        <v>794</v>
      </c>
      <c r="AA391" s="174" t="s">
        <v>483</v>
      </c>
      <c r="AB391" s="175"/>
      <c r="AC391" s="175"/>
      <c r="AD391" s="176">
        <v>43164.718645833331</v>
      </c>
      <c r="AE391" s="176">
        <v>43164.718645833331</v>
      </c>
      <c r="AF391" s="175"/>
    </row>
    <row r="392" spans="1:32" x14ac:dyDescent="0.25">
      <c r="A392" s="174" t="s">
        <v>461</v>
      </c>
      <c r="B392" s="174" t="s">
        <v>1910</v>
      </c>
      <c r="C392" s="174" t="s">
        <v>463</v>
      </c>
      <c r="D392" s="174" t="s">
        <v>506</v>
      </c>
      <c r="E392" s="176">
        <v>43164</v>
      </c>
      <c r="F392" s="176">
        <v>43165</v>
      </c>
      <c r="G392" s="174" t="s">
        <v>1863</v>
      </c>
      <c r="H392" s="179" t="s">
        <v>486</v>
      </c>
      <c r="I392" s="174" t="s">
        <v>467</v>
      </c>
      <c r="J392" s="178">
        <v>3000000</v>
      </c>
      <c r="K392" s="178">
        <v>99.91796875</v>
      </c>
      <c r="L392" s="178">
        <v>2.6426175092999999</v>
      </c>
      <c r="M392" s="178">
        <v>-2998823.0298913</v>
      </c>
      <c r="N392" s="174" t="s">
        <v>337</v>
      </c>
      <c r="O392" s="174" t="s">
        <v>468</v>
      </c>
      <c r="P392" s="174" t="s">
        <v>23</v>
      </c>
      <c r="Q392" s="174" t="s">
        <v>130</v>
      </c>
      <c r="R392" s="175"/>
      <c r="S392" s="175"/>
      <c r="T392" s="175"/>
      <c r="U392" s="175"/>
      <c r="V392" s="174" t="s">
        <v>469</v>
      </c>
      <c r="W392" s="174" t="s">
        <v>511</v>
      </c>
      <c r="X392" s="174" t="s">
        <v>24</v>
      </c>
      <c r="Y392" s="174"/>
      <c r="Z392" s="174" t="s">
        <v>794</v>
      </c>
      <c r="AA392" s="174" t="s">
        <v>483</v>
      </c>
      <c r="AB392" s="175"/>
      <c r="AC392" s="175"/>
      <c r="AD392" s="176">
        <v>43164.718645833331</v>
      </c>
      <c r="AE392" s="176">
        <v>43164.718645833331</v>
      </c>
      <c r="AF392" s="175"/>
    </row>
    <row r="393" spans="1:32" x14ac:dyDescent="0.25">
      <c r="A393" s="174" t="s">
        <v>461</v>
      </c>
      <c r="B393" s="174" t="s">
        <v>1911</v>
      </c>
      <c r="C393" s="174" t="s">
        <v>463</v>
      </c>
      <c r="D393" s="174" t="s">
        <v>506</v>
      </c>
      <c r="E393" s="176">
        <v>43164</v>
      </c>
      <c r="F393" s="176">
        <v>43165</v>
      </c>
      <c r="G393" s="174" t="s">
        <v>1863</v>
      </c>
      <c r="H393" s="179" t="s">
        <v>486</v>
      </c>
      <c r="I393" s="174" t="s">
        <v>467</v>
      </c>
      <c r="J393" s="178">
        <v>3000000</v>
      </c>
      <c r="K393" s="178">
        <v>99.91796875</v>
      </c>
      <c r="L393" s="178">
        <v>2.6426175092999999</v>
      </c>
      <c r="M393" s="178">
        <v>-2998823.0298913</v>
      </c>
      <c r="N393" s="174" t="s">
        <v>337</v>
      </c>
      <c r="O393" s="174" t="s">
        <v>468</v>
      </c>
      <c r="P393" s="174" t="s">
        <v>23</v>
      </c>
      <c r="Q393" s="174" t="s">
        <v>130</v>
      </c>
      <c r="R393" s="175"/>
      <c r="S393" s="175"/>
      <c r="T393" s="175"/>
      <c r="U393" s="175"/>
      <c r="V393" s="174" t="s">
        <v>469</v>
      </c>
      <c r="W393" s="174" t="s">
        <v>511</v>
      </c>
      <c r="X393" s="174" t="s">
        <v>24</v>
      </c>
      <c r="Y393" s="174"/>
      <c r="Z393" s="174" t="s">
        <v>794</v>
      </c>
      <c r="AA393" s="174" t="s">
        <v>483</v>
      </c>
      <c r="AB393" s="175"/>
      <c r="AC393" s="175"/>
      <c r="AD393" s="176">
        <v>43164.718657407408</v>
      </c>
      <c r="AE393" s="176">
        <v>43164.718657407408</v>
      </c>
      <c r="AF393" s="175"/>
    </row>
    <row r="394" spans="1:32" x14ac:dyDescent="0.25">
      <c r="A394" s="174" t="s">
        <v>461</v>
      </c>
      <c r="B394" s="174" t="s">
        <v>1912</v>
      </c>
      <c r="C394" s="174" t="s">
        <v>463</v>
      </c>
      <c r="D394" s="174" t="s">
        <v>506</v>
      </c>
      <c r="E394" s="176">
        <v>43164</v>
      </c>
      <c r="F394" s="176">
        <v>43165</v>
      </c>
      <c r="G394" s="174" t="s">
        <v>1863</v>
      </c>
      <c r="H394" s="179" t="s">
        <v>486</v>
      </c>
      <c r="I394" s="174" t="s">
        <v>467</v>
      </c>
      <c r="J394" s="178">
        <v>3000000</v>
      </c>
      <c r="K394" s="178">
        <v>99.91796875</v>
      </c>
      <c r="L394" s="178">
        <v>2.6426175092999999</v>
      </c>
      <c r="M394" s="178">
        <v>-2998823.0298913</v>
      </c>
      <c r="N394" s="174" t="s">
        <v>337</v>
      </c>
      <c r="O394" s="174" t="s">
        <v>468</v>
      </c>
      <c r="P394" s="174" t="s">
        <v>23</v>
      </c>
      <c r="Q394" s="174" t="s">
        <v>130</v>
      </c>
      <c r="R394" s="175"/>
      <c r="S394" s="175"/>
      <c r="T394" s="175"/>
      <c r="U394" s="175"/>
      <c r="V394" s="174" t="s">
        <v>469</v>
      </c>
      <c r="W394" s="174" t="s">
        <v>511</v>
      </c>
      <c r="X394" s="174" t="s">
        <v>24</v>
      </c>
      <c r="Y394" s="174"/>
      <c r="Z394" s="174" t="s">
        <v>794</v>
      </c>
      <c r="AA394" s="174" t="s">
        <v>483</v>
      </c>
      <c r="AB394" s="175"/>
      <c r="AC394" s="175"/>
      <c r="AD394" s="176">
        <v>43164.718668981484</v>
      </c>
      <c r="AE394" s="176">
        <v>43164.718668981484</v>
      </c>
      <c r="AF394" s="175"/>
    </row>
    <row r="395" spans="1:32" x14ac:dyDescent="0.25">
      <c r="A395" s="174" t="s">
        <v>461</v>
      </c>
      <c r="B395" s="174" t="s">
        <v>1913</v>
      </c>
      <c r="C395" s="174" t="s">
        <v>463</v>
      </c>
      <c r="D395" s="174" t="s">
        <v>506</v>
      </c>
      <c r="E395" s="176">
        <v>43164</v>
      </c>
      <c r="F395" s="176">
        <v>43165</v>
      </c>
      <c r="G395" s="174" t="s">
        <v>1863</v>
      </c>
      <c r="H395" s="179" t="s">
        <v>486</v>
      </c>
      <c r="I395" s="174" t="s">
        <v>467</v>
      </c>
      <c r="J395" s="178">
        <v>3000000</v>
      </c>
      <c r="K395" s="178">
        <v>99.91796875</v>
      </c>
      <c r="L395" s="178">
        <v>2.6426175092999999</v>
      </c>
      <c r="M395" s="178">
        <v>-2998823.0298913</v>
      </c>
      <c r="N395" s="174" t="s">
        <v>337</v>
      </c>
      <c r="O395" s="174" t="s">
        <v>468</v>
      </c>
      <c r="P395" s="174" t="s">
        <v>23</v>
      </c>
      <c r="Q395" s="174" t="s">
        <v>130</v>
      </c>
      <c r="R395" s="175"/>
      <c r="S395" s="175"/>
      <c r="T395" s="175"/>
      <c r="U395" s="175"/>
      <c r="V395" s="174" t="s">
        <v>469</v>
      </c>
      <c r="W395" s="174" t="s">
        <v>511</v>
      </c>
      <c r="X395" s="174" t="s">
        <v>24</v>
      </c>
      <c r="Y395" s="174"/>
      <c r="Z395" s="174" t="s">
        <v>794</v>
      </c>
      <c r="AA395" s="174" t="s">
        <v>483</v>
      </c>
      <c r="AB395" s="175"/>
      <c r="AC395" s="175"/>
      <c r="AD395" s="176">
        <v>43164.718680555554</v>
      </c>
      <c r="AE395" s="176">
        <v>43164.718680555554</v>
      </c>
      <c r="AF395" s="175"/>
    </row>
    <row r="396" spans="1:32" x14ac:dyDescent="0.25">
      <c r="A396" s="174" t="s">
        <v>461</v>
      </c>
      <c r="B396" s="174" t="s">
        <v>1914</v>
      </c>
      <c r="C396" s="174" t="s">
        <v>463</v>
      </c>
      <c r="D396" s="174" t="s">
        <v>506</v>
      </c>
      <c r="E396" s="176">
        <v>43164</v>
      </c>
      <c r="F396" s="176">
        <v>43165</v>
      </c>
      <c r="G396" s="174" t="s">
        <v>1863</v>
      </c>
      <c r="H396" s="179" t="s">
        <v>486</v>
      </c>
      <c r="I396" s="174" t="s">
        <v>467</v>
      </c>
      <c r="J396" s="178">
        <v>10000000</v>
      </c>
      <c r="K396" s="178">
        <v>99.91796875</v>
      </c>
      <c r="L396" s="178">
        <v>2.6426175092999999</v>
      </c>
      <c r="M396" s="178">
        <v>-9996076.7663043495</v>
      </c>
      <c r="N396" s="174" t="s">
        <v>337</v>
      </c>
      <c r="O396" s="174" t="s">
        <v>468</v>
      </c>
      <c r="P396" s="174" t="s">
        <v>23</v>
      </c>
      <c r="Q396" s="174" t="s">
        <v>130</v>
      </c>
      <c r="R396" s="175"/>
      <c r="S396" s="175"/>
      <c r="T396" s="175"/>
      <c r="U396" s="175"/>
      <c r="V396" s="174" t="s">
        <v>469</v>
      </c>
      <c r="W396" s="174" t="s">
        <v>511</v>
      </c>
      <c r="X396" s="174" t="s">
        <v>24</v>
      </c>
      <c r="Y396" s="174"/>
      <c r="Z396" s="174" t="s">
        <v>794</v>
      </c>
      <c r="AA396" s="174" t="s">
        <v>483</v>
      </c>
      <c r="AB396" s="175"/>
      <c r="AC396" s="175"/>
      <c r="AD396" s="176">
        <v>43164.718692129631</v>
      </c>
      <c r="AE396" s="176">
        <v>43164.718692129631</v>
      </c>
      <c r="AF396" s="175"/>
    </row>
    <row r="397" spans="1:32" x14ac:dyDescent="0.25">
      <c r="A397" s="174" t="s">
        <v>461</v>
      </c>
      <c r="B397" s="174" t="s">
        <v>1915</v>
      </c>
      <c r="C397" s="174" t="s">
        <v>463</v>
      </c>
      <c r="D397" s="174" t="s">
        <v>506</v>
      </c>
      <c r="E397" s="176">
        <v>43164</v>
      </c>
      <c r="F397" s="176">
        <v>43165</v>
      </c>
      <c r="G397" s="174" t="s">
        <v>1863</v>
      </c>
      <c r="H397" s="179" t="s">
        <v>486</v>
      </c>
      <c r="I397" s="174" t="s">
        <v>467</v>
      </c>
      <c r="J397" s="178">
        <v>3000000</v>
      </c>
      <c r="K397" s="178">
        <v>99.92578125</v>
      </c>
      <c r="L397" s="178">
        <v>2.6409334109999998</v>
      </c>
      <c r="M397" s="178">
        <v>-2999057.4048913</v>
      </c>
      <c r="N397" s="174" t="s">
        <v>337</v>
      </c>
      <c r="O397" s="174" t="s">
        <v>468</v>
      </c>
      <c r="P397" s="174" t="s">
        <v>23</v>
      </c>
      <c r="Q397" s="174" t="s">
        <v>130</v>
      </c>
      <c r="R397" s="175"/>
      <c r="S397" s="175"/>
      <c r="T397" s="175"/>
      <c r="U397" s="175"/>
      <c r="V397" s="174" t="s">
        <v>469</v>
      </c>
      <c r="W397" s="174" t="s">
        <v>511</v>
      </c>
      <c r="X397" s="174" t="s">
        <v>24</v>
      </c>
      <c r="Y397" s="174"/>
      <c r="Z397" s="174" t="s">
        <v>794</v>
      </c>
      <c r="AA397" s="174" t="s">
        <v>483</v>
      </c>
      <c r="AB397" s="175"/>
      <c r="AC397" s="175"/>
      <c r="AD397" s="176">
        <v>43164.7187037037</v>
      </c>
      <c r="AE397" s="176">
        <v>43164.7187037037</v>
      </c>
      <c r="AF397" s="175"/>
    </row>
    <row r="398" spans="1:32" x14ac:dyDescent="0.25">
      <c r="A398" s="174" t="s">
        <v>461</v>
      </c>
      <c r="B398" s="174" t="s">
        <v>1916</v>
      </c>
      <c r="C398" s="174" t="s">
        <v>463</v>
      </c>
      <c r="D398" s="174" t="s">
        <v>506</v>
      </c>
      <c r="E398" s="176">
        <v>43164</v>
      </c>
      <c r="F398" s="176">
        <v>43165</v>
      </c>
      <c r="G398" s="174" t="s">
        <v>1863</v>
      </c>
      <c r="H398" s="179" t="s">
        <v>486</v>
      </c>
      <c r="I398" s="174" t="s">
        <v>467</v>
      </c>
      <c r="J398" s="178">
        <v>6000000</v>
      </c>
      <c r="K398" s="178">
        <v>99.92578125</v>
      </c>
      <c r="L398" s="178">
        <v>2.6409334109999998</v>
      </c>
      <c r="M398" s="178">
        <v>-5998114.8097826103</v>
      </c>
      <c r="N398" s="174" t="s">
        <v>337</v>
      </c>
      <c r="O398" s="174" t="s">
        <v>468</v>
      </c>
      <c r="P398" s="174" t="s">
        <v>23</v>
      </c>
      <c r="Q398" s="174" t="s">
        <v>130</v>
      </c>
      <c r="R398" s="175"/>
      <c r="S398" s="175"/>
      <c r="T398" s="175"/>
      <c r="U398" s="175"/>
      <c r="V398" s="174" t="s">
        <v>469</v>
      </c>
      <c r="W398" s="174" t="s">
        <v>511</v>
      </c>
      <c r="X398" s="174" t="s">
        <v>24</v>
      </c>
      <c r="Y398" s="174"/>
      <c r="Z398" s="174" t="s">
        <v>794</v>
      </c>
      <c r="AA398" s="174" t="s">
        <v>483</v>
      </c>
      <c r="AB398" s="175"/>
      <c r="AC398" s="175"/>
      <c r="AD398" s="176">
        <v>43164.718715277777</v>
      </c>
      <c r="AE398" s="176">
        <v>43164.718715277777</v>
      </c>
      <c r="AF398" s="175"/>
    </row>
    <row r="399" spans="1:32" x14ac:dyDescent="0.25">
      <c r="A399" s="174" t="s">
        <v>461</v>
      </c>
      <c r="B399" s="174" t="s">
        <v>1917</v>
      </c>
      <c r="C399" s="174" t="s">
        <v>463</v>
      </c>
      <c r="D399" s="174" t="s">
        <v>506</v>
      </c>
      <c r="E399" s="176">
        <v>43164</v>
      </c>
      <c r="F399" s="176">
        <v>43165</v>
      </c>
      <c r="G399" s="174" t="s">
        <v>1863</v>
      </c>
      <c r="H399" s="179" t="s">
        <v>486</v>
      </c>
      <c r="I399" s="174" t="s">
        <v>467</v>
      </c>
      <c r="J399" s="178">
        <v>10000000</v>
      </c>
      <c r="K399" s="178">
        <v>99.92578125</v>
      </c>
      <c r="L399" s="178">
        <v>2.6409334109999998</v>
      </c>
      <c r="M399" s="178">
        <v>-9996858.0163043495</v>
      </c>
      <c r="N399" s="174" t="s">
        <v>337</v>
      </c>
      <c r="O399" s="174" t="s">
        <v>468</v>
      </c>
      <c r="P399" s="174" t="s">
        <v>23</v>
      </c>
      <c r="Q399" s="174" t="s">
        <v>130</v>
      </c>
      <c r="R399" s="175"/>
      <c r="S399" s="175"/>
      <c r="T399" s="175"/>
      <c r="U399" s="175"/>
      <c r="V399" s="174" t="s">
        <v>469</v>
      </c>
      <c r="W399" s="174" t="s">
        <v>511</v>
      </c>
      <c r="X399" s="174" t="s">
        <v>24</v>
      </c>
      <c r="Y399" s="174"/>
      <c r="Z399" s="174" t="s">
        <v>794</v>
      </c>
      <c r="AA399" s="174" t="s">
        <v>483</v>
      </c>
      <c r="AB399" s="175"/>
      <c r="AC399" s="175"/>
      <c r="AD399" s="176">
        <v>43164.718726851854</v>
      </c>
      <c r="AE399" s="176">
        <v>43164.718726851854</v>
      </c>
      <c r="AF399" s="175"/>
    </row>
    <row r="400" spans="1:32" x14ac:dyDescent="0.25">
      <c r="A400" s="174" t="s">
        <v>461</v>
      </c>
      <c r="B400" s="174" t="s">
        <v>1918</v>
      </c>
      <c r="C400" s="174" t="s">
        <v>463</v>
      </c>
      <c r="D400" s="174" t="s">
        <v>506</v>
      </c>
      <c r="E400" s="176">
        <v>43164</v>
      </c>
      <c r="F400" s="176">
        <v>43165</v>
      </c>
      <c r="G400" s="174" t="s">
        <v>1863</v>
      </c>
      <c r="H400" s="179" t="s">
        <v>486</v>
      </c>
      <c r="I400" s="174" t="s">
        <v>467</v>
      </c>
      <c r="J400" s="178">
        <v>6000000</v>
      </c>
      <c r="K400" s="178">
        <v>99.92578125</v>
      </c>
      <c r="L400" s="178">
        <v>2.6409334109999998</v>
      </c>
      <c r="M400" s="178">
        <v>-5998114.8097826103</v>
      </c>
      <c r="N400" s="174" t="s">
        <v>337</v>
      </c>
      <c r="O400" s="174" t="s">
        <v>468</v>
      </c>
      <c r="P400" s="174" t="s">
        <v>23</v>
      </c>
      <c r="Q400" s="174" t="s">
        <v>130</v>
      </c>
      <c r="R400" s="175"/>
      <c r="S400" s="175"/>
      <c r="T400" s="175"/>
      <c r="U400" s="175"/>
      <c r="V400" s="174" t="s">
        <v>469</v>
      </c>
      <c r="W400" s="174" t="s">
        <v>511</v>
      </c>
      <c r="X400" s="174" t="s">
        <v>24</v>
      </c>
      <c r="Y400" s="174"/>
      <c r="Z400" s="174" t="s">
        <v>794</v>
      </c>
      <c r="AA400" s="174" t="s">
        <v>483</v>
      </c>
      <c r="AB400" s="175"/>
      <c r="AC400" s="175"/>
      <c r="AD400" s="176">
        <v>43164.718726851854</v>
      </c>
      <c r="AE400" s="176">
        <v>43164.718726851854</v>
      </c>
      <c r="AF400" s="175"/>
    </row>
    <row r="401" spans="1:32" x14ac:dyDescent="0.25">
      <c r="A401" s="174" t="s">
        <v>461</v>
      </c>
      <c r="B401" s="174" t="s">
        <v>1919</v>
      </c>
      <c r="C401" s="174" t="s">
        <v>463</v>
      </c>
      <c r="D401" s="174" t="s">
        <v>506</v>
      </c>
      <c r="E401" s="176">
        <v>43164</v>
      </c>
      <c r="F401" s="176">
        <v>43165</v>
      </c>
      <c r="G401" s="174" t="s">
        <v>1863</v>
      </c>
      <c r="H401" s="179" t="s">
        <v>486</v>
      </c>
      <c r="I401" s="174" t="s">
        <v>467</v>
      </c>
      <c r="J401" s="178">
        <v>10000000</v>
      </c>
      <c r="K401" s="178">
        <v>99.92578125</v>
      </c>
      <c r="L401" s="178">
        <v>2.6409334109999998</v>
      </c>
      <c r="M401" s="178">
        <v>-9996858.0163043495</v>
      </c>
      <c r="N401" s="174" t="s">
        <v>337</v>
      </c>
      <c r="O401" s="174" t="s">
        <v>468</v>
      </c>
      <c r="P401" s="174" t="s">
        <v>23</v>
      </c>
      <c r="Q401" s="174" t="s">
        <v>130</v>
      </c>
      <c r="R401" s="175"/>
      <c r="S401" s="175"/>
      <c r="T401" s="175"/>
      <c r="U401" s="175"/>
      <c r="V401" s="174" t="s">
        <v>469</v>
      </c>
      <c r="W401" s="174" t="s">
        <v>511</v>
      </c>
      <c r="X401" s="174" t="s">
        <v>24</v>
      </c>
      <c r="Y401" s="174"/>
      <c r="Z401" s="174" t="s">
        <v>794</v>
      </c>
      <c r="AA401" s="174" t="s">
        <v>483</v>
      </c>
      <c r="AB401" s="175"/>
      <c r="AC401" s="175"/>
      <c r="AD401" s="176">
        <v>43164.718726851854</v>
      </c>
      <c r="AE401" s="176">
        <v>43164.718726851854</v>
      </c>
      <c r="AF401" s="175"/>
    </row>
    <row r="402" spans="1:32" x14ac:dyDescent="0.25">
      <c r="A402" s="174" t="s">
        <v>461</v>
      </c>
      <c r="B402" s="174" t="s">
        <v>1920</v>
      </c>
      <c r="C402" s="174" t="s">
        <v>463</v>
      </c>
      <c r="D402" s="174" t="s">
        <v>506</v>
      </c>
      <c r="E402" s="176">
        <v>43164</v>
      </c>
      <c r="F402" s="176">
        <v>43165</v>
      </c>
      <c r="G402" s="174" t="s">
        <v>1863</v>
      </c>
      <c r="H402" s="179" t="s">
        <v>486</v>
      </c>
      <c r="I402" s="174" t="s">
        <v>467</v>
      </c>
      <c r="J402" s="178">
        <v>3000000</v>
      </c>
      <c r="K402" s="178">
        <v>99.92578125</v>
      </c>
      <c r="L402" s="178">
        <v>2.6409334109999998</v>
      </c>
      <c r="M402" s="178">
        <v>-2999057.4048913</v>
      </c>
      <c r="N402" s="174" t="s">
        <v>337</v>
      </c>
      <c r="O402" s="174" t="s">
        <v>468</v>
      </c>
      <c r="P402" s="174" t="s">
        <v>23</v>
      </c>
      <c r="Q402" s="174" t="s">
        <v>130</v>
      </c>
      <c r="R402" s="175"/>
      <c r="S402" s="175"/>
      <c r="T402" s="175"/>
      <c r="U402" s="175"/>
      <c r="V402" s="174" t="s">
        <v>469</v>
      </c>
      <c r="W402" s="174" t="s">
        <v>511</v>
      </c>
      <c r="X402" s="174" t="s">
        <v>24</v>
      </c>
      <c r="Y402" s="174"/>
      <c r="Z402" s="174" t="s">
        <v>794</v>
      </c>
      <c r="AA402" s="174" t="s">
        <v>483</v>
      </c>
      <c r="AB402" s="175"/>
      <c r="AC402" s="175"/>
      <c r="AD402" s="176">
        <v>43164.718726851854</v>
      </c>
      <c r="AE402" s="176">
        <v>43164.718726851854</v>
      </c>
      <c r="AF402" s="175"/>
    </row>
    <row r="403" spans="1:32" x14ac:dyDescent="0.25">
      <c r="A403" s="174" t="s">
        <v>461</v>
      </c>
      <c r="B403" s="174" t="s">
        <v>1921</v>
      </c>
      <c r="C403" s="174" t="s">
        <v>463</v>
      </c>
      <c r="D403" s="174" t="s">
        <v>506</v>
      </c>
      <c r="E403" s="176">
        <v>43164</v>
      </c>
      <c r="F403" s="176">
        <v>43165</v>
      </c>
      <c r="G403" s="174" t="s">
        <v>1863</v>
      </c>
      <c r="H403" s="179" t="s">
        <v>486</v>
      </c>
      <c r="I403" s="174" t="s">
        <v>467</v>
      </c>
      <c r="J403" s="178">
        <v>3000000</v>
      </c>
      <c r="K403" s="178">
        <v>99.92578125</v>
      </c>
      <c r="L403" s="178">
        <v>2.6409334109999998</v>
      </c>
      <c r="M403" s="178">
        <v>-2999057.4048913</v>
      </c>
      <c r="N403" s="174" t="s">
        <v>337</v>
      </c>
      <c r="O403" s="174" t="s">
        <v>468</v>
      </c>
      <c r="P403" s="174" t="s">
        <v>23</v>
      </c>
      <c r="Q403" s="174" t="s">
        <v>130</v>
      </c>
      <c r="R403" s="175"/>
      <c r="S403" s="175"/>
      <c r="T403" s="175"/>
      <c r="U403" s="175"/>
      <c r="V403" s="174" t="s">
        <v>469</v>
      </c>
      <c r="W403" s="174" t="s">
        <v>511</v>
      </c>
      <c r="X403" s="174" t="s">
        <v>24</v>
      </c>
      <c r="Y403" s="174"/>
      <c r="Z403" s="174" t="s">
        <v>794</v>
      </c>
      <c r="AA403" s="174" t="s">
        <v>483</v>
      </c>
      <c r="AB403" s="175"/>
      <c r="AC403" s="175"/>
      <c r="AD403" s="176">
        <v>43164.718738425923</v>
      </c>
      <c r="AE403" s="176">
        <v>43164.718738425923</v>
      </c>
      <c r="AF403" s="175"/>
    </row>
    <row r="404" spans="1:32" x14ac:dyDescent="0.25">
      <c r="A404" s="174" t="s">
        <v>461</v>
      </c>
      <c r="B404" s="174" t="s">
        <v>1922</v>
      </c>
      <c r="C404" s="174" t="s">
        <v>463</v>
      </c>
      <c r="D404" s="174" t="s">
        <v>506</v>
      </c>
      <c r="E404" s="176">
        <v>43164</v>
      </c>
      <c r="F404" s="176">
        <v>43165</v>
      </c>
      <c r="G404" s="174" t="s">
        <v>1863</v>
      </c>
      <c r="H404" s="179" t="s">
        <v>486</v>
      </c>
      <c r="I404" s="174" t="s">
        <v>467</v>
      </c>
      <c r="J404" s="178">
        <v>5000000</v>
      </c>
      <c r="K404" s="178">
        <v>99.9296875</v>
      </c>
      <c r="L404" s="178">
        <v>2.6400914183999999</v>
      </c>
      <c r="M404" s="178">
        <v>-4998624.3206521701</v>
      </c>
      <c r="N404" s="174" t="s">
        <v>337</v>
      </c>
      <c r="O404" s="174" t="s">
        <v>468</v>
      </c>
      <c r="P404" s="174" t="s">
        <v>23</v>
      </c>
      <c r="Q404" s="174" t="s">
        <v>130</v>
      </c>
      <c r="R404" s="175"/>
      <c r="S404" s="175"/>
      <c r="T404" s="175"/>
      <c r="U404" s="175"/>
      <c r="V404" s="174" t="s">
        <v>469</v>
      </c>
      <c r="W404" s="174" t="s">
        <v>511</v>
      </c>
      <c r="X404" s="174" t="s">
        <v>24</v>
      </c>
      <c r="Y404" s="174"/>
      <c r="Z404" s="174" t="s">
        <v>794</v>
      </c>
      <c r="AA404" s="174" t="s">
        <v>483</v>
      </c>
      <c r="AB404" s="175"/>
      <c r="AC404" s="175"/>
      <c r="AD404" s="176">
        <v>43164.71875</v>
      </c>
      <c r="AE404" s="176">
        <v>43164.71875</v>
      </c>
      <c r="AF404" s="175"/>
    </row>
    <row r="405" spans="1:32" x14ac:dyDescent="0.25">
      <c r="A405" s="174" t="s">
        <v>461</v>
      </c>
      <c r="B405" s="174" t="s">
        <v>1923</v>
      </c>
      <c r="C405" s="174" t="s">
        <v>463</v>
      </c>
      <c r="D405" s="174" t="s">
        <v>506</v>
      </c>
      <c r="E405" s="176">
        <v>43164</v>
      </c>
      <c r="F405" s="176">
        <v>43165</v>
      </c>
      <c r="G405" s="174" t="s">
        <v>1863</v>
      </c>
      <c r="H405" s="179" t="s">
        <v>486</v>
      </c>
      <c r="I405" s="174" t="s">
        <v>467</v>
      </c>
      <c r="J405" s="178">
        <v>10000000</v>
      </c>
      <c r="K405" s="178">
        <v>99.9296875</v>
      </c>
      <c r="L405" s="178">
        <v>2.6400914183999999</v>
      </c>
      <c r="M405" s="178">
        <v>-9997248.6413043514</v>
      </c>
      <c r="N405" s="174" t="s">
        <v>337</v>
      </c>
      <c r="O405" s="174" t="s">
        <v>468</v>
      </c>
      <c r="P405" s="174" t="s">
        <v>23</v>
      </c>
      <c r="Q405" s="174" t="s">
        <v>130</v>
      </c>
      <c r="R405" s="175"/>
      <c r="S405" s="175"/>
      <c r="T405" s="175"/>
      <c r="U405" s="175"/>
      <c r="V405" s="174" t="s">
        <v>469</v>
      </c>
      <c r="W405" s="174" t="s">
        <v>511</v>
      </c>
      <c r="X405" s="174" t="s">
        <v>24</v>
      </c>
      <c r="Y405" s="174"/>
      <c r="Z405" s="174" t="s">
        <v>794</v>
      </c>
      <c r="AA405" s="174" t="s">
        <v>483</v>
      </c>
      <c r="AB405" s="175"/>
      <c r="AC405" s="175"/>
      <c r="AD405" s="176">
        <v>43164.718761574077</v>
      </c>
      <c r="AE405" s="176">
        <v>43164.718761574077</v>
      </c>
      <c r="AF405" s="175"/>
    </row>
    <row r="406" spans="1:32" x14ac:dyDescent="0.25">
      <c r="A406" s="174" t="s">
        <v>461</v>
      </c>
      <c r="B406" s="174" t="s">
        <v>1924</v>
      </c>
      <c r="C406" s="174" t="s">
        <v>463</v>
      </c>
      <c r="D406" s="174" t="s">
        <v>506</v>
      </c>
      <c r="E406" s="176">
        <v>43164</v>
      </c>
      <c r="F406" s="176">
        <v>43165</v>
      </c>
      <c r="G406" s="174" t="s">
        <v>1863</v>
      </c>
      <c r="H406" s="179" t="s">
        <v>486</v>
      </c>
      <c r="I406" s="174" t="s">
        <v>467</v>
      </c>
      <c r="J406" s="178">
        <v>3000000</v>
      </c>
      <c r="K406" s="178">
        <v>99.9296875</v>
      </c>
      <c r="L406" s="178">
        <v>2.6400914183999999</v>
      </c>
      <c r="M406" s="178">
        <v>-2999174.5923913</v>
      </c>
      <c r="N406" s="174" t="s">
        <v>337</v>
      </c>
      <c r="O406" s="174" t="s">
        <v>468</v>
      </c>
      <c r="P406" s="174" t="s">
        <v>23</v>
      </c>
      <c r="Q406" s="174" t="s">
        <v>130</v>
      </c>
      <c r="R406" s="175"/>
      <c r="S406" s="175"/>
      <c r="T406" s="175"/>
      <c r="U406" s="175"/>
      <c r="V406" s="174" t="s">
        <v>469</v>
      </c>
      <c r="W406" s="174" t="s">
        <v>511</v>
      </c>
      <c r="X406" s="174" t="s">
        <v>24</v>
      </c>
      <c r="Y406" s="174"/>
      <c r="Z406" s="174" t="s">
        <v>794</v>
      </c>
      <c r="AA406" s="174" t="s">
        <v>483</v>
      </c>
      <c r="AB406" s="175"/>
      <c r="AC406" s="175"/>
      <c r="AD406" s="176">
        <v>43164.718761574077</v>
      </c>
      <c r="AE406" s="176">
        <v>43164.718761574077</v>
      </c>
      <c r="AF406" s="175"/>
    </row>
    <row r="407" spans="1:32" x14ac:dyDescent="0.25">
      <c r="A407" s="174" t="s">
        <v>461</v>
      </c>
      <c r="B407" s="174" t="s">
        <v>1925</v>
      </c>
      <c r="C407" s="174" t="s">
        <v>463</v>
      </c>
      <c r="D407" s="174" t="s">
        <v>506</v>
      </c>
      <c r="E407" s="176">
        <v>43164</v>
      </c>
      <c r="F407" s="176">
        <v>43165</v>
      </c>
      <c r="G407" s="174" t="s">
        <v>1863</v>
      </c>
      <c r="H407" s="179" t="s">
        <v>486</v>
      </c>
      <c r="I407" s="174" t="s">
        <v>467</v>
      </c>
      <c r="J407" s="178">
        <v>10000000</v>
      </c>
      <c r="K407" s="178">
        <v>99.9296875</v>
      </c>
      <c r="L407" s="178">
        <v>2.6400914183999999</v>
      </c>
      <c r="M407" s="178">
        <v>-9997248.6413043514</v>
      </c>
      <c r="N407" s="174" t="s">
        <v>337</v>
      </c>
      <c r="O407" s="174" t="s">
        <v>468</v>
      </c>
      <c r="P407" s="174" t="s">
        <v>23</v>
      </c>
      <c r="Q407" s="174" t="s">
        <v>130</v>
      </c>
      <c r="R407" s="175"/>
      <c r="S407" s="175"/>
      <c r="T407" s="175"/>
      <c r="U407" s="175"/>
      <c r="V407" s="174" t="s">
        <v>469</v>
      </c>
      <c r="W407" s="174" t="s">
        <v>511</v>
      </c>
      <c r="X407" s="174" t="s">
        <v>24</v>
      </c>
      <c r="Y407" s="174"/>
      <c r="Z407" s="174" t="s">
        <v>794</v>
      </c>
      <c r="AA407" s="174" t="s">
        <v>483</v>
      </c>
      <c r="AB407" s="175"/>
      <c r="AC407" s="175"/>
      <c r="AD407" s="176">
        <v>43164.718773148146</v>
      </c>
      <c r="AE407" s="176">
        <v>43164.718773148146</v>
      </c>
      <c r="AF407" s="175"/>
    </row>
    <row r="408" spans="1:32" x14ac:dyDescent="0.25">
      <c r="A408" s="174" t="s">
        <v>461</v>
      </c>
      <c r="B408" s="174" t="s">
        <v>1926</v>
      </c>
      <c r="C408" s="174" t="s">
        <v>463</v>
      </c>
      <c r="D408" s="174" t="s">
        <v>506</v>
      </c>
      <c r="E408" s="176">
        <v>43164</v>
      </c>
      <c r="F408" s="176">
        <v>43165</v>
      </c>
      <c r="G408" s="174" t="s">
        <v>1863</v>
      </c>
      <c r="H408" s="179" t="s">
        <v>486</v>
      </c>
      <c r="I408" s="174" t="s">
        <v>467</v>
      </c>
      <c r="J408" s="178">
        <v>3000000</v>
      </c>
      <c r="K408" s="178">
        <v>99.9296875</v>
      </c>
      <c r="L408" s="178">
        <v>2.6400914183999999</v>
      </c>
      <c r="M408" s="178">
        <v>-2999174.5923913</v>
      </c>
      <c r="N408" s="174" t="s">
        <v>337</v>
      </c>
      <c r="O408" s="174" t="s">
        <v>468</v>
      </c>
      <c r="P408" s="174" t="s">
        <v>23</v>
      </c>
      <c r="Q408" s="174" t="s">
        <v>130</v>
      </c>
      <c r="R408" s="175"/>
      <c r="S408" s="175"/>
      <c r="T408" s="175"/>
      <c r="U408" s="175"/>
      <c r="V408" s="174" t="s">
        <v>469</v>
      </c>
      <c r="W408" s="174" t="s">
        <v>511</v>
      </c>
      <c r="X408" s="174" t="s">
        <v>24</v>
      </c>
      <c r="Y408" s="174"/>
      <c r="Z408" s="174" t="s">
        <v>794</v>
      </c>
      <c r="AA408" s="174" t="s">
        <v>483</v>
      </c>
      <c r="AB408" s="175"/>
      <c r="AC408" s="175"/>
      <c r="AD408" s="176">
        <v>43164.718784722223</v>
      </c>
      <c r="AE408" s="176">
        <v>43164.718784722223</v>
      </c>
      <c r="AF408" s="175"/>
    </row>
    <row r="409" spans="1:32" x14ac:dyDescent="0.25">
      <c r="A409" s="174" t="s">
        <v>461</v>
      </c>
      <c r="B409" s="174" t="s">
        <v>1927</v>
      </c>
      <c r="C409" s="174" t="s">
        <v>463</v>
      </c>
      <c r="D409" s="174" t="s">
        <v>506</v>
      </c>
      <c r="E409" s="176">
        <v>43164</v>
      </c>
      <c r="F409" s="176">
        <v>43165</v>
      </c>
      <c r="G409" s="174" t="s">
        <v>1863</v>
      </c>
      <c r="H409" s="179" t="s">
        <v>486</v>
      </c>
      <c r="I409" s="174" t="s">
        <v>467</v>
      </c>
      <c r="J409" s="178">
        <v>5000000</v>
      </c>
      <c r="K409" s="178">
        <v>99.9296875</v>
      </c>
      <c r="L409" s="178">
        <v>2.6400914183999999</v>
      </c>
      <c r="M409" s="178">
        <v>-4998624.3206521701</v>
      </c>
      <c r="N409" s="174" t="s">
        <v>337</v>
      </c>
      <c r="O409" s="174" t="s">
        <v>468</v>
      </c>
      <c r="P409" s="174" t="s">
        <v>23</v>
      </c>
      <c r="Q409" s="174" t="s">
        <v>130</v>
      </c>
      <c r="R409" s="175"/>
      <c r="S409" s="175"/>
      <c r="T409" s="175"/>
      <c r="U409" s="175"/>
      <c r="V409" s="174" t="s">
        <v>469</v>
      </c>
      <c r="W409" s="174" t="s">
        <v>511</v>
      </c>
      <c r="X409" s="174" t="s">
        <v>24</v>
      </c>
      <c r="Y409" s="174"/>
      <c r="Z409" s="174" t="s">
        <v>794</v>
      </c>
      <c r="AA409" s="174" t="s">
        <v>483</v>
      </c>
      <c r="AB409" s="175"/>
      <c r="AC409" s="175"/>
      <c r="AD409" s="176">
        <v>43164.7187962963</v>
      </c>
      <c r="AE409" s="176">
        <v>43164.7187962963</v>
      </c>
      <c r="AF409" s="175"/>
    </row>
    <row r="410" spans="1:32" x14ac:dyDescent="0.25">
      <c r="A410" s="174" t="s">
        <v>461</v>
      </c>
      <c r="B410" s="174" t="s">
        <v>1928</v>
      </c>
      <c r="C410" s="174" t="s">
        <v>463</v>
      </c>
      <c r="D410" s="174" t="s">
        <v>506</v>
      </c>
      <c r="E410" s="176">
        <v>43164</v>
      </c>
      <c r="F410" s="176">
        <v>43165</v>
      </c>
      <c r="G410" s="174" t="s">
        <v>1863</v>
      </c>
      <c r="H410" s="179" t="s">
        <v>486</v>
      </c>
      <c r="I410" s="174" t="s">
        <v>467</v>
      </c>
      <c r="J410" s="178">
        <v>10000000</v>
      </c>
      <c r="K410" s="178">
        <v>99.9296875</v>
      </c>
      <c r="L410" s="178">
        <v>2.6400914183999999</v>
      </c>
      <c r="M410" s="178">
        <v>-9997248.6413043514</v>
      </c>
      <c r="N410" s="174" t="s">
        <v>337</v>
      </c>
      <c r="O410" s="174" t="s">
        <v>468</v>
      </c>
      <c r="P410" s="174" t="s">
        <v>23</v>
      </c>
      <c r="Q410" s="174" t="s">
        <v>130</v>
      </c>
      <c r="R410" s="175"/>
      <c r="S410" s="175"/>
      <c r="T410" s="175"/>
      <c r="U410" s="175"/>
      <c r="V410" s="174" t="s">
        <v>469</v>
      </c>
      <c r="W410" s="174" t="s">
        <v>511</v>
      </c>
      <c r="X410" s="174" t="s">
        <v>24</v>
      </c>
      <c r="Y410" s="174"/>
      <c r="Z410" s="174" t="s">
        <v>794</v>
      </c>
      <c r="AA410" s="174" t="s">
        <v>483</v>
      </c>
      <c r="AB410" s="175"/>
      <c r="AC410" s="175"/>
      <c r="AD410" s="176">
        <v>43164.718807870369</v>
      </c>
      <c r="AE410" s="176">
        <v>43164.718807870369</v>
      </c>
      <c r="AF410" s="175"/>
    </row>
    <row r="411" spans="1:32" x14ac:dyDescent="0.25">
      <c r="A411" s="174" t="s">
        <v>651</v>
      </c>
      <c r="B411" s="174" t="s">
        <v>1929</v>
      </c>
      <c r="C411" s="174" t="s">
        <v>653</v>
      </c>
      <c r="D411" s="174" t="s">
        <v>647</v>
      </c>
      <c r="E411" s="176">
        <v>43164</v>
      </c>
      <c r="F411" s="176">
        <v>43172</v>
      </c>
      <c r="G411" s="174" t="s">
        <v>1930</v>
      </c>
      <c r="H411" s="179" t="s">
        <v>486</v>
      </c>
      <c r="I411" s="174" t="s">
        <v>1931</v>
      </c>
      <c r="J411" s="178">
        <v>14000000</v>
      </c>
      <c r="K411" s="178">
        <v>97</v>
      </c>
      <c r="L411" s="178">
        <v>3.1484226622000002</v>
      </c>
      <c r="M411" s="178">
        <v>-13580000</v>
      </c>
      <c r="N411" s="174" t="s">
        <v>337</v>
      </c>
      <c r="O411" s="174" t="s">
        <v>1932</v>
      </c>
      <c r="P411" s="174" t="s">
        <v>23</v>
      </c>
      <c r="Q411" s="174" t="s">
        <v>133</v>
      </c>
      <c r="R411" s="175"/>
      <c r="S411" s="175"/>
      <c r="T411" s="175"/>
      <c r="U411" s="175"/>
      <c r="V411" s="174" t="s">
        <v>651</v>
      </c>
      <c r="W411" s="174" t="s">
        <v>650</v>
      </c>
      <c r="X411" s="174" t="s">
        <v>24</v>
      </c>
      <c r="Y411" s="174"/>
      <c r="Z411" s="174" t="s">
        <v>1933</v>
      </c>
      <c r="AA411" s="174" t="s">
        <v>483</v>
      </c>
      <c r="AB411" s="176">
        <v>43164.40216435185</v>
      </c>
      <c r="AC411" s="175"/>
      <c r="AD411" s="176">
        <v>43164.400833333333</v>
      </c>
      <c r="AE411" s="176">
        <v>43164.647743055553</v>
      </c>
      <c r="AF411" s="175"/>
    </row>
    <row r="412" spans="1:32" x14ac:dyDescent="0.25">
      <c r="A412" s="174" t="s">
        <v>651</v>
      </c>
      <c r="B412" s="174" t="s">
        <v>1934</v>
      </c>
      <c r="C412" s="174" t="s">
        <v>653</v>
      </c>
      <c r="D412" s="174" t="s">
        <v>647</v>
      </c>
      <c r="E412" s="176">
        <v>43164</v>
      </c>
      <c r="F412" s="176">
        <v>43172</v>
      </c>
      <c r="G412" s="174" t="s">
        <v>1930</v>
      </c>
      <c r="H412" s="177" t="s">
        <v>466</v>
      </c>
      <c r="I412" s="174" t="s">
        <v>1935</v>
      </c>
      <c r="J412" s="178">
        <v>8570382</v>
      </c>
      <c r="K412" s="178">
        <v>97.328125</v>
      </c>
      <c r="L412" s="178">
        <v>3.1448277207999999</v>
      </c>
      <c r="M412" s="178">
        <v>7324809.8714179499</v>
      </c>
      <c r="N412" s="174" t="s">
        <v>337</v>
      </c>
      <c r="O412" s="174" t="s">
        <v>1936</v>
      </c>
      <c r="P412" s="174" t="s">
        <v>23</v>
      </c>
      <c r="Q412" s="174" t="s">
        <v>133</v>
      </c>
      <c r="R412" s="175"/>
      <c r="S412" s="175"/>
      <c r="T412" s="175"/>
      <c r="U412" s="175"/>
      <c r="V412" s="174" t="s">
        <v>651</v>
      </c>
      <c r="W412" s="174" t="s">
        <v>650</v>
      </c>
      <c r="X412" s="174" t="s">
        <v>24</v>
      </c>
      <c r="Y412" s="174"/>
      <c r="Z412" s="174" t="s">
        <v>1933</v>
      </c>
      <c r="AA412" s="174" t="s">
        <v>483</v>
      </c>
      <c r="AB412" s="176">
        <v>43164.40216435185</v>
      </c>
      <c r="AC412" s="175"/>
      <c r="AD412" s="176">
        <v>43164.400509259256</v>
      </c>
      <c r="AE412" s="176">
        <v>43164.64775462963</v>
      </c>
      <c r="AF412" s="175"/>
    </row>
    <row r="413" spans="1:32" x14ac:dyDescent="0.25">
      <c r="A413" s="174" t="s">
        <v>651</v>
      </c>
      <c r="B413" s="174" t="s">
        <v>1937</v>
      </c>
      <c r="C413" s="174" t="s">
        <v>653</v>
      </c>
      <c r="D413" s="174" t="s">
        <v>647</v>
      </c>
      <c r="E413" s="176">
        <v>43164</v>
      </c>
      <c r="F413" s="176">
        <v>43172</v>
      </c>
      <c r="G413" s="174" t="s">
        <v>1930</v>
      </c>
      <c r="H413" s="177" t="s">
        <v>466</v>
      </c>
      <c r="I413" s="174" t="s">
        <v>1938</v>
      </c>
      <c r="J413" s="178">
        <v>8560000</v>
      </c>
      <c r="K413" s="178">
        <v>97.453125</v>
      </c>
      <c r="L413" s="178">
        <v>3.1374108634</v>
      </c>
      <c r="M413" s="178">
        <v>6833610.5896939496</v>
      </c>
      <c r="N413" s="174" t="s">
        <v>337</v>
      </c>
      <c r="O413" s="174" t="s">
        <v>1939</v>
      </c>
      <c r="P413" s="174" t="s">
        <v>23</v>
      </c>
      <c r="Q413" s="174" t="s">
        <v>133</v>
      </c>
      <c r="R413" s="175"/>
      <c r="S413" s="175"/>
      <c r="T413" s="175"/>
      <c r="U413" s="175"/>
      <c r="V413" s="174" t="s">
        <v>651</v>
      </c>
      <c r="W413" s="174" t="s">
        <v>650</v>
      </c>
      <c r="X413" s="174" t="s">
        <v>24</v>
      </c>
      <c r="Y413" s="174"/>
      <c r="Z413" s="174" t="s">
        <v>1933</v>
      </c>
      <c r="AA413" s="174" t="s">
        <v>483</v>
      </c>
      <c r="AB413" s="176">
        <v>43164.40216435185</v>
      </c>
      <c r="AC413" s="175"/>
      <c r="AD413" s="176">
        <v>43164.400497685187</v>
      </c>
      <c r="AE413" s="176">
        <v>43164.647766203707</v>
      </c>
      <c r="AF413" s="175"/>
    </row>
    <row r="414" spans="1:32" x14ac:dyDescent="0.25">
      <c r="A414" s="174" t="s">
        <v>461</v>
      </c>
      <c r="B414" s="174" t="s">
        <v>1940</v>
      </c>
      <c r="C414" s="174" t="s">
        <v>478</v>
      </c>
      <c r="D414" s="174" t="s">
        <v>1201</v>
      </c>
      <c r="E414" s="176">
        <v>43164</v>
      </c>
      <c r="F414" s="176">
        <v>43165</v>
      </c>
      <c r="G414" s="174" t="s">
        <v>1941</v>
      </c>
      <c r="H414" s="177" t="s">
        <v>466</v>
      </c>
      <c r="I414" s="174" t="s">
        <v>475</v>
      </c>
      <c r="J414" s="178">
        <v>13800000</v>
      </c>
      <c r="K414" s="178">
        <v>99.328125</v>
      </c>
      <c r="L414" s="178">
        <v>2.8278548634999998</v>
      </c>
      <c r="M414" s="178">
        <v>13727199.75828729</v>
      </c>
      <c r="N414" s="174" t="s">
        <v>337</v>
      </c>
      <c r="O414" s="174" t="s">
        <v>476</v>
      </c>
      <c r="P414" s="174" t="s">
        <v>23</v>
      </c>
      <c r="Q414" s="174" t="s">
        <v>133</v>
      </c>
      <c r="R414" s="175"/>
      <c r="S414" s="175"/>
      <c r="T414" s="175"/>
      <c r="U414" s="175"/>
      <c r="V414" s="174" t="s">
        <v>469</v>
      </c>
      <c r="W414" s="174" t="s">
        <v>1206</v>
      </c>
      <c r="X414" s="174" t="s">
        <v>24</v>
      </c>
      <c r="Y414" s="174"/>
      <c r="Z414" s="174" t="s">
        <v>1942</v>
      </c>
      <c r="AA414" s="174" t="s">
        <v>483</v>
      </c>
      <c r="AB414" s="176">
        <v>43164.386944444443</v>
      </c>
      <c r="AC414" s="175"/>
      <c r="AD414" s="176">
        <v>43164.6562962963</v>
      </c>
      <c r="AE414" s="176">
        <v>43164.6562962963</v>
      </c>
      <c r="AF414" s="175"/>
    </row>
    <row r="415" spans="1:32" x14ac:dyDescent="0.25">
      <c r="A415" s="174" t="s">
        <v>484</v>
      </c>
      <c r="B415" s="174" t="s">
        <v>1943</v>
      </c>
      <c r="C415" s="174" t="s">
        <v>478</v>
      </c>
      <c r="D415" s="174" t="s">
        <v>1201</v>
      </c>
      <c r="E415" s="176">
        <v>43164</v>
      </c>
      <c r="F415" s="176">
        <v>43166</v>
      </c>
      <c r="G415" s="174" t="s">
        <v>1941</v>
      </c>
      <c r="H415" s="179" t="s">
        <v>486</v>
      </c>
      <c r="I415" s="174" t="s">
        <v>1944</v>
      </c>
      <c r="J415" s="178">
        <v>18070000</v>
      </c>
      <c r="K415" s="178">
        <v>98.691000000000003</v>
      </c>
      <c r="L415" s="178">
        <v>3.3480616188000001</v>
      </c>
      <c r="M415" s="178">
        <v>-18102254.949999999</v>
      </c>
      <c r="N415" s="174" t="s">
        <v>337</v>
      </c>
      <c r="O415" s="174" t="s">
        <v>1945</v>
      </c>
      <c r="P415" s="174" t="s">
        <v>23</v>
      </c>
      <c r="Q415" s="174" t="s">
        <v>133</v>
      </c>
      <c r="R415" s="175"/>
      <c r="S415" s="175"/>
      <c r="T415" s="175"/>
      <c r="U415" s="175"/>
      <c r="V415" s="174" t="s">
        <v>489</v>
      </c>
      <c r="W415" s="174" t="s">
        <v>1206</v>
      </c>
      <c r="X415" s="174" t="s">
        <v>24</v>
      </c>
      <c r="Y415" s="174"/>
      <c r="Z415" s="174" t="s">
        <v>1942</v>
      </c>
      <c r="AA415" s="174" t="s">
        <v>483</v>
      </c>
      <c r="AB415" s="176">
        <v>43164.385277777779</v>
      </c>
      <c r="AC415" s="175"/>
      <c r="AD415" s="176">
        <v>43164.656307870369</v>
      </c>
      <c r="AE415" s="176">
        <v>43164.656307870369</v>
      </c>
      <c r="AF415" s="175"/>
    </row>
    <row r="416" spans="1:32" x14ac:dyDescent="0.25">
      <c r="A416" s="174" t="s">
        <v>461</v>
      </c>
      <c r="B416" s="174" t="s">
        <v>1946</v>
      </c>
      <c r="C416" s="174" t="s">
        <v>478</v>
      </c>
      <c r="D416" s="174" t="s">
        <v>600</v>
      </c>
      <c r="E416" s="176">
        <v>43164</v>
      </c>
      <c r="F416" s="176">
        <v>43165</v>
      </c>
      <c r="G416" s="174" t="s">
        <v>1941</v>
      </c>
      <c r="H416" s="177" t="s">
        <v>466</v>
      </c>
      <c r="I416" s="174" t="s">
        <v>475</v>
      </c>
      <c r="J416" s="178">
        <v>4550000</v>
      </c>
      <c r="K416" s="178">
        <v>98.875</v>
      </c>
      <c r="L416" s="178">
        <v>2.8807705845</v>
      </c>
      <c r="M416" s="178">
        <v>4505379.83425414</v>
      </c>
      <c r="N416" s="174" t="s">
        <v>337</v>
      </c>
      <c r="O416" s="174" t="s">
        <v>476</v>
      </c>
      <c r="P416" s="174" t="s">
        <v>23</v>
      </c>
      <c r="Q416" s="174" t="s">
        <v>133</v>
      </c>
      <c r="R416" s="175"/>
      <c r="S416" s="175"/>
      <c r="T416" s="175"/>
      <c r="U416" s="175"/>
      <c r="V416" s="174" t="s">
        <v>469</v>
      </c>
      <c r="W416" s="174" t="s">
        <v>604</v>
      </c>
      <c r="X416" s="174" t="s">
        <v>24</v>
      </c>
      <c r="Y416" s="174"/>
      <c r="Z416" s="174" t="s">
        <v>1947</v>
      </c>
      <c r="AA416" s="174" t="s">
        <v>483</v>
      </c>
      <c r="AB416" s="176">
        <v>43164.670104166667</v>
      </c>
      <c r="AC416" s="175"/>
      <c r="AD416" s="176">
        <v>43164.686793981484</v>
      </c>
      <c r="AE416" s="176">
        <v>43164.686793981484</v>
      </c>
      <c r="AF416" s="175"/>
    </row>
    <row r="417" spans="1:32" x14ac:dyDescent="0.25">
      <c r="A417" s="174" t="s">
        <v>461</v>
      </c>
      <c r="B417" s="174" t="s">
        <v>1948</v>
      </c>
      <c r="C417" s="174" t="s">
        <v>478</v>
      </c>
      <c r="D417" s="174" t="s">
        <v>582</v>
      </c>
      <c r="E417" s="176">
        <v>43164</v>
      </c>
      <c r="F417" s="176">
        <v>43165</v>
      </c>
      <c r="G417" s="174" t="s">
        <v>1941</v>
      </c>
      <c r="H417" s="177" t="s">
        <v>466</v>
      </c>
      <c r="I417" s="174" t="s">
        <v>543</v>
      </c>
      <c r="J417" s="178">
        <v>2512000</v>
      </c>
      <c r="K417" s="178">
        <v>92.21875</v>
      </c>
      <c r="L417" s="178">
        <v>3.1555047966999998</v>
      </c>
      <c r="M417" s="178">
        <v>2337716.98895028</v>
      </c>
      <c r="N417" s="174" t="s">
        <v>337</v>
      </c>
      <c r="O417" s="174" t="s">
        <v>544</v>
      </c>
      <c r="P417" s="174" t="s">
        <v>23</v>
      </c>
      <c r="Q417" s="174" t="s">
        <v>133</v>
      </c>
      <c r="R417" s="175"/>
      <c r="S417" s="175"/>
      <c r="T417" s="175"/>
      <c r="U417" s="175"/>
      <c r="V417" s="174" t="s">
        <v>469</v>
      </c>
      <c r="W417" s="174" t="s">
        <v>586</v>
      </c>
      <c r="X417" s="174" t="s">
        <v>24</v>
      </c>
      <c r="Y417" s="174"/>
      <c r="Z417" s="174" t="s">
        <v>1947</v>
      </c>
      <c r="AA417" s="174" t="s">
        <v>483</v>
      </c>
      <c r="AB417" s="176">
        <v>43164.676759259259</v>
      </c>
      <c r="AC417" s="175"/>
      <c r="AD417" s="176">
        <v>43164.686805555553</v>
      </c>
      <c r="AE417" s="176">
        <v>43164.686805555553</v>
      </c>
      <c r="AF417" s="175"/>
    </row>
    <row r="418" spans="1:32" x14ac:dyDescent="0.25">
      <c r="A418" s="174" t="s">
        <v>484</v>
      </c>
      <c r="B418" s="174" t="s">
        <v>1949</v>
      </c>
      <c r="C418" s="174" t="s">
        <v>478</v>
      </c>
      <c r="D418" s="174" t="s">
        <v>582</v>
      </c>
      <c r="E418" s="176">
        <v>43164</v>
      </c>
      <c r="F418" s="176">
        <v>43166</v>
      </c>
      <c r="G418" s="174" t="s">
        <v>1941</v>
      </c>
      <c r="H418" s="179" t="s">
        <v>486</v>
      </c>
      <c r="I418" s="174" t="s">
        <v>1950</v>
      </c>
      <c r="J418" s="178">
        <v>2730000</v>
      </c>
      <c r="K418" s="178">
        <v>98.885999999999996</v>
      </c>
      <c r="L418" s="178">
        <v>4.266015801</v>
      </c>
      <c r="M418" s="178">
        <v>-2701180.3</v>
      </c>
      <c r="N418" s="174" t="s">
        <v>337</v>
      </c>
      <c r="O418" s="174" t="s">
        <v>1951</v>
      </c>
      <c r="P418" s="174" t="s">
        <v>23</v>
      </c>
      <c r="Q418" s="174" t="s">
        <v>133</v>
      </c>
      <c r="R418" s="175"/>
      <c r="S418" s="175"/>
      <c r="T418" s="175"/>
      <c r="U418" s="175"/>
      <c r="V418" s="174" t="s">
        <v>489</v>
      </c>
      <c r="W418" s="174" t="s">
        <v>586</v>
      </c>
      <c r="X418" s="174" t="s">
        <v>24</v>
      </c>
      <c r="Y418" s="174"/>
      <c r="Z418" s="174" t="s">
        <v>1947</v>
      </c>
      <c r="AA418" s="174" t="s">
        <v>483</v>
      </c>
      <c r="AB418" s="176">
        <v>43164.676759259259</v>
      </c>
      <c r="AC418" s="175"/>
      <c r="AD418" s="176">
        <v>43164.68681712963</v>
      </c>
      <c r="AE418" s="176">
        <v>43164.68681712963</v>
      </c>
      <c r="AF418" s="175"/>
    </row>
    <row r="419" spans="1:32" x14ac:dyDescent="0.25">
      <c r="A419" s="174" t="s">
        <v>484</v>
      </c>
      <c r="B419" s="174" t="s">
        <v>1952</v>
      </c>
      <c r="C419" s="174" t="s">
        <v>478</v>
      </c>
      <c r="D419" s="174" t="s">
        <v>600</v>
      </c>
      <c r="E419" s="176">
        <v>43164</v>
      </c>
      <c r="F419" s="176">
        <v>43166</v>
      </c>
      <c r="G419" s="174" t="s">
        <v>1941</v>
      </c>
      <c r="H419" s="179" t="s">
        <v>486</v>
      </c>
      <c r="I419" s="174" t="s">
        <v>1953</v>
      </c>
      <c r="J419" s="178">
        <v>5000000</v>
      </c>
      <c r="K419" s="178">
        <v>95.105999999999995</v>
      </c>
      <c r="L419" s="178">
        <v>4.0110495549999996</v>
      </c>
      <c r="M419" s="178">
        <v>-4798272.2222222202</v>
      </c>
      <c r="N419" s="174" t="s">
        <v>337</v>
      </c>
      <c r="O419" s="174" t="s">
        <v>1954</v>
      </c>
      <c r="P419" s="174" t="s">
        <v>23</v>
      </c>
      <c r="Q419" s="174" t="s">
        <v>130</v>
      </c>
      <c r="R419" s="175"/>
      <c r="S419" s="175"/>
      <c r="T419" s="175"/>
      <c r="U419" s="175"/>
      <c r="V419" s="174" t="s">
        <v>633</v>
      </c>
      <c r="W419" s="174" t="s">
        <v>604</v>
      </c>
      <c r="X419" s="174" t="s">
        <v>24</v>
      </c>
      <c r="Y419" s="174"/>
      <c r="Z419" s="174" t="s">
        <v>1955</v>
      </c>
      <c r="AA419" s="174" t="s">
        <v>483</v>
      </c>
      <c r="AB419" s="175"/>
      <c r="AC419" s="175"/>
      <c r="AD419" s="176">
        <v>43164.687384259261</v>
      </c>
      <c r="AE419" s="176">
        <v>43164.687384259261</v>
      </c>
      <c r="AF419" s="175"/>
    </row>
    <row r="420" spans="1:32" x14ac:dyDescent="0.25">
      <c r="A420" s="174" t="s">
        <v>461</v>
      </c>
      <c r="B420" s="174" t="s">
        <v>1956</v>
      </c>
      <c r="C420" s="174" t="s">
        <v>478</v>
      </c>
      <c r="D420" s="174" t="s">
        <v>582</v>
      </c>
      <c r="E420" s="176">
        <v>43164</v>
      </c>
      <c r="F420" s="176">
        <v>43165</v>
      </c>
      <c r="G420" s="174" t="s">
        <v>1941</v>
      </c>
      <c r="H420" s="177" t="s">
        <v>466</v>
      </c>
      <c r="I420" s="174" t="s">
        <v>543</v>
      </c>
      <c r="J420" s="178">
        <v>837000</v>
      </c>
      <c r="K420" s="178">
        <v>92.21875</v>
      </c>
      <c r="L420" s="178">
        <v>3.1555047966999998</v>
      </c>
      <c r="M420" s="178">
        <v>778928.78970993997</v>
      </c>
      <c r="N420" s="174" t="s">
        <v>337</v>
      </c>
      <c r="O420" s="174" t="s">
        <v>544</v>
      </c>
      <c r="P420" s="174" t="s">
        <v>23</v>
      </c>
      <c r="Q420" s="174" t="s">
        <v>133</v>
      </c>
      <c r="R420" s="175"/>
      <c r="S420" s="175"/>
      <c r="T420" s="175"/>
      <c r="U420" s="175"/>
      <c r="V420" s="174" t="s">
        <v>469</v>
      </c>
      <c r="W420" s="174" t="s">
        <v>586</v>
      </c>
      <c r="X420" s="174" t="s">
        <v>24</v>
      </c>
      <c r="Y420" s="174"/>
      <c r="Z420" s="174" t="s">
        <v>1942</v>
      </c>
      <c r="AA420" s="174" t="s">
        <v>483</v>
      </c>
      <c r="AB420" s="176">
        <v>43164.683495370373</v>
      </c>
      <c r="AC420" s="175"/>
      <c r="AD420" s="176">
        <v>43164.703229166669</v>
      </c>
      <c r="AE420" s="176">
        <v>43164.703229166669</v>
      </c>
      <c r="AF420" s="175"/>
    </row>
    <row r="421" spans="1:32" x14ac:dyDescent="0.25">
      <c r="A421" s="174" t="s">
        <v>484</v>
      </c>
      <c r="B421" s="174" t="s">
        <v>1957</v>
      </c>
      <c r="C421" s="174" t="s">
        <v>478</v>
      </c>
      <c r="D421" s="174" t="s">
        <v>582</v>
      </c>
      <c r="E421" s="176">
        <v>43164</v>
      </c>
      <c r="F421" s="176">
        <v>43166</v>
      </c>
      <c r="G421" s="174" t="s">
        <v>1941</v>
      </c>
      <c r="H421" s="179" t="s">
        <v>486</v>
      </c>
      <c r="I421" s="174" t="s">
        <v>1950</v>
      </c>
      <c r="J421" s="178">
        <v>910000</v>
      </c>
      <c r="K421" s="178">
        <v>98.885999999999996</v>
      </c>
      <c r="L421" s="178">
        <v>4.266015801</v>
      </c>
      <c r="M421" s="178">
        <v>-900393.43333333009</v>
      </c>
      <c r="N421" s="174" t="s">
        <v>337</v>
      </c>
      <c r="O421" s="174" t="s">
        <v>1951</v>
      </c>
      <c r="P421" s="174" t="s">
        <v>23</v>
      </c>
      <c r="Q421" s="174" t="s">
        <v>133</v>
      </c>
      <c r="R421" s="175"/>
      <c r="S421" s="175"/>
      <c r="T421" s="175"/>
      <c r="U421" s="175"/>
      <c r="V421" s="174" t="s">
        <v>489</v>
      </c>
      <c r="W421" s="174" t="s">
        <v>586</v>
      </c>
      <c r="X421" s="174" t="s">
        <v>24</v>
      </c>
      <c r="Y421" s="174"/>
      <c r="Z421" s="174" t="s">
        <v>1942</v>
      </c>
      <c r="AA421" s="174" t="s">
        <v>483</v>
      </c>
      <c r="AB421" s="176">
        <v>43164.683495370373</v>
      </c>
      <c r="AC421" s="175"/>
      <c r="AD421" s="176">
        <v>43164.703240740739</v>
      </c>
      <c r="AE421" s="176">
        <v>43164.703240740739</v>
      </c>
      <c r="AF421" s="175"/>
    </row>
    <row r="422" spans="1:32" x14ac:dyDescent="0.25">
      <c r="A422" s="174" t="s">
        <v>461</v>
      </c>
      <c r="B422" s="174" t="s">
        <v>1958</v>
      </c>
      <c r="C422" s="174" t="s">
        <v>478</v>
      </c>
      <c r="D422" s="174" t="s">
        <v>768</v>
      </c>
      <c r="E422" s="176">
        <v>43164</v>
      </c>
      <c r="F422" s="176">
        <v>43165</v>
      </c>
      <c r="G422" s="174" t="s">
        <v>1959</v>
      </c>
      <c r="H422" s="177" t="s">
        <v>466</v>
      </c>
      <c r="I422" s="174" t="s">
        <v>475</v>
      </c>
      <c r="J422" s="178">
        <v>5300000</v>
      </c>
      <c r="K422" s="178">
        <v>98.84375</v>
      </c>
      <c r="L422" s="178">
        <v>2.8844301362999998</v>
      </c>
      <c r="M422" s="178">
        <v>5246368.61187845</v>
      </c>
      <c r="N422" s="174" t="s">
        <v>337</v>
      </c>
      <c r="O422" s="174" t="s">
        <v>476</v>
      </c>
      <c r="P422" s="174" t="s">
        <v>23</v>
      </c>
      <c r="Q422" s="174" t="s">
        <v>133</v>
      </c>
      <c r="R422" s="175"/>
      <c r="S422" s="175"/>
      <c r="T422" s="175"/>
      <c r="U422" s="175"/>
      <c r="V422" s="174" t="s">
        <v>469</v>
      </c>
      <c r="W422" s="174" t="s">
        <v>770</v>
      </c>
      <c r="X422" s="174" t="s">
        <v>24</v>
      </c>
      <c r="Y422" s="174"/>
      <c r="Z422" s="174" t="s">
        <v>1960</v>
      </c>
      <c r="AA422" s="174" t="s">
        <v>483</v>
      </c>
      <c r="AB422" s="176">
        <v>43164.626689814817</v>
      </c>
      <c r="AC422" s="175"/>
      <c r="AD422" s="176">
        <v>43164.719953703701</v>
      </c>
      <c r="AE422" s="176">
        <v>43164.719953703701</v>
      </c>
      <c r="AF422" s="175"/>
    </row>
    <row r="423" spans="1:32" x14ac:dyDescent="0.25">
      <c r="A423" s="174" t="s">
        <v>484</v>
      </c>
      <c r="B423" s="174" t="s">
        <v>1961</v>
      </c>
      <c r="C423" s="174" t="s">
        <v>478</v>
      </c>
      <c r="D423" s="174" t="s">
        <v>768</v>
      </c>
      <c r="E423" s="176">
        <v>43164</v>
      </c>
      <c r="F423" s="176">
        <v>43166</v>
      </c>
      <c r="G423" s="174" t="s">
        <v>1959</v>
      </c>
      <c r="H423" s="179" t="s">
        <v>486</v>
      </c>
      <c r="I423" s="174" t="s">
        <v>1962</v>
      </c>
      <c r="J423" s="178">
        <v>6050000</v>
      </c>
      <c r="K423" s="178">
        <v>92.418000000000006</v>
      </c>
      <c r="L423" s="178">
        <v>4.7139703298000004</v>
      </c>
      <c r="M423" s="178">
        <v>-5605153.5833333302</v>
      </c>
      <c r="N423" s="174" t="s">
        <v>337</v>
      </c>
      <c r="O423" s="174" t="s">
        <v>1963</v>
      </c>
      <c r="P423" s="174" t="s">
        <v>23</v>
      </c>
      <c r="Q423" s="174" t="s">
        <v>133</v>
      </c>
      <c r="R423" s="175"/>
      <c r="S423" s="175"/>
      <c r="T423" s="175"/>
      <c r="U423" s="175"/>
      <c r="V423" s="174" t="s">
        <v>489</v>
      </c>
      <c r="W423" s="174" t="s">
        <v>770</v>
      </c>
      <c r="X423" s="174" t="s">
        <v>24</v>
      </c>
      <c r="Y423" s="174"/>
      <c r="Z423" s="174" t="s">
        <v>1960</v>
      </c>
      <c r="AA423" s="174" t="s">
        <v>483</v>
      </c>
      <c r="AB423" s="176">
        <v>43164.626689814817</v>
      </c>
      <c r="AC423" s="175"/>
      <c r="AD423" s="176">
        <v>43164.719965277778</v>
      </c>
      <c r="AE423" s="176">
        <v>43164.719965277778</v>
      </c>
      <c r="AF423" s="175"/>
    </row>
    <row r="424" spans="1:32" x14ac:dyDescent="0.25">
      <c r="A424" s="174" t="s">
        <v>461</v>
      </c>
      <c r="B424" s="174" t="s">
        <v>1964</v>
      </c>
      <c r="C424" s="174" t="s">
        <v>566</v>
      </c>
      <c r="D424" s="174" t="s">
        <v>1362</v>
      </c>
      <c r="E424" s="176">
        <v>43164</v>
      </c>
      <c r="F424" s="176">
        <v>43166</v>
      </c>
      <c r="G424" s="174" t="s">
        <v>1965</v>
      </c>
      <c r="H424" s="177" t="s">
        <v>466</v>
      </c>
      <c r="I424" s="174" t="s">
        <v>1469</v>
      </c>
      <c r="J424" s="178">
        <v>7200000</v>
      </c>
      <c r="K424" s="178">
        <v>100.0134</v>
      </c>
      <c r="L424" s="178">
        <v>-2.6251250999999999E-3</v>
      </c>
      <c r="M424" s="178">
        <v>7200964.7999999998</v>
      </c>
      <c r="N424" s="174" t="s">
        <v>386</v>
      </c>
      <c r="O424" s="174" t="s">
        <v>1470</v>
      </c>
      <c r="P424" s="174" t="s">
        <v>23</v>
      </c>
      <c r="Q424" s="174" t="s">
        <v>130</v>
      </c>
      <c r="R424" s="175"/>
      <c r="S424" s="175"/>
      <c r="T424" s="175"/>
      <c r="U424" s="175"/>
      <c r="V424" s="174" t="s">
        <v>575</v>
      </c>
      <c r="W424" s="174" t="s">
        <v>1367</v>
      </c>
      <c r="X424" s="174" t="s">
        <v>24</v>
      </c>
      <c r="Y424" s="174"/>
      <c r="Z424" s="174" t="s">
        <v>794</v>
      </c>
      <c r="AA424" s="174" t="s">
        <v>795</v>
      </c>
      <c r="AB424" s="175"/>
      <c r="AC424" s="175"/>
      <c r="AD424" s="176">
        <v>43164.38559027778</v>
      </c>
      <c r="AE424" s="176">
        <v>43164.38559027778</v>
      </c>
      <c r="AF424" s="175"/>
    </row>
    <row r="425" spans="1:32" x14ac:dyDescent="0.25">
      <c r="A425" s="174" t="s">
        <v>461</v>
      </c>
      <c r="B425" s="174" t="s">
        <v>1966</v>
      </c>
      <c r="C425" s="174" t="s">
        <v>566</v>
      </c>
      <c r="D425" s="174" t="s">
        <v>1362</v>
      </c>
      <c r="E425" s="176">
        <v>43164</v>
      </c>
      <c r="F425" s="176">
        <v>43166</v>
      </c>
      <c r="G425" s="174" t="s">
        <v>1965</v>
      </c>
      <c r="H425" s="177" t="s">
        <v>466</v>
      </c>
      <c r="I425" s="174" t="s">
        <v>1364</v>
      </c>
      <c r="J425" s="178">
        <v>7200000</v>
      </c>
      <c r="K425" s="178">
        <v>107.7004</v>
      </c>
      <c r="L425" s="178">
        <v>-5.4613296800000002E-2</v>
      </c>
      <c r="M425" s="178">
        <v>7760346.6082191803</v>
      </c>
      <c r="N425" s="174" t="s">
        <v>386</v>
      </c>
      <c r="O425" s="174" t="s">
        <v>1365</v>
      </c>
      <c r="P425" s="174" t="s">
        <v>23</v>
      </c>
      <c r="Q425" s="174" t="s">
        <v>130</v>
      </c>
      <c r="R425" s="175"/>
      <c r="S425" s="175"/>
      <c r="T425" s="175"/>
      <c r="U425" s="175"/>
      <c r="V425" s="174" t="s">
        <v>575</v>
      </c>
      <c r="W425" s="174" t="s">
        <v>1367</v>
      </c>
      <c r="X425" s="174" t="s">
        <v>24</v>
      </c>
      <c r="Y425" s="174"/>
      <c r="Z425" s="174" t="s">
        <v>794</v>
      </c>
      <c r="AA425" s="174" t="s">
        <v>816</v>
      </c>
      <c r="AB425" s="175"/>
      <c r="AC425" s="175"/>
      <c r="AD425" s="176">
        <v>43165.175312500003</v>
      </c>
      <c r="AE425" s="176">
        <v>43165.175312500003</v>
      </c>
      <c r="AF425" s="175"/>
    </row>
    <row r="426" spans="1:32" x14ac:dyDescent="0.25">
      <c r="A426" s="174" t="s">
        <v>484</v>
      </c>
      <c r="B426" s="174" t="s">
        <v>1967</v>
      </c>
      <c r="C426" s="174" t="s">
        <v>566</v>
      </c>
      <c r="D426" s="174" t="s">
        <v>698</v>
      </c>
      <c r="E426" s="176">
        <v>43164</v>
      </c>
      <c r="F426" s="176">
        <v>43166</v>
      </c>
      <c r="G426" s="174" t="s">
        <v>1968</v>
      </c>
      <c r="H426" s="179" t="s">
        <v>486</v>
      </c>
      <c r="I426" s="174" t="s">
        <v>1825</v>
      </c>
      <c r="J426" s="178">
        <v>2000000</v>
      </c>
      <c r="K426" s="178">
        <v>103.25</v>
      </c>
      <c r="L426" s="178">
        <v>2.6727695303000001</v>
      </c>
      <c r="M426" s="178">
        <v>-2087930.5555555599</v>
      </c>
      <c r="N426" s="174" t="s">
        <v>386</v>
      </c>
      <c r="O426" s="174" t="s">
        <v>1826</v>
      </c>
      <c r="P426" s="174" t="s">
        <v>22</v>
      </c>
      <c r="Q426" s="174" t="s">
        <v>129</v>
      </c>
      <c r="R426" s="174" t="s">
        <v>1969</v>
      </c>
      <c r="S426" s="174" t="s">
        <v>132</v>
      </c>
      <c r="T426" s="175"/>
      <c r="U426" s="175"/>
      <c r="V426" s="174" t="s">
        <v>1828</v>
      </c>
      <c r="W426" s="174" t="s">
        <v>703</v>
      </c>
      <c r="X426" s="174" t="s">
        <v>22</v>
      </c>
      <c r="Y426" s="174"/>
      <c r="Z426" s="175"/>
      <c r="AA426" s="174" t="s">
        <v>512</v>
      </c>
      <c r="AB426" s="176">
        <v>43164.268252314818</v>
      </c>
      <c r="AC426" s="174" t="s">
        <v>1969</v>
      </c>
      <c r="AD426" s="176">
        <v>43164.261412037034</v>
      </c>
      <c r="AE426" s="176">
        <v>43164.261493055557</v>
      </c>
      <c r="AF426" s="175"/>
    </row>
    <row r="427" spans="1:32" x14ac:dyDescent="0.25">
      <c r="A427" s="174" t="s">
        <v>484</v>
      </c>
      <c r="B427" s="174" t="s">
        <v>1970</v>
      </c>
      <c r="C427" s="174" t="s">
        <v>478</v>
      </c>
      <c r="D427" s="174" t="s">
        <v>535</v>
      </c>
      <c r="E427" s="176">
        <v>43164</v>
      </c>
      <c r="F427" s="176">
        <v>43166</v>
      </c>
      <c r="G427" s="174" t="s">
        <v>1968</v>
      </c>
      <c r="H427" s="179" t="s">
        <v>486</v>
      </c>
      <c r="I427" s="174" t="s">
        <v>1971</v>
      </c>
      <c r="J427" s="178">
        <v>5000000</v>
      </c>
      <c r="K427" s="178">
        <v>96.590999999999994</v>
      </c>
      <c r="L427" s="178">
        <v>4.9170075635000003</v>
      </c>
      <c r="M427" s="178">
        <v>-4848480.5555555606</v>
      </c>
      <c r="N427" s="174" t="s">
        <v>337</v>
      </c>
      <c r="O427" s="174" t="s">
        <v>1972</v>
      </c>
      <c r="P427" s="174" t="s">
        <v>22</v>
      </c>
      <c r="Q427" s="174" t="s">
        <v>129</v>
      </c>
      <c r="R427" s="174" t="s">
        <v>1973</v>
      </c>
      <c r="S427" s="174" t="s">
        <v>132</v>
      </c>
      <c r="T427" s="175"/>
      <c r="U427" s="175"/>
      <c r="V427" s="174" t="s">
        <v>489</v>
      </c>
      <c r="W427" s="174" t="s">
        <v>540</v>
      </c>
      <c r="X427" s="174" t="s">
        <v>22</v>
      </c>
      <c r="Y427" s="174"/>
      <c r="Z427" s="175"/>
      <c r="AA427" s="174" t="s">
        <v>541</v>
      </c>
      <c r="AB427" s="176">
        <v>43164.428738425922</v>
      </c>
      <c r="AC427" s="174" t="s">
        <v>1973</v>
      </c>
      <c r="AD427" s="176">
        <v>43164.423125000001</v>
      </c>
      <c r="AE427" s="176">
        <v>43164.423125000001</v>
      </c>
      <c r="AF427" s="175"/>
    </row>
    <row r="428" spans="1:32" x14ac:dyDescent="0.25">
      <c r="A428" s="174" t="s">
        <v>461</v>
      </c>
      <c r="B428" s="174" t="s">
        <v>1974</v>
      </c>
      <c r="C428" s="174" t="s">
        <v>478</v>
      </c>
      <c r="D428" s="174" t="s">
        <v>535</v>
      </c>
      <c r="E428" s="176">
        <v>43164</v>
      </c>
      <c r="F428" s="176">
        <v>43165</v>
      </c>
      <c r="G428" s="174" t="s">
        <v>1968</v>
      </c>
      <c r="H428" s="177" t="s">
        <v>466</v>
      </c>
      <c r="I428" s="174" t="s">
        <v>543</v>
      </c>
      <c r="J428" s="178">
        <v>4100000</v>
      </c>
      <c r="K428" s="178">
        <v>92.734375</v>
      </c>
      <c r="L428" s="178">
        <v>3.1272777968000001</v>
      </c>
      <c r="M428" s="178">
        <v>3836681.8888121499</v>
      </c>
      <c r="N428" s="174" t="s">
        <v>337</v>
      </c>
      <c r="O428" s="174" t="s">
        <v>544</v>
      </c>
      <c r="P428" s="174" t="s">
        <v>22</v>
      </c>
      <c r="Q428" s="174" t="s">
        <v>129</v>
      </c>
      <c r="R428" s="174" t="s">
        <v>1975</v>
      </c>
      <c r="S428" s="174" t="s">
        <v>132</v>
      </c>
      <c r="T428" s="175"/>
      <c r="U428" s="175"/>
      <c r="V428" s="174" t="s">
        <v>469</v>
      </c>
      <c r="W428" s="174" t="s">
        <v>540</v>
      </c>
      <c r="X428" s="174" t="s">
        <v>22</v>
      </c>
      <c r="Y428" s="174"/>
      <c r="Z428" s="175"/>
      <c r="AA428" s="174" t="s">
        <v>541</v>
      </c>
      <c r="AB428" s="176">
        <v>43164.428738425922</v>
      </c>
      <c r="AC428" s="174" t="s">
        <v>1975</v>
      </c>
      <c r="AD428" s="176">
        <v>43164.42324074074</v>
      </c>
      <c r="AE428" s="176">
        <v>43164.42324074074</v>
      </c>
      <c r="AF428" s="175"/>
    </row>
    <row r="429" spans="1:32" x14ac:dyDescent="0.25">
      <c r="A429" s="174" t="s">
        <v>484</v>
      </c>
      <c r="B429" s="174" t="s">
        <v>1976</v>
      </c>
      <c r="C429" s="174" t="s">
        <v>478</v>
      </c>
      <c r="D429" s="174" t="s">
        <v>479</v>
      </c>
      <c r="E429" s="176">
        <v>43164</v>
      </c>
      <c r="F429" s="176">
        <v>43166</v>
      </c>
      <c r="G429" s="174" t="s">
        <v>1968</v>
      </c>
      <c r="H429" s="179" t="s">
        <v>486</v>
      </c>
      <c r="I429" s="174" t="s">
        <v>637</v>
      </c>
      <c r="J429" s="178">
        <v>1820000</v>
      </c>
      <c r="K429" s="178">
        <v>96.814999999999998</v>
      </c>
      <c r="L429" s="178">
        <v>3.9239591496999999</v>
      </c>
      <c r="M429" s="178">
        <v>-1762917.7222222199</v>
      </c>
      <c r="N429" s="174" t="s">
        <v>337</v>
      </c>
      <c r="O429" s="174" t="s">
        <v>638</v>
      </c>
      <c r="P429" s="174" t="s">
        <v>23</v>
      </c>
      <c r="Q429" s="174" t="s">
        <v>129</v>
      </c>
      <c r="R429" s="175"/>
      <c r="S429" s="175"/>
      <c r="T429" s="175"/>
      <c r="U429" s="175"/>
      <c r="V429" s="174" t="s">
        <v>640</v>
      </c>
      <c r="W429" s="174" t="s">
        <v>481</v>
      </c>
      <c r="X429" s="174" t="s">
        <v>24</v>
      </c>
      <c r="Y429" s="174"/>
      <c r="Z429" s="174" t="s">
        <v>1977</v>
      </c>
      <c r="AA429" s="174" t="s">
        <v>483</v>
      </c>
      <c r="AB429" s="176">
        <v>43164.695775462962</v>
      </c>
      <c r="AC429" s="175"/>
      <c r="AD429" s="176">
        <v>43164.730474537035</v>
      </c>
      <c r="AE429" s="176">
        <v>43164.730474537035</v>
      </c>
      <c r="AF429" s="175"/>
    </row>
    <row r="430" spans="1:32" x14ac:dyDescent="0.25">
      <c r="A430" s="174" t="s">
        <v>461</v>
      </c>
      <c r="B430" s="174" t="s">
        <v>1978</v>
      </c>
      <c r="C430" s="174" t="s">
        <v>478</v>
      </c>
      <c r="D430" s="174" t="s">
        <v>479</v>
      </c>
      <c r="E430" s="176">
        <v>43164</v>
      </c>
      <c r="F430" s="176">
        <v>43165</v>
      </c>
      <c r="G430" s="174" t="s">
        <v>1968</v>
      </c>
      <c r="H430" s="177" t="s">
        <v>466</v>
      </c>
      <c r="I430" s="174" t="s">
        <v>475</v>
      </c>
      <c r="J430" s="178">
        <v>1547000</v>
      </c>
      <c r="K430" s="178">
        <v>98.84375</v>
      </c>
      <c r="L430" s="178">
        <v>2.8844301362999998</v>
      </c>
      <c r="M430" s="178">
        <v>1531345.70614641</v>
      </c>
      <c r="N430" s="174" t="s">
        <v>337</v>
      </c>
      <c r="O430" s="174" t="s">
        <v>476</v>
      </c>
      <c r="P430" s="174" t="s">
        <v>23</v>
      </c>
      <c r="Q430" s="174" t="s">
        <v>129</v>
      </c>
      <c r="R430" s="175"/>
      <c r="S430" s="175"/>
      <c r="T430" s="175"/>
      <c r="U430" s="175"/>
      <c r="V430" s="174" t="s">
        <v>469</v>
      </c>
      <c r="W430" s="174" t="s">
        <v>481</v>
      </c>
      <c r="X430" s="174" t="s">
        <v>24</v>
      </c>
      <c r="Y430" s="174"/>
      <c r="Z430" s="174" t="s">
        <v>1977</v>
      </c>
      <c r="AA430" s="174" t="s">
        <v>483</v>
      </c>
      <c r="AB430" s="176">
        <v>43164.695775462962</v>
      </c>
      <c r="AC430" s="175"/>
      <c r="AD430" s="176">
        <v>43164.730474537035</v>
      </c>
      <c r="AE430" s="176">
        <v>43164.730474537035</v>
      </c>
      <c r="AF430" s="175"/>
    </row>
    <row r="431" spans="1:32" x14ac:dyDescent="0.25">
      <c r="A431" s="174" t="s">
        <v>484</v>
      </c>
      <c r="B431" s="174" t="s">
        <v>1979</v>
      </c>
      <c r="C431" s="174" t="s">
        <v>478</v>
      </c>
      <c r="D431" s="174" t="s">
        <v>491</v>
      </c>
      <c r="E431" s="176">
        <v>43164</v>
      </c>
      <c r="F431" s="176">
        <v>43166</v>
      </c>
      <c r="G431" s="174" t="s">
        <v>1968</v>
      </c>
      <c r="H431" s="177" t="s">
        <v>466</v>
      </c>
      <c r="I431" s="174" t="s">
        <v>763</v>
      </c>
      <c r="J431" s="178">
        <v>4550000</v>
      </c>
      <c r="K431" s="178">
        <v>100.25</v>
      </c>
      <c r="L431" s="178">
        <v>6.2104153841</v>
      </c>
      <c r="M431" s="178">
        <v>4566114.5833333302</v>
      </c>
      <c r="N431" s="174" t="s">
        <v>337</v>
      </c>
      <c r="O431" s="174" t="s">
        <v>764</v>
      </c>
      <c r="P431" s="174" t="s">
        <v>23</v>
      </c>
      <c r="Q431" s="174" t="s">
        <v>129</v>
      </c>
      <c r="R431" s="175"/>
      <c r="S431" s="175"/>
      <c r="T431" s="175"/>
      <c r="U431" s="175"/>
      <c r="V431" s="174" t="s">
        <v>766</v>
      </c>
      <c r="W431" s="174" t="s">
        <v>494</v>
      </c>
      <c r="X431" s="174" t="s">
        <v>24</v>
      </c>
      <c r="Y431" s="174"/>
      <c r="Z431" s="174" t="s">
        <v>1977</v>
      </c>
      <c r="AA431" s="174" t="s">
        <v>483</v>
      </c>
      <c r="AB431" s="176">
        <v>43164.695775462962</v>
      </c>
      <c r="AC431" s="175"/>
      <c r="AD431" s="176">
        <v>43164.730486111112</v>
      </c>
      <c r="AE431" s="176">
        <v>43164.730486111112</v>
      </c>
      <c r="AF431" s="175"/>
    </row>
    <row r="432" spans="1:32" x14ac:dyDescent="0.25">
      <c r="A432" s="174" t="s">
        <v>461</v>
      </c>
      <c r="B432" s="174" t="s">
        <v>1980</v>
      </c>
      <c r="C432" s="174" t="s">
        <v>497</v>
      </c>
      <c r="D432" s="174" t="s">
        <v>1057</v>
      </c>
      <c r="E432" s="176">
        <v>43164</v>
      </c>
      <c r="F432" s="176">
        <v>43166</v>
      </c>
      <c r="G432" s="174" t="s">
        <v>1981</v>
      </c>
      <c r="H432" s="177" t="s">
        <v>466</v>
      </c>
      <c r="I432" s="174" t="s">
        <v>1982</v>
      </c>
      <c r="J432" s="178">
        <v>18000000</v>
      </c>
      <c r="K432" s="178">
        <v>100.39042999999999</v>
      </c>
      <c r="L432" s="178">
        <v>-0.40696362629999999</v>
      </c>
      <c r="M432" s="178">
        <v>18070277.399999999</v>
      </c>
      <c r="N432" s="174" t="s">
        <v>386</v>
      </c>
      <c r="O432" s="174" t="s">
        <v>1983</v>
      </c>
      <c r="P432" s="174" t="s">
        <v>22</v>
      </c>
      <c r="Q432" s="174" t="s">
        <v>129</v>
      </c>
      <c r="R432" s="174" t="s">
        <v>1984</v>
      </c>
      <c r="S432" s="174" t="s">
        <v>132</v>
      </c>
      <c r="T432" s="175"/>
      <c r="U432" s="175"/>
      <c r="V432" s="174" t="s">
        <v>1062</v>
      </c>
      <c r="W432" s="174" t="s">
        <v>1063</v>
      </c>
      <c r="X432" s="174" t="s">
        <v>22</v>
      </c>
      <c r="Y432" s="174"/>
      <c r="Z432" s="175"/>
      <c r="AA432" s="174" t="s">
        <v>512</v>
      </c>
      <c r="AB432" s="176">
        <v>43164.281215277777</v>
      </c>
      <c r="AC432" s="174" t="s">
        <v>1984</v>
      </c>
      <c r="AD432" s="176">
        <v>43164.279942129629</v>
      </c>
      <c r="AE432" s="176">
        <v>43164.279988425929</v>
      </c>
      <c r="AF432" s="175"/>
    </row>
    <row r="433" spans="1:32" x14ac:dyDescent="0.25">
      <c r="A433" s="174" t="s">
        <v>461</v>
      </c>
      <c r="B433" s="174" t="s">
        <v>1985</v>
      </c>
      <c r="C433" s="174" t="s">
        <v>853</v>
      </c>
      <c r="D433" s="174" t="s">
        <v>837</v>
      </c>
      <c r="E433" s="176">
        <v>43164</v>
      </c>
      <c r="F433" s="176">
        <v>43166</v>
      </c>
      <c r="G433" s="174" t="s">
        <v>1981</v>
      </c>
      <c r="H433" s="179" t="s">
        <v>486</v>
      </c>
      <c r="I433" s="174" t="s">
        <v>1986</v>
      </c>
      <c r="J433" s="178">
        <v>10000000</v>
      </c>
      <c r="K433" s="178">
        <v>93.15</v>
      </c>
      <c r="L433" s="178">
        <v>11.7150351425</v>
      </c>
      <c r="M433" s="178">
        <v>-9355384.6153846215</v>
      </c>
      <c r="N433" s="174" t="s">
        <v>1987</v>
      </c>
      <c r="O433" s="174" t="s">
        <v>1988</v>
      </c>
      <c r="P433" s="174" t="s">
        <v>22</v>
      </c>
      <c r="Q433" s="174" t="s">
        <v>129</v>
      </c>
      <c r="R433" s="174" t="s">
        <v>1989</v>
      </c>
      <c r="S433" s="174" t="s">
        <v>132</v>
      </c>
      <c r="T433" s="175"/>
      <c r="U433" s="175"/>
      <c r="V433" s="174" t="s">
        <v>1990</v>
      </c>
      <c r="W433" s="174" t="s">
        <v>1991</v>
      </c>
      <c r="X433" s="174" t="s">
        <v>22</v>
      </c>
      <c r="Y433" s="174"/>
      <c r="Z433" s="175"/>
      <c r="AA433" s="174" t="s">
        <v>1992</v>
      </c>
      <c r="AB433" s="176">
        <v>43164.351307870369</v>
      </c>
      <c r="AC433" s="174" t="s">
        <v>1989</v>
      </c>
      <c r="AD433" s="176">
        <v>43164.345659722225</v>
      </c>
      <c r="AE433" s="176">
        <v>43164.345659722225</v>
      </c>
      <c r="AF433" s="175"/>
    </row>
    <row r="434" spans="1:32" x14ac:dyDescent="0.25">
      <c r="A434" s="174" t="s">
        <v>461</v>
      </c>
      <c r="B434" s="174" t="s">
        <v>1993</v>
      </c>
      <c r="C434" s="174" t="s">
        <v>497</v>
      </c>
      <c r="D434" s="174" t="s">
        <v>1057</v>
      </c>
      <c r="E434" s="176">
        <v>43164</v>
      </c>
      <c r="F434" s="176">
        <v>43166</v>
      </c>
      <c r="G434" s="174" t="s">
        <v>1981</v>
      </c>
      <c r="H434" s="177" t="s">
        <v>466</v>
      </c>
      <c r="I434" s="174" t="s">
        <v>1982</v>
      </c>
      <c r="J434" s="178">
        <v>14400000</v>
      </c>
      <c r="K434" s="178">
        <v>100.39331871</v>
      </c>
      <c r="L434" s="178">
        <v>-0.41</v>
      </c>
      <c r="M434" s="178">
        <v>14456637.894239999</v>
      </c>
      <c r="N434" s="174" t="s">
        <v>386</v>
      </c>
      <c r="O434" s="174" t="s">
        <v>1983</v>
      </c>
      <c r="P434" s="174" t="s">
        <v>22</v>
      </c>
      <c r="Q434" s="174" t="s">
        <v>129</v>
      </c>
      <c r="R434" s="174" t="s">
        <v>1994</v>
      </c>
      <c r="S434" s="174" t="s">
        <v>132</v>
      </c>
      <c r="T434" s="175"/>
      <c r="U434" s="175"/>
      <c r="V434" s="174" t="s">
        <v>1062</v>
      </c>
      <c r="W434" s="174" t="s">
        <v>1063</v>
      </c>
      <c r="X434" s="174" t="s">
        <v>22</v>
      </c>
      <c r="Y434" s="174"/>
      <c r="Z434" s="175"/>
      <c r="AA434" s="174" t="s">
        <v>1378</v>
      </c>
      <c r="AB434" s="176">
        <v>43164.287175925929</v>
      </c>
      <c r="AC434" s="174" t="s">
        <v>1994</v>
      </c>
      <c r="AD434" s="176">
        <v>43164.414409722223</v>
      </c>
      <c r="AE434" s="176">
        <v>43164.414409722223</v>
      </c>
      <c r="AF434" s="175"/>
    </row>
    <row r="435" spans="1:32" x14ac:dyDescent="0.25">
      <c r="A435" s="174" t="s">
        <v>461</v>
      </c>
      <c r="B435" s="174" t="s">
        <v>1995</v>
      </c>
      <c r="C435" s="174" t="s">
        <v>463</v>
      </c>
      <c r="D435" s="174" t="s">
        <v>806</v>
      </c>
      <c r="E435" s="176">
        <v>43164</v>
      </c>
      <c r="F435" s="176">
        <v>43165</v>
      </c>
      <c r="G435" s="174" t="s">
        <v>1996</v>
      </c>
      <c r="H435" s="177" t="s">
        <v>466</v>
      </c>
      <c r="I435" s="174" t="s">
        <v>524</v>
      </c>
      <c r="J435" s="178">
        <v>54325000</v>
      </c>
      <c r="K435" s="178">
        <v>99.5</v>
      </c>
      <c r="L435" s="178">
        <v>2.4265748014000001</v>
      </c>
      <c r="M435" s="178">
        <v>54117529.523480661</v>
      </c>
      <c r="N435" s="174" t="s">
        <v>337</v>
      </c>
      <c r="O435" s="174" t="s">
        <v>525</v>
      </c>
      <c r="P435" s="174" t="s">
        <v>22</v>
      </c>
      <c r="Q435" s="174" t="s">
        <v>129</v>
      </c>
      <c r="R435" s="174" t="s">
        <v>1997</v>
      </c>
      <c r="S435" s="174" t="s">
        <v>132</v>
      </c>
      <c r="T435" s="175"/>
      <c r="U435" s="175"/>
      <c r="V435" s="174" t="s">
        <v>469</v>
      </c>
      <c r="W435" s="174" t="s">
        <v>809</v>
      </c>
      <c r="X435" s="174" t="s">
        <v>22</v>
      </c>
      <c r="Y435" s="174"/>
      <c r="Z435" s="175"/>
      <c r="AA435" s="174" t="s">
        <v>512</v>
      </c>
      <c r="AB435" s="176">
        <v>43164.512592592589</v>
      </c>
      <c r="AC435" s="174" t="s">
        <v>1997</v>
      </c>
      <c r="AD435" s="176">
        <v>43164.508622685185</v>
      </c>
      <c r="AE435" s="176">
        <v>43164.508715277778</v>
      </c>
      <c r="AF435" s="175"/>
    </row>
    <row r="436" spans="1:32" x14ac:dyDescent="0.25">
      <c r="A436" s="174" t="s">
        <v>461</v>
      </c>
      <c r="B436" s="174" t="s">
        <v>1998</v>
      </c>
      <c r="C436" s="174" t="s">
        <v>463</v>
      </c>
      <c r="D436" s="174" t="s">
        <v>806</v>
      </c>
      <c r="E436" s="176">
        <v>43164</v>
      </c>
      <c r="F436" s="176">
        <v>43165</v>
      </c>
      <c r="G436" s="174" t="s">
        <v>1996</v>
      </c>
      <c r="H436" s="179" t="s">
        <v>486</v>
      </c>
      <c r="I436" s="174" t="s">
        <v>1303</v>
      </c>
      <c r="J436" s="178">
        <v>50000000</v>
      </c>
      <c r="K436" s="178">
        <v>98.484375</v>
      </c>
      <c r="L436" s="178">
        <v>2.4898560397999998</v>
      </c>
      <c r="M436" s="178">
        <v>-49505923.763736263</v>
      </c>
      <c r="N436" s="174" t="s">
        <v>337</v>
      </c>
      <c r="O436" s="174" t="s">
        <v>1304</v>
      </c>
      <c r="P436" s="174" t="s">
        <v>22</v>
      </c>
      <c r="Q436" s="174" t="s">
        <v>129</v>
      </c>
      <c r="R436" s="174" t="s">
        <v>1999</v>
      </c>
      <c r="S436" s="174" t="s">
        <v>132</v>
      </c>
      <c r="T436" s="175"/>
      <c r="U436" s="175"/>
      <c r="V436" s="174" t="s">
        <v>469</v>
      </c>
      <c r="W436" s="174" t="s">
        <v>809</v>
      </c>
      <c r="X436" s="174" t="s">
        <v>22</v>
      </c>
      <c r="Y436" s="174"/>
      <c r="Z436" s="175"/>
      <c r="AA436" s="174" t="s">
        <v>512</v>
      </c>
      <c r="AB436" s="176">
        <v>43164.512592592589</v>
      </c>
      <c r="AC436" s="174" t="s">
        <v>1999</v>
      </c>
      <c r="AD436" s="176">
        <v>43164.509097222224</v>
      </c>
      <c r="AE436" s="176">
        <v>43164.509155092594</v>
      </c>
      <c r="AF436" s="175"/>
    </row>
    <row r="437" spans="1:32" x14ac:dyDescent="0.25">
      <c r="A437" s="174" t="s">
        <v>484</v>
      </c>
      <c r="B437" s="174" t="s">
        <v>2000</v>
      </c>
      <c r="C437" s="174" t="s">
        <v>478</v>
      </c>
      <c r="D437" s="174" t="s">
        <v>600</v>
      </c>
      <c r="E437" s="176">
        <v>43164</v>
      </c>
      <c r="F437" s="176">
        <v>43166</v>
      </c>
      <c r="G437" s="174" t="s">
        <v>1996</v>
      </c>
      <c r="H437" s="179" t="s">
        <v>486</v>
      </c>
      <c r="I437" s="174" t="s">
        <v>601</v>
      </c>
      <c r="J437" s="178">
        <v>3400000</v>
      </c>
      <c r="K437" s="178">
        <v>100.61799999999999</v>
      </c>
      <c r="L437" s="178">
        <v>4.3369978003999998</v>
      </c>
      <c r="M437" s="178">
        <v>-3439605.75</v>
      </c>
      <c r="N437" s="174" t="s">
        <v>337</v>
      </c>
      <c r="O437" s="174" t="s">
        <v>602</v>
      </c>
      <c r="P437" s="174" t="s">
        <v>22</v>
      </c>
      <c r="Q437" s="174" t="s">
        <v>129</v>
      </c>
      <c r="R437" s="174" t="s">
        <v>2001</v>
      </c>
      <c r="S437" s="174" t="s">
        <v>132</v>
      </c>
      <c r="T437" s="175"/>
      <c r="U437" s="175"/>
      <c r="V437" s="174" t="s">
        <v>489</v>
      </c>
      <c r="W437" s="174" t="s">
        <v>604</v>
      </c>
      <c r="X437" s="174" t="s">
        <v>22</v>
      </c>
      <c r="Y437" s="174"/>
      <c r="Z437" s="175"/>
      <c r="AA437" s="174" t="s">
        <v>512</v>
      </c>
      <c r="AB437" s="176">
        <v>43164.584733796299</v>
      </c>
      <c r="AC437" s="174" t="s">
        <v>2001</v>
      </c>
      <c r="AD437" s="176">
        <v>43164.580868055556</v>
      </c>
      <c r="AE437" s="176">
        <v>43164.58090277778</v>
      </c>
      <c r="AF437" s="175"/>
    </row>
    <row r="438" spans="1:32" x14ac:dyDescent="0.25">
      <c r="A438" s="174" t="s">
        <v>461</v>
      </c>
      <c r="B438" s="174" t="s">
        <v>2002</v>
      </c>
      <c r="C438" s="174" t="s">
        <v>478</v>
      </c>
      <c r="D438" s="174" t="s">
        <v>600</v>
      </c>
      <c r="E438" s="176">
        <v>43164</v>
      </c>
      <c r="F438" s="176">
        <v>43165</v>
      </c>
      <c r="G438" s="174" t="s">
        <v>1996</v>
      </c>
      <c r="H438" s="177" t="s">
        <v>466</v>
      </c>
      <c r="I438" s="174" t="s">
        <v>543</v>
      </c>
      <c r="J438" s="178">
        <v>3100000</v>
      </c>
      <c r="K438" s="178">
        <v>92.015625</v>
      </c>
      <c r="L438" s="178">
        <v>3.1666808273</v>
      </c>
      <c r="M438" s="178">
        <v>2878624.56837017</v>
      </c>
      <c r="N438" s="174" t="s">
        <v>337</v>
      </c>
      <c r="O438" s="174" t="s">
        <v>544</v>
      </c>
      <c r="P438" s="174" t="s">
        <v>22</v>
      </c>
      <c r="Q438" s="174" t="s">
        <v>129</v>
      </c>
      <c r="R438" s="174" t="s">
        <v>2003</v>
      </c>
      <c r="S438" s="174" t="s">
        <v>132</v>
      </c>
      <c r="T438" s="175"/>
      <c r="U438" s="175"/>
      <c r="V438" s="174" t="s">
        <v>469</v>
      </c>
      <c r="W438" s="174" t="s">
        <v>604</v>
      </c>
      <c r="X438" s="174" t="s">
        <v>22</v>
      </c>
      <c r="Y438" s="174"/>
      <c r="Z438" s="175"/>
      <c r="AA438" s="174" t="s">
        <v>512</v>
      </c>
      <c r="AB438" s="176">
        <v>43164.584733796299</v>
      </c>
      <c r="AC438" s="174" t="s">
        <v>2003</v>
      </c>
      <c r="AD438" s="176">
        <v>43164.580891203703</v>
      </c>
      <c r="AE438" s="176">
        <v>43164.580949074072</v>
      </c>
      <c r="AF438" s="175"/>
    </row>
    <row r="439" spans="1:32" x14ac:dyDescent="0.25">
      <c r="A439" s="174" t="s">
        <v>461</v>
      </c>
      <c r="B439" s="174" t="s">
        <v>2004</v>
      </c>
      <c r="C439" s="174" t="s">
        <v>463</v>
      </c>
      <c r="D439" s="174" t="s">
        <v>806</v>
      </c>
      <c r="E439" s="176">
        <v>43164</v>
      </c>
      <c r="F439" s="176">
        <v>43165</v>
      </c>
      <c r="G439" s="174" t="s">
        <v>1996</v>
      </c>
      <c r="H439" s="177" t="s">
        <v>466</v>
      </c>
      <c r="I439" s="174" t="s">
        <v>1310</v>
      </c>
      <c r="J439" s="178">
        <v>97500000</v>
      </c>
      <c r="K439" s="178">
        <v>96.22265625</v>
      </c>
      <c r="L439" s="178">
        <v>2.4454257015</v>
      </c>
      <c r="M439" s="178">
        <v>93834973.675271735</v>
      </c>
      <c r="N439" s="174" t="s">
        <v>337</v>
      </c>
      <c r="O439" s="174" t="s">
        <v>1311</v>
      </c>
      <c r="P439" s="174" t="s">
        <v>22</v>
      </c>
      <c r="Q439" s="174" t="s">
        <v>129</v>
      </c>
      <c r="R439" s="174" t="s">
        <v>2005</v>
      </c>
      <c r="S439" s="174" t="s">
        <v>132</v>
      </c>
      <c r="T439" s="175"/>
      <c r="U439" s="175"/>
      <c r="V439" s="174" t="s">
        <v>469</v>
      </c>
      <c r="W439" s="174" t="s">
        <v>809</v>
      </c>
      <c r="X439" s="174" t="s">
        <v>22</v>
      </c>
      <c r="Y439" s="174"/>
      <c r="Z439" s="175"/>
      <c r="AA439" s="174" t="s">
        <v>512</v>
      </c>
      <c r="AB439" s="176">
        <v>43164.6172337963</v>
      </c>
      <c r="AC439" s="174" t="s">
        <v>2005</v>
      </c>
      <c r="AD439" s="176">
        <v>43164.614189814813</v>
      </c>
      <c r="AE439" s="176">
        <v>43164.614247685182</v>
      </c>
      <c r="AF439" s="175"/>
    </row>
    <row r="440" spans="1:32" x14ac:dyDescent="0.25">
      <c r="A440" s="174" t="s">
        <v>461</v>
      </c>
      <c r="B440" s="174" t="s">
        <v>2006</v>
      </c>
      <c r="C440" s="174" t="s">
        <v>463</v>
      </c>
      <c r="D440" s="174" t="s">
        <v>806</v>
      </c>
      <c r="E440" s="176">
        <v>43164</v>
      </c>
      <c r="F440" s="176">
        <v>43165</v>
      </c>
      <c r="G440" s="174" t="s">
        <v>1996</v>
      </c>
      <c r="H440" s="179" t="s">
        <v>486</v>
      </c>
      <c r="I440" s="174" t="s">
        <v>1303</v>
      </c>
      <c r="J440" s="178">
        <v>89000000</v>
      </c>
      <c r="K440" s="178">
        <v>98.484375</v>
      </c>
      <c r="L440" s="178">
        <v>2.4898560397999998</v>
      </c>
      <c r="M440" s="178">
        <v>-88120544.299450547</v>
      </c>
      <c r="N440" s="174" t="s">
        <v>337</v>
      </c>
      <c r="O440" s="174" t="s">
        <v>1304</v>
      </c>
      <c r="P440" s="174" t="s">
        <v>22</v>
      </c>
      <c r="Q440" s="174" t="s">
        <v>129</v>
      </c>
      <c r="R440" s="174" t="s">
        <v>2007</v>
      </c>
      <c r="S440" s="174" t="s">
        <v>132</v>
      </c>
      <c r="T440" s="175"/>
      <c r="U440" s="175"/>
      <c r="V440" s="174" t="s">
        <v>469</v>
      </c>
      <c r="W440" s="174" t="s">
        <v>809</v>
      </c>
      <c r="X440" s="174" t="s">
        <v>22</v>
      </c>
      <c r="Y440" s="174"/>
      <c r="Z440" s="175"/>
      <c r="AA440" s="174" t="s">
        <v>512</v>
      </c>
      <c r="AB440" s="176">
        <v>43164.6172337963</v>
      </c>
      <c r="AC440" s="174" t="s">
        <v>2007</v>
      </c>
      <c r="AD440" s="176">
        <v>43164.614340277774</v>
      </c>
      <c r="AE440" s="176">
        <v>43164.614386574074</v>
      </c>
      <c r="AF440" s="175"/>
    </row>
    <row r="441" spans="1:32" x14ac:dyDescent="0.25">
      <c r="A441" s="174" t="s">
        <v>484</v>
      </c>
      <c r="B441" s="174" t="s">
        <v>2008</v>
      </c>
      <c r="C441" s="174" t="s">
        <v>478</v>
      </c>
      <c r="D441" s="174" t="s">
        <v>590</v>
      </c>
      <c r="E441" s="176">
        <v>43164</v>
      </c>
      <c r="F441" s="176">
        <v>43166</v>
      </c>
      <c r="G441" s="174" t="s">
        <v>1996</v>
      </c>
      <c r="H441" s="179" t="s">
        <v>486</v>
      </c>
      <c r="I441" s="174" t="s">
        <v>1235</v>
      </c>
      <c r="J441" s="178">
        <v>1500000</v>
      </c>
      <c r="K441" s="178">
        <v>65.875</v>
      </c>
      <c r="L441" s="178">
        <v>17.934222390199999</v>
      </c>
      <c r="M441" s="178">
        <v>-1003562.5</v>
      </c>
      <c r="N441" s="174" t="s">
        <v>337</v>
      </c>
      <c r="O441" s="174" t="s">
        <v>1236</v>
      </c>
      <c r="P441" s="174" t="s">
        <v>22</v>
      </c>
      <c r="Q441" s="174" t="s">
        <v>129</v>
      </c>
      <c r="R441" s="174" t="s">
        <v>2009</v>
      </c>
      <c r="S441" s="174" t="s">
        <v>132</v>
      </c>
      <c r="T441" s="175"/>
      <c r="U441" s="175"/>
      <c r="V441" s="174" t="s">
        <v>489</v>
      </c>
      <c r="W441" s="174" t="s">
        <v>594</v>
      </c>
      <c r="X441" s="174" t="s">
        <v>22</v>
      </c>
      <c r="Y441" s="174"/>
      <c r="Z441" s="175"/>
      <c r="AA441" s="174" t="s">
        <v>512</v>
      </c>
      <c r="AB441" s="176">
        <v>43164.675798611112</v>
      </c>
      <c r="AC441" s="174" t="s">
        <v>2009</v>
      </c>
      <c r="AD441" s="176">
        <v>43164.668611111112</v>
      </c>
      <c r="AE441" s="176">
        <v>43164.668657407405</v>
      </c>
      <c r="AF441" s="175"/>
    </row>
    <row r="442" spans="1:32" x14ac:dyDescent="0.25">
      <c r="A442" s="174" t="s">
        <v>484</v>
      </c>
      <c r="B442" s="174" t="s">
        <v>2010</v>
      </c>
      <c r="C442" s="174" t="s">
        <v>478</v>
      </c>
      <c r="D442" s="174" t="s">
        <v>590</v>
      </c>
      <c r="E442" s="176">
        <v>43164</v>
      </c>
      <c r="F442" s="176">
        <v>43166</v>
      </c>
      <c r="G442" s="174" t="s">
        <v>1996</v>
      </c>
      <c r="H442" s="179" t="s">
        <v>486</v>
      </c>
      <c r="I442" s="174" t="s">
        <v>1235</v>
      </c>
      <c r="J442" s="178">
        <v>1500000</v>
      </c>
      <c r="K442" s="178">
        <v>65.5</v>
      </c>
      <c r="L442" s="178">
        <v>18.089656685000001</v>
      </c>
      <c r="M442" s="178">
        <v>-997937.5</v>
      </c>
      <c r="N442" s="174" t="s">
        <v>337</v>
      </c>
      <c r="O442" s="174" t="s">
        <v>1236</v>
      </c>
      <c r="P442" s="174" t="s">
        <v>22</v>
      </c>
      <c r="Q442" s="174" t="s">
        <v>129</v>
      </c>
      <c r="R442" s="174" t="s">
        <v>2011</v>
      </c>
      <c r="S442" s="174" t="s">
        <v>132</v>
      </c>
      <c r="T442" s="175"/>
      <c r="U442" s="175"/>
      <c r="V442" s="174" t="s">
        <v>489</v>
      </c>
      <c r="W442" s="174" t="s">
        <v>594</v>
      </c>
      <c r="X442" s="174" t="s">
        <v>22</v>
      </c>
      <c r="Y442" s="174"/>
      <c r="Z442" s="175"/>
      <c r="AA442" s="174" t="s">
        <v>512</v>
      </c>
      <c r="AB442" s="176">
        <v>43164.675798611112</v>
      </c>
      <c r="AC442" s="174" t="s">
        <v>2011</v>
      </c>
      <c r="AD442" s="176">
        <v>43164.669282407405</v>
      </c>
      <c r="AE442" s="176">
        <v>43164.669340277775</v>
      </c>
      <c r="AF442" s="175"/>
    </row>
    <row r="443" spans="1:32" x14ac:dyDescent="0.25">
      <c r="A443" s="174" t="s">
        <v>461</v>
      </c>
      <c r="B443" s="174" t="s">
        <v>2012</v>
      </c>
      <c r="C443" s="174" t="s">
        <v>478</v>
      </c>
      <c r="D443" s="174" t="s">
        <v>582</v>
      </c>
      <c r="E443" s="176">
        <v>43164</v>
      </c>
      <c r="F443" s="176">
        <v>43165</v>
      </c>
      <c r="G443" s="174" t="s">
        <v>1996</v>
      </c>
      <c r="H443" s="179" t="s">
        <v>486</v>
      </c>
      <c r="I443" s="174" t="s">
        <v>644</v>
      </c>
      <c r="J443" s="178">
        <v>4550000</v>
      </c>
      <c r="K443" s="178">
        <v>97.01953125</v>
      </c>
      <c r="L443" s="178">
        <v>3.154496703</v>
      </c>
      <c r="M443" s="178">
        <v>-4421553.0365158804</v>
      </c>
      <c r="N443" s="174" t="s">
        <v>337</v>
      </c>
      <c r="O443" s="174" t="s">
        <v>645</v>
      </c>
      <c r="P443" s="174" t="s">
        <v>23</v>
      </c>
      <c r="Q443" s="174" t="s">
        <v>129</v>
      </c>
      <c r="R443" s="175"/>
      <c r="S443" s="175"/>
      <c r="T443" s="175"/>
      <c r="U443" s="175"/>
      <c r="V443" s="174" t="s">
        <v>469</v>
      </c>
      <c r="W443" s="174" t="s">
        <v>586</v>
      </c>
      <c r="X443" s="174" t="s">
        <v>24</v>
      </c>
      <c r="Y443" s="174"/>
      <c r="Z443" s="174" t="s">
        <v>2013</v>
      </c>
      <c r="AA443" s="174" t="s">
        <v>483</v>
      </c>
      <c r="AB443" s="176">
        <v>43164.519016203703</v>
      </c>
      <c r="AC443" s="175"/>
      <c r="AD443" s="176">
        <v>43164.613645833335</v>
      </c>
      <c r="AE443" s="176">
        <v>43164.613645833335</v>
      </c>
      <c r="AF443" s="175"/>
    </row>
    <row r="444" spans="1:32" x14ac:dyDescent="0.25">
      <c r="A444" s="174" t="s">
        <v>461</v>
      </c>
      <c r="B444" s="174" t="s">
        <v>2014</v>
      </c>
      <c r="C444" s="174" t="s">
        <v>478</v>
      </c>
      <c r="D444" s="174" t="s">
        <v>582</v>
      </c>
      <c r="E444" s="176">
        <v>43164</v>
      </c>
      <c r="F444" s="176">
        <v>43165</v>
      </c>
      <c r="G444" s="174" t="s">
        <v>1996</v>
      </c>
      <c r="H444" s="177" t="s">
        <v>466</v>
      </c>
      <c r="I444" s="174" t="s">
        <v>644</v>
      </c>
      <c r="J444" s="178">
        <v>9100000</v>
      </c>
      <c r="K444" s="178">
        <v>96.78515625</v>
      </c>
      <c r="L444" s="178">
        <v>3.1669133993999998</v>
      </c>
      <c r="M444" s="178">
        <v>8821777.9480317701</v>
      </c>
      <c r="N444" s="174" t="s">
        <v>337</v>
      </c>
      <c r="O444" s="174" t="s">
        <v>645</v>
      </c>
      <c r="P444" s="174" t="s">
        <v>23</v>
      </c>
      <c r="Q444" s="174" t="s">
        <v>129</v>
      </c>
      <c r="R444" s="175"/>
      <c r="S444" s="175"/>
      <c r="T444" s="175"/>
      <c r="U444" s="175"/>
      <c r="V444" s="174" t="s">
        <v>469</v>
      </c>
      <c r="W444" s="174" t="s">
        <v>586</v>
      </c>
      <c r="X444" s="174" t="s">
        <v>24</v>
      </c>
      <c r="Y444" s="174"/>
      <c r="Z444" s="174" t="s">
        <v>2013</v>
      </c>
      <c r="AA444" s="174" t="s">
        <v>483</v>
      </c>
      <c r="AB444" s="176">
        <v>43164.564699074072</v>
      </c>
      <c r="AC444" s="175"/>
      <c r="AD444" s="176">
        <v>43164.613645833335</v>
      </c>
      <c r="AE444" s="176">
        <v>43164.613645833335</v>
      </c>
      <c r="AF444" s="175"/>
    </row>
    <row r="445" spans="1:32" x14ac:dyDescent="0.25">
      <c r="A445" s="174" t="s">
        <v>461</v>
      </c>
      <c r="B445" s="174" t="s">
        <v>2015</v>
      </c>
      <c r="C445" s="174" t="s">
        <v>478</v>
      </c>
      <c r="D445" s="174" t="s">
        <v>582</v>
      </c>
      <c r="E445" s="176">
        <v>43164</v>
      </c>
      <c r="F445" s="176">
        <v>43165</v>
      </c>
      <c r="G445" s="174" t="s">
        <v>1996</v>
      </c>
      <c r="H445" s="179" t="s">
        <v>486</v>
      </c>
      <c r="I445" s="174" t="s">
        <v>644</v>
      </c>
      <c r="J445" s="178">
        <v>4550000</v>
      </c>
      <c r="K445" s="178">
        <v>96.79296875</v>
      </c>
      <c r="L445" s="178">
        <v>3.1664988738000002</v>
      </c>
      <c r="M445" s="178">
        <v>-4411244.4427658794</v>
      </c>
      <c r="N445" s="174" t="s">
        <v>337</v>
      </c>
      <c r="O445" s="174" t="s">
        <v>645</v>
      </c>
      <c r="P445" s="174" t="s">
        <v>23</v>
      </c>
      <c r="Q445" s="174" t="s">
        <v>129</v>
      </c>
      <c r="R445" s="175"/>
      <c r="S445" s="175"/>
      <c r="T445" s="175"/>
      <c r="U445" s="175"/>
      <c r="V445" s="174" t="s">
        <v>469</v>
      </c>
      <c r="W445" s="174" t="s">
        <v>586</v>
      </c>
      <c r="X445" s="174" t="s">
        <v>24</v>
      </c>
      <c r="Y445" s="174"/>
      <c r="Z445" s="174" t="s">
        <v>2013</v>
      </c>
      <c r="AA445" s="174" t="s">
        <v>483</v>
      </c>
      <c r="AB445" s="176">
        <v>43164.564699074072</v>
      </c>
      <c r="AC445" s="175"/>
      <c r="AD445" s="176">
        <v>43164.613657407404</v>
      </c>
      <c r="AE445" s="176">
        <v>43164.613657407404</v>
      </c>
      <c r="AF445" s="175"/>
    </row>
    <row r="446" spans="1:32" x14ac:dyDescent="0.25">
      <c r="A446" s="174" t="s">
        <v>461</v>
      </c>
      <c r="B446" s="174" t="s">
        <v>2016</v>
      </c>
      <c r="C446" s="174" t="s">
        <v>478</v>
      </c>
      <c r="D446" s="174" t="s">
        <v>582</v>
      </c>
      <c r="E446" s="176">
        <v>43164</v>
      </c>
      <c r="F446" s="176">
        <v>43165</v>
      </c>
      <c r="G446" s="174" t="s">
        <v>1996</v>
      </c>
      <c r="H446" s="179" t="s">
        <v>486</v>
      </c>
      <c r="I446" s="174" t="s">
        <v>644</v>
      </c>
      <c r="J446" s="178">
        <v>6825000</v>
      </c>
      <c r="K446" s="178">
        <v>96.8984375</v>
      </c>
      <c r="L446" s="178">
        <v>3.1609070740999998</v>
      </c>
      <c r="M446" s="178">
        <v>-6624064.9063363299</v>
      </c>
      <c r="N446" s="174" t="s">
        <v>337</v>
      </c>
      <c r="O446" s="174" t="s">
        <v>645</v>
      </c>
      <c r="P446" s="174" t="s">
        <v>23</v>
      </c>
      <c r="Q446" s="174" t="s">
        <v>129</v>
      </c>
      <c r="R446" s="175"/>
      <c r="S446" s="175"/>
      <c r="T446" s="175"/>
      <c r="U446" s="175"/>
      <c r="V446" s="174" t="s">
        <v>469</v>
      </c>
      <c r="W446" s="174" t="s">
        <v>586</v>
      </c>
      <c r="X446" s="174" t="s">
        <v>24</v>
      </c>
      <c r="Y446" s="174"/>
      <c r="Z446" s="174" t="s">
        <v>2013</v>
      </c>
      <c r="AA446" s="174" t="s">
        <v>483</v>
      </c>
      <c r="AB446" s="176">
        <v>43164.577835648146</v>
      </c>
      <c r="AC446" s="175"/>
      <c r="AD446" s="176">
        <v>43164.613668981481</v>
      </c>
      <c r="AE446" s="176">
        <v>43164.613668981481</v>
      </c>
      <c r="AF446" s="175"/>
    </row>
    <row r="447" spans="1:32" x14ac:dyDescent="0.25">
      <c r="A447" s="174" t="s">
        <v>461</v>
      </c>
      <c r="B447" s="174" t="s">
        <v>2017</v>
      </c>
      <c r="C447" s="174" t="s">
        <v>478</v>
      </c>
      <c r="D447" s="174" t="s">
        <v>582</v>
      </c>
      <c r="E447" s="176">
        <v>43164</v>
      </c>
      <c r="F447" s="176">
        <v>43165</v>
      </c>
      <c r="G447" s="174" t="s">
        <v>1996</v>
      </c>
      <c r="H447" s="179" t="s">
        <v>486</v>
      </c>
      <c r="I447" s="174" t="s">
        <v>644</v>
      </c>
      <c r="J447" s="178">
        <v>4550000</v>
      </c>
      <c r="K447" s="178">
        <v>96.89453125</v>
      </c>
      <c r="L447" s="178">
        <v>3.1611140352999998</v>
      </c>
      <c r="M447" s="178">
        <v>-4415865.5365158804</v>
      </c>
      <c r="N447" s="174" t="s">
        <v>337</v>
      </c>
      <c r="O447" s="174" t="s">
        <v>645</v>
      </c>
      <c r="P447" s="174" t="s">
        <v>23</v>
      </c>
      <c r="Q447" s="174" t="s">
        <v>129</v>
      </c>
      <c r="R447" s="175"/>
      <c r="S447" s="175"/>
      <c r="T447" s="175"/>
      <c r="U447" s="175"/>
      <c r="V447" s="174" t="s">
        <v>469</v>
      </c>
      <c r="W447" s="174" t="s">
        <v>586</v>
      </c>
      <c r="X447" s="174" t="s">
        <v>24</v>
      </c>
      <c r="Y447" s="174"/>
      <c r="Z447" s="174" t="s">
        <v>2013</v>
      </c>
      <c r="AA447" s="174" t="s">
        <v>483</v>
      </c>
      <c r="AB447" s="176">
        <v>43164.584733796299</v>
      </c>
      <c r="AC447" s="175"/>
      <c r="AD447" s="176">
        <v>43164.613668981481</v>
      </c>
      <c r="AE447" s="176">
        <v>43164.613668981481</v>
      </c>
      <c r="AF447" s="17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"/>
  <sheetViews>
    <sheetView topLeftCell="E1" workbookViewId="0"/>
  </sheetViews>
  <sheetFormatPr defaultRowHeight="15" x14ac:dyDescent="0.25"/>
  <cols>
    <col min="1" max="1" width="7.85546875" customWidth="1"/>
    <col min="2" max="2" width="6" customWidth="1"/>
    <col min="3" max="3" width="10.140625" bestFit="1" customWidth="1"/>
    <col min="4" max="4" width="9" bestFit="1" customWidth="1"/>
    <col min="5" max="5" width="11.140625" customWidth="1"/>
    <col min="6" max="6" width="7.5703125" customWidth="1"/>
    <col min="7" max="7" width="32.140625" bestFit="1" customWidth="1"/>
    <col min="8" max="8" width="8.7109375" customWidth="1"/>
    <col min="9" max="9" width="12.140625" customWidth="1"/>
    <col min="10" max="10" width="8.7109375" customWidth="1"/>
    <col min="11" max="11" width="3.85546875" customWidth="1"/>
    <col min="12" max="12" width="12.140625" bestFit="1" customWidth="1"/>
    <col min="13" max="13" width="5.85546875" customWidth="1"/>
    <col min="14" max="14" width="10.85546875" bestFit="1" customWidth="1"/>
    <col min="15" max="15" width="9.85546875" customWidth="1"/>
    <col min="16" max="16" width="40" customWidth="1"/>
    <col min="17" max="17" width="12.7109375" bestFit="1" customWidth="1"/>
    <col min="18" max="18" width="7.28515625" customWidth="1"/>
    <col min="19" max="19" width="21.5703125" customWidth="1"/>
    <col min="20" max="20" width="9" customWidth="1"/>
    <col min="21" max="21" width="9.7109375" bestFit="1" customWidth="1"/>
    <col min="22" max="22" width="8.85546875" customWidth="1"/>
    <col min="23" max="23" width="7.140625" bestFit="1" customWidth="1"/>
    <col min="24" max="24" width="10.140625" bestFit="1" customWidth="1"/>
    <col min="25" max="25" width="15" bestFit="1" customWidth="1"/>
    <col min="26" max="26" width="11.5703125" bestFit="1" customWidth="1"/>
    <col min="27" max="27" width="109.42578125" bestFit="1" customWidth="1"/>
    <col min="28" max="28" width="23.140625" bestFit="1" customWidth="1"/>
    <col min="29" max="29" width="15.42578125" bestFit="1" customWidth="1"/>
    <col min="30" max="30" width="9.7109375" bestFit="1" customWidth="1"/>
    <col min="31" max="31" width="8.7109375" customWidth="1"/>
    <col min="32" max="32" width="7.42578125" bestFit="1" customWidth="1"/>
  </cols>
  <sheetData>
    <row r="2" ht="24" customHeight="1" x14ac:dyDescent="0.25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9"/>
  <sheetViews>
    <sheetView workbookViewId="0">
      <selection activeCell="B6" sqref="B6"/>
    </sheetView>
  </sheetViews>
  <sheetFormatPr defaultRowHeight="15" x14ac:dyDescent="0.25"/>
  <cols>
    <col min="1" max="1" width="19.42578125" customWidth="1"/>
    <col min="2" max="4" width="17.7109375" bestFit="1" customWidth="1"/>
    <col min="5" max="5" width="11.140625" bestFit="1" customWidth="1"/>
    <col min="6" max="6" width="17.7109375" bestFit="1" customWidth="1"/>
    <col min="7" max="8" width="11.140625" bestFit="1" customWidth="1"/>
    <col min="9" max="9" width="9" customWidth="1"/>
    <col min="10" max="10" width="12" bestFit="1" customWidth="1"/>
    <col min="11" max="11" width="11.140625" customWidth="1"/>
  </cols>
  <sheetData>
    <row r="1" spans="1:5" x14ac:dyDescent="0.25">
      <c r="A1" s="24" t="s">
        <v>47</v>
      </c>
      <c r="B1" s="25" t="s">
        <v>134</v>
      </c>
    </row>
    <row r="3" spans="1:5" x14ac:dyDescent="0.25">
      <c r="A3" s="8" t="s">
        <v>46</v>
      </c>
      <c r="B3" s="8" t="s">
        <v>116</v>
      </c>
      <c r="C3" s="76" t="s">
        <v>21</v>
      </c>
      <c r="D3" s="77"/>
      <c r="E3" s="78"/>
    </row>
    <row r="4" spans="1:5" x14ac:dyDescent="0.25">
      <c r="A4" s="73"/>
      <c r="B4" s="7" t="s">
        <v>130</v>
      </c>
      <c r="C4" s="7" t="s">
        <v>133</v>
      </c>
      <c r="D4" s="7" t="s">
        <v>129</v>
      </c>
      <c r="E4" s="9" t="s">
        <v>45</v>
      </c>
    </row>
    <row r="5" spans="1:5" x14ac:dyDescent="0.25">
      <c r="A5" s="8" t="s">
        <v>20</v>
      </c>
      <c r="B5" s="7" t="s">
        <v>48</v>
      </c>
      <c r="C5" s="7" t="s">
        <v>48</v>
      </c>
      <c r="D5" s="7" t="s">
        <v>48</v>
      </c>
      <c r="E5" s="74"/>
    </row>
    <row r="6" spans="1:5" x14ac:dyDescent="0.25">
      <c r="A6" s="7" t="s">
        <v>24</v>
      </c>
      <c r="B6" s="10">
        <v>1</v>
      </c>
      <c r="C6" s="10"/>
      <c r="D6" s="10">
        <v>3</v>
      </c>
      <c r="E6" s="11">
        <v>4</v>
      </c>
    </row>
    <row r="7" spans="1:5" x14ac:dyDescent="0.25">
      <c r="A7" s="12" t="s">
        <v>22</v>
      </c>
      <c r="B7" s="13"/>
      <c r="C7" s="13"/>
      <c r="D7" s="13">
        <v>190</v>
      </c>
      <c r="E7" s="14">
        <v>190</v>
      </c>
    </row>
    <row r="8" spans="1:5" x14ac:dyDescent="0.25">
      <c r="A8" s="12" t="s">
        <v>23</v>
      </c>
      <c r="B8" s="13">
        <v>116</v>
      </c>
      <c r="C8" s="13">
        <v>13</v>
      </c>
      <c r="D8" s="13">
        <v>32</v>
      </c>
      <c r="E8" s="14">
        <v>161</v>
      </c>
    </row>
    <row r="9" spans="1:5" x14ac:dyDescent="0.25">
      <c r="A9" s="15" t="s">
        <v>45</v>
      </c>
      <c r="B9" s="16">
        <v>117</v>
      </c>
      <c r="C9" s="16">
        <v>13</v>
      </c>
      <c r="D9" s="16">
        <v>225</v>
      </c>
      <c r="E9" s="17">
        <v>355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T38"/>
  <sheetViews>
    <sheetView topLeftCell="CV1" zoomScaleNormal="100" workbookViewId="0">
      <selection activeCell="DO2" sqref="DO2:DQ2"/>
    </sheetView>
  </sheetViews>
  <sheetFormatPr defaultColWidth="7.42578125" defaultRowHeight="13.5" customHeight="1" x14ac:dyDescent="0.25"/>
  <cols>
    <col min="1" max="1" width="2.7109375" style="34" bestFit="1" customWidth="1"/>
    <col min="2" max="2" width="75" style="34" bestFit="1" customWidth="1"/>
    <col min="3" max="3" width="11.28515625" style="34" customWidth="1"/>
    <col min="4" max="5" width="10" style="34" customWidth="1"/>
    <col min="6" max="6" width="5.140625" style="34" customWidth="1"/>
    <col min="7" max="7" width="11.28515625" style="34" customWidth="1"/>
    <col min="8" max="9" width="10" style="34" customWidth="1"/>
    <col min="10" max="10" width="5" style="34" customWidth="1"/>
    <col min="11" max="11" width="11.28515625" style="34" customWidth="1"/>
    <col min="12" max="13" width="10" style="34" customWidth="1"/>
    <col min="14" max="14" width="4.85546875" style="34" customWidth="1"/>
    <col min="15" max="15" width="11.28515625" style="34" customWidth="1"/>
    <col min="16" max="17" width="10" style="34" customWidth="1"/>
    <col min="18" max="18" width="7.42578125" style="34" customWidth="1"/>
    <col min="19" max="19" width="11.28515625" style="34" customWidth="1"/>
    <col min="20" max="21" width="10" style="34" customWidth="1"/>
    <col min="22" max="22" width="6.85546875" style="34" customWidth="1"/>
    <col min="23" max="23" width="11.28515625" style="34" customWidth="1"/>
    <col min="24" max="25" width="10" style="34" customWidth="1"/>
    <col min="26" max="26" width="7.42578125" style="34" customWidth="1"/>
    <col min="27" max="27" width="11.28515625" style="34" customWidth="1"/>
    <col min="28" max="29" width="10" style="34" customWidth="1"/>
    <col min="30" max="30" width="6.42578125" style="34" customWidth="1"/>
    <col min="31" max="31" width="11.28515625" style="34" customWidth="1"/>
    <col min="32" max="33" width="10" style="34" customWidth="1"/>
    <col min="34" max="34" width="6.42578125" style="34" customWidth="1"/>
    <col min="35" max="35" width="11.28515625" style="34" customWidth="1"/>
    <col min="36" max="37" width="10" style="34" customWidth="1"/>
    <col min="38" max="38" width="6.140625" style="34" customWidth="1"/>
    <col min="39" max="39" width="11.28515625" style="34" customWidth="1"/>
    <col min="40" max="41" width="10" style="34" customWidth="1"/>
    <col min="42" max="42" width="6.85546875" style="34" customWidth="1"/>
    <col min="43" max="43" width="11.28515625" style="34" customWidth="1"/>
    <col min="44" max="45" width="10" style="34" customWidth="1"/>
    <col min="46" max="46" width="7.28515625" style="34" customWidth="1"/>
    <col min="47" max="47" width="11.28515625" style="34" customWidth="1"/>
    <col min="48" max="49" width="10" style="34" customWidth="1"/>
    <col min="50" max="50" width="7.5703125" style="34" customWidth="1"/>
    <col min="51" max="51" width="11.28515625" style="34" customWidth="1"/>
    <col min="52" max="53" width="10" style="34" customWidth="1"/>
    <col min="54" max="54" width="7.42578125" style="34" customWidth="1"/>
    <col min="55" max="55" width="11.28515625" style="34" customWidth="1"/>
    <col min="56" max="57" width="10" style="34" customWidth="1"/>
    <col min="58" max="58" width="7.42578125" style="34" customWidth="1"/>
    <col min="59" max="59" width="11.28515625" style="34" customWidth="1"/>
    <col min="60" max="61" width="10" style="34" customWidth="1"/>
    <col min="62" max="62" width="7.42578125" style="34" customWidth="1"/>
    <col min="63" max="63" width="11.28515625" style="34" customWidth="1"/>
    <col min="64" max="65" width="10" style="34" customWidth="1"/>
    <col min="66" max="66" width="6.5703125" style="34" customWidth="1"/>
    <col min="67" max="67" width="11.28515625" style="34" customWidth="1"/>
    <col min="68" max="69" width="10" style="34" customWidth="1"/>
    <col min="70" max="70" width="8.28515625" style="34" customWidth="1"/>
    <col min="71" max="71" width="11.28515625" style="34" customWidth="1"/>
    <col min="72" max="73" width="10" style="34" customWidth="1"/>
    <col min="74" max="74" width="2.85546875" style="34" customWidth="1"/>
    <col min="75" max="75" width="11.28515625" style="34" customWidth="1"/>
    <col min="76" max="77" width="10" style="34" customWidth="1"/>
    <col min="78" max="78" width="2.140625" style="34" customWidth="1"/>
    <col min="79" max="79" width="11.28515625" style="34" customWidth="1"/>
    <col min="80" max="81" width="10" style="34" customWidth="1"/>
    <col min="82" max="82" width="7.42578125" style="34" customWidth="1"/>
    <col min="83" max="83" width="11.28515625" style="34" customWidth="1"/>
    <col min="84" max="85" width="10" style="34" customWidth="1"/>
    <col min="86" max="86" width="7.42578125" style="34" customWidth="1"/>
    <col min="87" max="87" width="11.28515625" style="34" customWidth="1"/>
    <col min="88" max="89" width="10" style="34" customWidth="1"/>
    <col min="90" max="90" width="4.42578125" style="34" customWidth="1"/>
    <col min="91" max="91" width="11.28515625" style="34" customWidth="1"/>
    <col min="92" max="93" width="10" style="34" customWidth="1"/>
    <col min="94" max="94" width="3.5703125" style="34" customWidth="1"/>
    <col min="95" max="95" width="11.28515625" style="34" customWidth="1"/>
    <col min="96" max="97" width="10" style="34" customWidth="1"/>
    <col min="98" max="98" width="7.42578125" style="34" customWidth="1"/>
    <col min="99" max="99" width="11.28515625" style="34" customWidth="1"/>
    <col min="100" max="101" width="10" style="34" customWidth="1"/>
    <col min="102" max="102" width="7.42578125" style="34" customWidth="1"/>
    <col min="103" max="103" width="11.28515625" style="34" customWidth="1"/>
    <col min="104" max="105" width="10" style="34" customWidth="1"/>
    <col min="106" max="106" width="7.28515625" style="34" customWidth="1"/>
    <col min="107" max="107" width="11.28515625" style="34" customWidth="1"/>
    <col min="108" max="109" width="10" style="34" customWidth="1"/>
    <col min="110" max="110" width="7.140625" style="34" customWidth="1"/>
    <col min="111" max="111" width="11.28515625" style="34" customWidth="1"/>
    <col min="112" max="113" width="10" style="34" customWidth="1"/>
    <col min="114" max="114" width="6.7109375" style="34" customWidth="1"/>
    <col min="115" max="115" width="11.28515625" style="34" customWidth="1"/>
    <col min="116" max="117" width="10" style="34" customWidth="1"/>
    <col min="118" max="118" width="6.28515625" style="34" customWidth="1"/>
    <col min="119" max="119" width="11.28515625" style="34" customWidth="1"/>
    <col min="120" max="121" width="10" style="34" customWidth="1"/>
    <col min="122" max="122" width="11.28515625" style="34" customWidth="1"/>
    <col min="123" max="124" width="10" style="34" customWidth="1"/>
    <col min="125" max="173" width="7.42578125" style="34" customWidth="1"/>
    <col min="174" max="16384" width="7.42578125" style="34"/>
  </cols>
  <sheetData>
    <row r="1" spans="1:124" ht="13.5" customHeight="1" thickBot="1" x14ac:dyDescent="0.3">
      <c r="A1" s="190" t="s">
        <v>73</v>
      </c>
      <c r="B1" s="191"/>
      <c r="C1" s="191"/>
      <c r="D1" s="191"/>
      <c r="E1" s="191"/>
      <c r="F1" s="192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/>
      <c r="AU1" s="191"/>
      <c r="AV1" s="191"/>
      <c r="AW1" s="191"/>
      <c r="AX1" s="191"/>
      <c r="AY1" s="191"/>
      <c r="AZ1" s="191"/>
      <c r="BA1" s="191"/>
      <c r="BB1" s="191"/>
      <c r="BC1" s="191"/>
      <c r="BD1" s="191"/>
      <c r="BE1" s="191"/>
      <c r="BF1" s="191"/>
      <c r="BG1" s="191"/>
      <c r="BH1" s="191"/>
      <c r="BI1" s="191"/>
      <c r="BJ1" s="191"/>
      <c r="BK1" s="191"/>
      <c r="BL1" s="191"/>
      <c r="BM1" s="191"/>
      <c r="BN1" s="191"/>
      <c r="BO1" s="191"/>
      <c r="BP1" s="191"/>
      <c r="BQ1" s="191"/>
      <c r="BR1" s="191"/>
      <c r="BS1" s="191"/>
      <c r="BT1" s="191"/>
      <c r="BU1" s="191"/>
      <c r="BV1" s="191"/>
      <c r="BW1" s="191"/>
      <c r="BX1" s="191"/>
      <c r="BY1" s="191"/>
      <c r="BZ1" s="191"/>
      <c r="CA1" s="191"/>
      <c r="CB1" s="191"/>
      <c r="CC1" s="191"/>
      <c r="CD1" s="191"/>
      <c r="CE1" s="191"/>
      <c r="CF1" s="191"/>
      <c r="CG1" s="191"/>
      <c r="CH1" s="191"/>
      <c r="CI1" s="191"/>
      <c r="CJ1" s="191"/>
      <c r="CK1" s="191"/>
      <c r="CL1" s="191"/>
      <c r="CM1" s="191"/>
      <c r="CN1" s="191"/>
      <c r="CO1" s="191"/>
      <c r="CP1" s="191"/>
      <c r="CQ1" s="191"/>
      <c r="CR1" s="191"/>
      <c r="CS1" s="191"/>
      <c r="CT1" s="191"/>
      <c r="CU1" s="191"/>
      <c r="CV1" s="191"/>
      <c r="CW1" s="191"/>
      <c r="CX1" s="191"/>
      <c r="CY1" s="191"/>
      <c r="CZ1" s="191"/>
      <c r="DA1" s="191"/>
      <c r="DB1" s="191"/>
      <c r="DC1" s="191"/>
      <c r="DD1" s="191"/>
      <c r="DE1" s="191"/>
      <c r="DF1" s="191"/>
      <c r="DG1" s="191"/>
      <c r="DH1" s="191"/>
      <c r="DI1" s="191"/>
      <c r="DJ1" s="191"/>
      <c r="DK1" s="191"/>
      <c r="DL1" s="191"/>
      <c r="DM1" s="191"/>
      <c r="DN1" s="191"/>
      <c r="DO1" s="191"/>
      <c r="DP1" s="191"/>
      <c r="DQ1" s="191"/>
      <c r="DR1" s="191"/>
      <c r="DS1" s="191"/>
      <c r="DT1" s="193"/>
    </row>
    <row r="2" spans="1:124" ht="13.5" customHeight="1" thickBot="1" x14ac:dyDescent="0.3">
      <c r="A2" s="194"/>
      <c r="B2" s="194" t="s">
        <v>74</v>
      </c>
      <c r="C2" s="196">
        <f>Mapping!$L$2</f>
        <v>43160</v>
      </c>
      <c r="D2" s="197"/>
      <c r="E2" s="197"/>
      <c r="F2" s="89"/>
      <c r="G2" s="196">
        <f>Mapping!$L$3</f>
        <v>43161</v>
      </c>
      <c r="H2" s="197"/>
      <c r="I2" s="197"/>
      <c r="J2" s="89"/>
      <c r="K2" s="196">
        <f>Mapping!$L$4</f>
        <v>43164</v>
      </c>
      <c r="L2" s="197"/>
      <c r="M2" s="197"/>
      <c r="N2" s="89"/>
      <c r="O2" s="196">
        <f>Mapping!$L$5</f>
        <v>43165</v>
      </c>
      <c r="P2" s="197"/>
      <c r="Q2" s="197"/>
      <c r="R2" s="89"/>
      <c r="S2" s="196">
        <f>Mapping!$L$6</f>
        <v>43166</v>
      </c>
      <c r="T2" s="197"/>
      <c r="U2" s="198"/>
      <c r="V2" s="89"/>
      <c r="W2" s="196">
        <f>Mapping!$L$7</f>
        <v>43167</v>
      </c>
      <c r="X2" s="197"/>
      <c r="Y2" s="198"/>
      <c r="Z2" s="89"/>
      <c r="AA2" s="196">
        <f>Mapping!$L$8</f>
        <v>43168</v>
      </c>
      <c r="AB2" s="197"/>
      <c r="AC2" s="198"/>
      <c r="AD2" s="89"/>
      <c r="AE2" s="196">
        <f>Mapping!$L$9</f>
        <v>43171</v>
      </c>
      <c r="AF2" s="197"/>
      <c r="AG2" s="198"/>
      <c r="AH2" s="89"/>
      <c r="AI2" s="196">
        <f>Mapping!$L$10</f>
        <v>43172</v>
      </c>
      <c r="AJ2" s="197"/>
      <c r="AK2" s="198"/>
      <c r="AL2" s="89"/>
      <c r="AM2" s="196">
        <f>Mapping!$L$11</f>
        <v>43173</v>
      </c>
      <c r="AN2" s="197"/>
      <c r="AO2" s="198"/>
      <c r="AP2" s="89"/>
      <c r="AQ2" s="196">
        <f>Mapping!$L$12</f>
        <v>43174</v>
      </c>
      <c r="AR2" s="197"/>
      <c r="AS2" s="198"/>
      <c r="AT2" s="89"/>
      <c r="AU2" s="196">
        <f>Mapping!$L$13</f>
        <v>43175</v>
      </c>
      <c r="AV2" s="197"/>
      <c r="AW2" s="198"/>
      <c r="AX2" s="89"/>
      <c r="AY2" s="196">
        <f>Mapping!$L$14</f>
        <v>43178</v>
      </c>
      <c r="AZ2" s="197"/>
      <c r="BA2" s="198"/>
      <c r="BB2" s="89"/>
      <c r="BC2" s="196">
        <f>Mapping!$L$15</f>
        <v>43179</v>
      </c>
      <c r="BD2" s="197"/>
      <c r="BE2" s="198"/>
      <c r="BF2" s="89"/>
      <c r="BG2" s="196">
        <f>Mapping!$L$16</f>
        <v>43180</v>
      </c>
      <c r="BH2" s="197"/>
      <c r="BI2" s="198"/>
      <c r="BJ2" s="89"/>
      <c r="BK2" s="196">
        <f>Mapping!$L$17</f>
        <v>43181</v>
      </c>
      <c r="BL2" s="197"/>
      <c r="BM2" s="198"/>
      <c r="BN2" s="89"/>
      <c r="BO2" s="196">
        <f>Mapping!$L$18</f>
        <v>43182</v>
      </c>
      <c r="BP2" s="197"/>
      <c r="BQ2" s="198"/>
      <c r="BR2" s="89"/>
      <c r="BS2" s="196">
        <f>Mapping!$L$19</f>
        <v>43185</v>
      </c>
      <c r="BT2" s="197"/>
      <c r="BU2" s="198"/>
      <c r="BV2" s="89"/>
      <c r="BW2" s="196">
        <f>Mapping!$L$20</f>
        <v>43186</v>
      </c>
      <c r="BX2" s="197"/>
      <c r="BY2" s="198"/>
      <c r="BZ2" s="89"/>
      <c r="CA2" s="196">
        <f>Mapping!$L$21</f>
        <v>43187</v>
      </c>
      <c r="CB2" s="197"/>
      <c r="CC2" s="198"/>
      <c r="CD2" s="89"/>
      <c r="CE2" s="196">
        <f>Mapping!$L$22</f>
        <v>43188</v>
      </c>
      <c r="CF2" s="197"/>
      <c r="CG2" s="198"/>
      <c r="CH2" s="89"/>
      <c r="CI2" s="196">
        <f>Mapping!$L$23</f>
        <v>43189</v>
      </c>
      <c r="CJ2" s="197"/>
      <c r="CK2" s="198"/>
      <c r="CL2" s="89"/>
      <c r="CM2" s="196">
        <f>Mapping!$L$24</f>
        <v>0</v>
      </c>
      <c r="CN2" s="197"/>
      <c r="CO2" s="198"/>
      <c r="CP2" s="89"/>
      <c r="CQ2" s="196">
        <f>Mapping!$L$25</f>
        <v>0</v>
      </c>
      <c r="CR2" s="197"/>
      <c r="CS2" s="198"/>
      <c r="CT2" s="89"/>
      <c r="CU2" s="196">
        <f>Mapping!$L$26</f>
        <v>0</v>
      </c>
      <c r="CV2" s="197"/>
      <c r="CW2" s="198"/>
      <c r="CX2" s="89"/>
      <c r="CY2" s="196">
        <f>Mapping!$L$27</f>
        <v>0</v>
      </c>
      <c r="CZ2" s="197"/>
      <c r="DA2" s="198"/>
      <c r="DB2" s="89"/>
      <c r="DC2" s="196">
        <f>Mapping!$L$28</f>
        <v>0</v>
      </c>
      <c r="DD2" s="197"/>
      <c r="DE2" s="198"/>
      <c r="DF2" s="89"/>
      <c r="DG2" s="196">
        <f>Mapping!$L$29</f>
        <v>0</v>
      </c>
      <c r="DH2" s="197"/>
      <c r="DI2" s="198"/>
      <c r="DJ2" s="89"/>
      <c r="DK2" s="196">
        <f>Mapping!$L$30</f>
        <v>0</v>
      </c>
      <c r="DL2" s="197"/>
      <c r="DM2" s="198"/>
      <c r="DN2" s="89"/>
      <c r="DO2" s="190" t="s">
        <v>75</v>
      </c>
      <c r="DP2" s="191"/>
      <c r="DQ2" s="193"/>
      <c r="DR2" s="190" t="s">
        <v>76</v>
      </c>
      <c r="DS2" s="191"/>
      <c r="DT2" s="193"/>
    </row>
    <row r="3" spans="1:124" ht="13.5" customHeight="1" thickBot="1" x14ac:dyDescent="0.3">
      <c r="A3" s="195"/>
      <c r="B3" s="195"/>
      <c r="C3" s="35" t="s">
        <v>77</v>
      </c>
      <c r="D3" s="35" t="s">
        <v>78</v>
      </c>
      <c r="E3" s="36" t="s">
        <v>79</v>
      </c>
      <c r="F3" s="90"/>
      <c r="G3" s="37" t="s">
        <v>77</v>
      </c>
      <c r="H3" s="35" t="s">
        <v>78</v>
      </c>
      <c r="I3" s="36" t="s">
        <v>79</v>
      </c>
      <c r="J3" s="90"/>
      <c r="K3" s="35" t="s">
        <v>77</v>
      </c>
      <c r="L3" s="35" t="s">
        <v>78</v>
      </c>
      <c r="M3" s="36" t="s">
        <v>79</v>
      </c>
      <c r="N3" s="90"/>
      <c r="O3" s="35" t="s">
        <v>77</v>
      </c>
      <c r="P3" s="35" t="s">
        <v>78</v>
      </c>
      <c r="Q3" s="36" t="s">
        <v>79</v>
      </c>
      <c r="R3" s="90"/>
      <c r="S3" s="35" t="s">
        <v>77</v>
      </c>
      <c r="T3" s="35" t="s">
        <v>78</v>
      </c>
      <c r="U3" s="36" t="s">
        <v>79</v>
      </c>
      <c r="V3" s="90"/>
      <c r="W3" s="35" t="s">
        <v>77</v>
      </c>
      <c r="X3" s="35" t="s">
        <v>78</v>
      </c>
      <c r="Y3" s="36" t="s">
        <v>79</v>
      </c>
      <c r="Z3" s="90"/>
      <c r="AA3" s="35" t="s">
        <v>77</v>
      </c>
      <c r="AB3" s="35" t="s">
        <v>78</v>
      </c>
      <c r="AC3" s="36" t="s">
        <v>79</v>
      </c>
      <c r="AD3" s="90"/>
      <c r="AE3" s="35" t="s">
        <v>77</v>
      </c>
      <c r="AF3" s="35" t="s">
        <v>78</v>
      </c>
      <c r="AG3" s="36" t="s">
        <v>79</v>
      </c>
      <c r="AH3" s="90"/>
      <c r="AI3" s="35" t="s">
        <v>77</v>
      </c>
      <c r="AJ3" s="35" t="s">
        <v>78</v>
      </c>
      <c r="AK3" s="36" t="s">
        <v>79</v>
      </c>
      <c r="AL3" s="90"/>
      <c r="AM3" s="35" t="s">
        <v>77</v>
      </c>
      <c r="AN3" s="35" t="s">
        <v>78</v>
      </c>
      <c r="AO3" s="36" t="s">
        <v>79</v>
      </c>
      <c r="AP3" s="90"/>
      <c r="AQ3" s="35" t="s">
        <v>77</v>
      </c>
      <c r="AR3" s="35" t="s">
        <v>78</v>
      </c>
      <c r="AS3" s="36" t="s">
        <v>79</v>
      </c>
      <c r="AT3" s="90"/>
      <c r="AU3" s="35" t="s">
        <v>77</v>
      </c>
      <c r="AV3" s="35" t="s">
        <v>78</v>
      </c>
      <c r="AW3" s="36" t="s">
        <v>79</v>
      </c>
      <c r="AX3" s="90"/>
      <c r="AY3" s="35" t="s">
        <v>77</v>
      </c>
      <c r="AZ3" s="35" t="s">
        <v>78</v>
      </c>
      <c r="BA3" s="36" t="s">
        <v>79</v>
      </c>
      <c r="BB3" s="90"/>
      <c r="BC3" s="35" t="s">
        <v>77</v>
      </c>
      <c r="BD3" s="35" t="s">
        <v>78</v>
      </c>
      <c r="BE3" s="36" t="s">
        <v>79</v>
      </c>
      <c r="BF3" s="90"/>
      <c r="BG3" s="35" t="s">
        <v>77</v>
      </c>
      <c r="BH3" s="35" t="s">
        <v>78</v>
      </c>
      <c r="BI3" s="36" t="s">
        <v>79</v>
      </c>
      <c r="BJ3" s="90"/>
      <c r="BK3" s="35" t="s">
        <v>77</v>
      </c>
      <c r="BL3" s="35" t="s">
        <v>78</v>
      </c>
      <c r="BM3" s="36" t="s">
        <v>79</v>
      </c>
      <c r="BN3" s="90"/>
      <c r="BO3" s="35" t="s">
        <v>77</v>
      </c>
      <c r="BP3" s="35" t="s">
        <v>78</v>
      </c>
      <c r="BQ3" s="36" t="s">
        <v>79</v>
      </c>
      <c r="BR3" s="90"/>
      <c r="BS3" s="35" t="s">
        <v>77</v>
      </c>
      <c r="BT3" s="35" t="s">
        <v>78</v>
      </c>
      <c r="BU3" s="36" t="s">
        <v>79</v>
      </c>
      <c r="BV3" s="90"/>
      <c r="BW3" s="35" t="s">
        <v>77</v>
      </c>
      <c r="BX3" s="35" t="s">
        <v>78</v>
      </c>
      <c r="BY3" s="36" t="s">
        <v>79</v>
      </c>
      <c r="BZ3" s="90"/>
      <c r="CA3" s="35" t="s">
        <v>77</v>
      </c>
      <c r="CB3" s="35" t="s">
        <v>78</v>
      </c>
      <c r="CC3" s="36" t="s">
        <v>79</v>
      </c>
      <c r="CD3" s="90"/>
      <c r="CE3" s="35" t="s">
        <v>77</v>
      </c>
      <c r="CF3" s="35" t="s">
        <v>78</v>
      </c>
      <c r="CG3" s="36" t="s">
        <v>79</v>
      </c>
      <c r="CH3" s="90"/>
      <c r="CI3" s="35" t="s">
        <v>77</v>
      </c>
      <c r="CJ3" s="35" t="s">
        <v>78</v>
      </c>
      <c r="CK3" s="36" t="s">
        <v>79</v>
      </c>
      <c r="CL3" s="90"/>
      <c r="CM3" s="35" t="s">
        <v>77</v>
      </c>
      <c r="CN3" s="35" t="s">
        <v>78</v>
      </c>
      <c r="CO3" s="36" t="s">
        <v>79</v>
      </c>
      <c r="CP3" s="90"/>
      <c r="CQ3" s="35" t="s">
        <v>77</v>
      </c>
      <c r="CR3" s="35" t="s">
        <v>78</v>
      </c>
      <c r="CS3" s="36" t="s">
        <v>79</v>
      </c>
      <c r="CT3" s="90"/>
      <c r="CU3" s="35" t="s">
        <v>77</v>
      </c>
      <c r="CV3" s="35" t="s">
        <v>78</v>
      </c>
      <c r="CW3" s="36" t="s">
        <v>79</v>
      </c>
      <c r="CX3" s="90"/>
      <c r="CY3" s="35" t="s">
        <v>77</v>
      </c>
      <c r="CZ3" s="35" t="s">
        <v>78</v>
      </c>
      <c r="DA3" s="36" t="s">
        <v>79</v>
      </c>
      <c r="DB3" s="90"/>
      <c r="DC3" s="35" t="s">
        <v>77</v>
      </c>
      <c r="DD3" s="35" t="s">
        <v>78</v>
      </c>
      <c r="DE3" s="36" t="s">
        <v>79</v>
      </c>
      <c r="DF3" s="90"/>
      <c r="DG3" s="35" t="s">
        <v>77</v>
      </c>
      <c r="DH3" s="35" t="s">
        <v>78</v>
      </c>
      <c r="DI3" s="36" t="s">
        <v>79</v>
      </c>
      <c r="DJ3" s="90"/>
      <c r="DK3" s="35" t="s">
        <v>77</v>
      </c>
      <c r="DL3" s="35" t="s">
        <v>78</v>
      </c>
      <c r="DM3" s="36" t="s">
        <v>79</v>
      </c>
      <c r="DN3" s="90"/>
      <c r="DO3" s="35" t="s">
        <v>77</v>
      </c>
      <c r="DP3" s="35" t="s">
        <v>78</v>
      </c>
      <c r="DQ3" s="36" t="s">
        <v>79</v>
      </c>
      <c r="DR3" s="35" t="s">
        <v>77</v>
      </c>
      <c r="DS3" s="35" t="s">
        <v>78</v>
      </c>
      <c r="DT3" s="35" t="s">
        <v>79</v>
      </c>
    </row>
    <row r="4" spans="1:124" ht="13.5" customHeight="1" thickBot="1" x14ac:dyDescent="0.3">
      <c r="A4" s="38">
        <v>1</v>
      </c>
      <c r="B4" s="39" t="s">
        <v>80</v>
      </c>
      <c r="C4" s="208">
        <v>0.85230024213075062</v>
      </c>
      <c r="D4" s="209"/>
      <c r="E4" s="209"/>
      <c r="F4" s="90"/>
      <c r="G4" s="209">
        <v>0.87481804949053854</v>
      </c>
      <c r="H4" s="209"/>
      <c r="I4" s="210"/>
      <c r="J4" s="90"/>
      <c r="K4" s="208">
        <v>0.89260563380281688</v>
      </c>
      <c r="L4" s="209"/>
      <c r="M4" s="210"/>
      <c r="N4" s="90"/>
      <c r="O4" s="208">
        <f>((O9+P9+Q9)-(O22+P22+Q22))/(O9+P9+Q9)</f>
        <v>5.1094890510948905E-2</v>
      </c>
      <c r="P4" s="209"/>
      <c r="Q4" s="210"/>
      <c r="R4" s="90"/>
      <c r="S4" s="208">
        <f>((S9+T9+U9)-(S22+T22+U22))/(S9+T9+U9)</f>
        <v>-0.33070866141732286</v>
      </c>
      <c r="T4" s="209"/>
      <c r="U4" s="210"/>
      <c r="V4" s="90"/>
      <c r="W4" s="208" t="e">
        <f>((W9+X9+Y9)-(W22+X22+Y22))/(W9+X9+Y9)</f>
        <v>#DIV/0!</v>
      </c>
      <c r="X4" s="209"/>
      <c r="Y4" s="210"/>
      <c r="Z4" s="90"/>
      <c r="AA4" s="208" t="e">
        <f>((AA9+AB9+AC9)-(AA22+AB22+AC22))/(AA9+AB9+AC9)</f>
        <v>#DIV/0!</v>
      </c>
      <c r="AB4" s="209"/>
      <c r="AC4" s="210"/>
      <c r="AD4" s="90"/>
      <c r="AE4" s="208" t="e">
        <f>((AE9+AF9+AG9)-(AE22+AF22+AG22))/(AE9+AF9+AG9)</f>
        <v>#DIV/0!</v>
      </c>
      <c r="AF4" s="209"/>
      <c r="AG4" s="210"/>
      <c r="AH4" s="90"/>
      <c r="AI4" s="208" t="e">
        <f>((AI9+AJ9+AK9)-(AI22+AJ22+AK22))/(AI9+AJ9+AK9)</f>
        <v>#DIV/0!</v>
      </c>
      <c r="AJ4" s="209"/>
      <c r="AK4" s="210"/>
      <c r="AL4" s="90"/>
      <c r="AM4" s="208">
        <f>((AM9+AN9+AO9)-(AM22+AN22+AO22))/(AM9+AN9+AO9)</f>
        <v>0.88012618296529965</v>
      </c>
      <c r="AN4" s="209"/>
      <c r="AO4" s="210"/>
      <c r="AP4" s="90"/>
      <c r="AQ4" s="208" t="e">
        <f>((AQ9+AR9+AS9)-(AQ22+AR22+AS22))/(AQ9+AR9+AS9)</f>
        <v>#DIV/0!</v>
      </c>
      <c r="AR4" s="209"/>
      <c r="AS4" s="210"/>
      <c r="AT4" s="90"/>
      <c r="AU4" s="208" t="e">
        <f>((AU9+AV9+AW9)-(AU22+AV22+AW22))/(AU9+AV9+AW9)</f>
        <v>#DIV/0!</v>
      </c>
      <c r="AV4" s="209"/>
      <c r="AW4" s="210"/>
      <c r="AX4" s="90"/>
      <c r="AY4" s="208">
        <f>((AY9+AZ9+BA9)-(AY22+AZ22+BA22))/(AY9+AZ9+BA9)</f>
        <v>0.78733031674208143</v>
      </c>
      <c r="AZ4" s="209"/>
      <c r="BA4" s="210"/>
      <c r="BB4" s="90"/>
      <c r="BC4" s="208" t="e">
        <f>((BC9+BD9+BE9)-(BC22+BD22+BE22))/(BC9+BD9+BE9)</f>
        <v>#DIV/0!</v>
      </c>
      <c r="BD4" s="209"/>
      <c r="BE4" s="210"/>
      <c r="BF4" s="90"/>
      <c r="BG4" s="208" t="e">
        <f>((BG9+BH9+BI9)-(BG22+BH22+BI22))/(BG9+BH9+BI9)</f>
        <v>#DIV/0!</v>
      </c>
      <c r="BH4" s="209"/>
      <c r="BI4" s="210"/>
      <c r="BJ4" s="90"/>
      <c r="BK4" s="208" t="e">
        <f>((BK9+BL9+BM9)-(BK22+BL22+BM22))/(BK9+BL9+BM9)</f>
        <v>#DIV/0!</v>
      </c>
      <c r="BL4" s="209"/>
      <c r="BM4" s="210"/>
      <c r="BN4" s="90"/>
      <c r="BO4" s="208">
        <f>((BO9+BP9+BQ9)-(BO22+BP22+BQ22))/(BO9+BP9+BQ9)</f>
        <v>0.20985691573926868</v>
      </c>
      <c r="BP4" s="209"/>
      <c r="BQ4" s="210"/>
      <c r="BR4" s="90"/>
      <c r="BS4" s="208">
        <f>((BS9+BT9+BU9)-(BS22+BT22+BU22))/(BS9+BT9+BU9)</f>
        <v>0.20512820512820512</v>
      </c>
      <c r="BT4" s="209"/>
      <c r="BU4" s="210"/>
      <c r="BV4" s="90"/>
      <c r="BW4" s="208">
        <f>((BW9+BX9+BY9)-(BW22+BX22+BY22))/(BW9+BX9+BY9)</f>
        <v>0.96266666666666667</v>
      </c>
      <c r="BX4" s="209"/>
      <c r="BY4" s="210"/>
      <c r="BZ4" s="90"/>
      <c r="CA4" s="208">
        <f>((CA9+CB9+CC9)-(CA22+CB22+CC22))/(CA9+CB9+CC9)</f>
        <v>0.21019108280254778</v>
      </c>
      <c r="CB4" s="209"/>
      <c r="CC4" s="210"/>
      <c r="CD4" s="90"/>
      <c r="CE4" s="208">
        <f>((CE9+CF9+CG9)-(CE22+CF22+CG22))/(CE9+CF9+CG9)</f>
        <v>0.20512820512820512</v>
      </c>
      <c r="CF4" s="209"/>
      <c r="CG4" s="210"/>
      <c r="CH4" s="90"/>
      <c r="CI4" s="208">
        <f>((CI9+CJ9+CK9)-(CI22+CJ22+CK22))/(CI9+CJ9+CK9)</f>
        <v>0.78733031674208143</v>
      </c>
      <c r="CJ4" s="209"/>
      <c r="CK4" s="210"/>
      <c r="CL4" s="90"/>
      <c r="CM4" s="208" t="e">
        <f>((CM9+CN9+CO9)-(CM22+CN22+CO22))/(CM9+CN9+CO9)</f>
        <v>#DIV/0!</v>
      </c>
      <c r="CN4" s="209"/>
      <c r="CO4" s="210"/>
      <c r="CP4" s="90"/>
      <c r="CQ4" s="208">
        <f>((CQ9+CR9+CS9)-(CQ22+CR22+CS22))/(CQ9+CR9+CS9)</f>
        <v>0.78733031674208143</v>
      </c>
      <c r="CR4" s="209"/>
      <c r="CS4" s="210"/>
      <c r="CT4" s="90"/>
      <c r="CU4" s="208" t="e">
        <f>((CU9+CV9+CW9)-(CU22+CV22+CW22))/(CU9+CV9+CW9)</f>
        <v>#DIV/0!</v>
      </c>
      <c r="CV4" s="209"/>
      <c r="CW4" s="210"/>
      <c r="CX4" s="90"/>
      <c r="CY4" s="208" t="e">
        <f>((CY9+CZ9+DA9)-(CY22+CZ22+DA22))/(CY9+CZ9+DA9)</f>
        <v>#DIV/0!</v>
      </c>
      <c r="CZ4" s="209"/>
      <c r="DA4" s="210"/>
      <c r="DB4" s="90"/>
      <c r="DC4" s="208" t="e">
        <f>((DC9+DD9+DE9)-(DC22+DD22+DE22))/(DC9+DD9+DE9)</f>
        <v>#DIV/0!</v>
      </c>
      <c r="DD4" s="209"/>
      <c r="DE4" s="210"/>
      <c r="DF4" s="90"/>
      <c r="DG4" s="208" t="e">
        <f>((DG9+DH9+DI9)-(DG22+DH22+DI22))/(DG9+DH9+DI9)</f>
        <v>#DIV/0!</v>
      </c>
      <c r="DH4" s="209"/>
      <c r="DI4" s="210"/>
      <c r="DJ4" s="90"/>
      <c r="DK4" s="208" t="e">
        <f>((DK9+DL9+DM9)-(DK22+DL22+DM22))/(DK9+DL9+DM9)</f>
        <v>#DIV/0!</v>
      </c>
      <c r="DL4" s="209"/>
      <c r="DM4" s="210"/>
      <c r="DN4" s="90"/>
      <c r="DO4" s="205" t="e">
        <f>AVERAGE(DB4:DN4)</f>
        <v>#DIV/0!</v>
      </c>
      <c r="DP4" s="206"/>
      <c r="DQ4" s="207"/>
      <c r="DR4" s="205">
        <v>0.89965316771169379</v>
      </c>
      <c r="DS4" s="206"/>
      <c r="DT4" s="207"/>
    </row>
    <row r="5" spans="1:124" ht="13.5" customHeight="1" thickBot="1" x14ac:dyDescent="0.3">
      <c r="A5" s="38">
        <v>2</v>
      </c>
      <c r="B5" s="40" t="s">
        <v>81</v>
      </c>
      <c r="C5" s="208">
        <v>0.90025575447570327</v>
      </c>
      <c r="D5" s="209"/>
      <c r="E5" s="209"/>
      <c r="F5" s="90"/>
      <c r="G5" s="209">
        <v>0.94348508634222916</v>
      </c>
      <c r="H5" s="209"/>
      <c r="I5" s="210"/>
      <c r="J5" s="90"/>
      <c r="K5" s="208">
        <v>0.90860215053763438</v>
      </c>
      <c r="L5" s="209"/>
      <c r="M5" s="210"/>
      <c r="N5" s="90"/>
      <c r="O5" s="208">
        <f>(O9+P9+Q9-O22-P22-Q22)/(O9+P9+Q9-O28-P28-Q28)</f>
        <v>5.6300268096514748E-2</v>
      </c>
      <c r="P5" s="209"/>
      <c r="Q5" s="210"/>
      <c r="R5" s="90"/>
      <c r="S5" s="208">
        <f>(S9+T9+U9-S22-T22-U22)/(S9+T9+U9-S28-T28-U28)</f>
        <v>-0.33333333333333331</v>
      </c>
      <c r="T5" s="209"/>
      <c r="U5" s="210"/>
      <c r="V5" s="90"/>
      <c r="W5" s="208" t="e">
        <f>(W9+X9+Y9-W22-X22-Y22)/(W9+X9+Y9-W28-X28-Y28)</f>
        <v>#DIV/0!</v>
      </c>
      <c r="X5" s="209"/>
      <c r="Y5" s="210"/>
      <c r="Z5" s="90"/>
      <c r="AA5" s="208" t="e">
        <f>(AA9+AB9+AC9-AA22-AB22-AC22)/(AA9+AB9+AC9-AA28-AB28-AC28)</f>
        <v>#DIV/0!</v>
      </c>
      <c r="AB5" s="209"/>
      <c r="AC5" s="210"/>
      <c r="AD5" s="90"/>
      <c r="AE5" s="208" t="e">
        <f>(AE9+AF9+AG9-AE22-AF22-AG22)/(AE9+AF9+AG9-AE28-AF28-AG28)</f>
        <v>#DIV/0!</v>
      </c>
      <c r="AF5" s="209"/>
      <c r="AG5" s="210"/>
      <c r="AH5" s="90"/>
      <c r="AI5" s="208" t="e">
        <f>(AI9+AJ9+AK9-AI22-AJ22-AK22)/(AI9+AJ9+AK9-AI28-AJ28-AK28)</f>
        <v>#DIV/0!</v>
      </c>
      <c r="AJ5" s="209"/>
      <c r="AK5" s="210"/>
      <c r="AL5" s="90"/>
      <c r="AM5" s="208">
        <f>(AM9+AN9+AO9-AM22-AN22-AO22)/(AM9+AN9+AO9-AM28-AN28-AO28)</f>
        <v>0.88571428571428568</v>
      </c>
      <c r="AN5" s="209"/>
      <c r="AO5" s="210"/>
      <c r="AP5" s="90"/>
      <c r="AQ5" s="208" t="e">
        <f>(AQ9+AR9+AS9-AQ22-AR22-AS22)/(AQ9+AR9+AS9-AQ28-AR28-AS28)</f>
        <v>#DIV/0!</v>
      </c>
      <c r="AR5" s="209"/>
      <c r="AS5" s="210"/>
      <c r="AT5" s="90"/>
      <c r="AU5" s="208" t="e">
        <f>(AU9+AV9+AW9-AU22-AV22-AW22)/(AU9+AV9+AW9-AU28-AV28-AW28)</f>
        <v>#DIV/0!</v>
      </c>
      <c r="AV5" s="209"/>
      <c r="AW5" s="210"/>
      <c r="AX5" s="90"/>
      <c r="AY5" s="208">
        <f>(AY9+AZ9+BA9-AY22-AZ22-BA22)/(AY9+AZ9+BA9-AY28-AZ28-BA28)</f>
        <v>0.81690140845070425</v>
      </c>
      <c r="AZ5" s="209"/>
      <c r="BA5" s="210"/>
      <c r="BB5" s="90"/>
      <c r="BC5" s="208" t="e">
        <f>(BC9+BD9+BE9-BC22-BD22-BE22)/(BC9+BD9+BE9-BC28-BD28-BE28)</f>
        <v>#DIV/0!</v>
      </c>
      <c r="BD5" s="209"/>
      <c r="BE5" s="210"/>
      <c r="BF5" s="90"/>
      <c r="BG5" s="208" t="e">
        <f>(BG9+BH9+BI9-BG22-BH22-BI22)/(BG9+BH9+BI9-BG28-BH28-BI28)</f>
        <v>#DIV/0!</v>
      </c>
      <c r="BH5" s="209"/>
      <c r="BI5" s="210"/>
      <c r="BJ5" s="90"/>
      <c r="BK5" s="208" t="e">
        <f>(BK9+BL9+BM9-BK22-BL22-BM22)/(BK9+BL9+BM9-BK28-BL28-BM28)</f>
        <v>#DIV/0!</v>
      </c>
      <c r="BL5" s="209"/>
      <c r="BM5" s="210"/>
      <c r="BN5" s="90"/>
      <c r="BO5" s="208">
        <f>(BO9+BP9+BQ9-BO22-BP22-BQ22)/(BO9+BP9+BQ9-BO28-BP28-BQ28)</f>
        <v>0.23613595706618962</v>
      </c>
      <c r="BP5" s="209"/>
      <c r="BQ5" s="210"/>
      <c r="BR5" s="90"/>
      <c r="BS5" s="208">
        <f>(BS9+BT9+BU9-BS22-BT22-BU22)/(BS9+BT9+BU9-BS28-BT28-BU28)</f>
        <v>0.23104693140794225</v>
      </c>
      <c r="BT5" s="209"/>
      <c r="BU5" s="210"/>
      <c r="BV5" s="90"/>
      <c r="BW5" s="208">
        <f>(BW9+BX9+BY9-BW22-BX22-BY22)/(BW9+BX9+BY9-BW28-BX28-BY28)</f>
        <v>0.9756756756756757</v>
      </c>
      <c r="BX5" s="209"/>
      <c r="BY5" s="210"/>
      <c r="BZ5" s="90"/>
      <c r="CA5" s="208">
        <f>(CA9+CB9+CC9-CA22-CB22-CC22)/(CA9+CB9+CC9-CA28-CB28-CC28)</f>
        <v>0.23655913978494625</v>
      </c>
      <c r="CB5" s="209"/>
      <c r="CC5" s="210"/>
      <c r="CD5" s="90"/>
      <c r="CE5" s="208">
        <f>(CE9+CF9+CG9-CE22-CF22-CG22)/(CE9+CF9+CG9-CE28-CF28-CG28)</f>
        <v>0.23104693140794225</v>
      </c>
      <c r="CF5" s="209"/>
      <c r="CG5" s="210"/>
      <c r="CH5" s="90"/>
      <c r="CI5" s="208">
        <f>(CI9+CJ9+CK9-CI22-CJ22-CK22)/(CI9+CJ9+CK9-CI28-CJ28-CK28)</f>
        <v>0.82464454976303314</v>
      </c>
      <c r="CJ5" s="209"/>
      <c r="CK5" s="210"/>
      <c r="CL5" s="90"/>
      <c r="CM5" s="208" t="e">
        <f>(CM9+CN9+CO9-CM22-CN22-CO22)/(CM9+CN9+CO9-CM28-CN28-CO28)</f>
        <v>#DIV/0!</v>
      </c>
      <c r="CN5" s="209"/>
      <c r="CO5" s="210"/>
      <c r="CP5" s="90"/>
      <c r="CQ5" s="208">
        <f>(CQ9+CR9+CS9-CQ22-CR22-CS22)/(CQ9+CR9+CS9-CQ28-CR28-CS28)</f>
        <v>0.82464454976303314</v>
      </c>
      <c r="CR5" s="209"/>
      <c r="CS5" s="210"/>
      <c r="CT5" s="90"/>
      <c r="CU5" s="208" t="e">
        <f>(CU9+CV9+CW9-CU22-CV22-CW22)/(CU9+CV9+CW9-CU28-CV28-CW28)</f>
        <v>#DIV/0!</v>
      </c>
      <c r="CV5" s="209"/>
      <c r="CW5" s="210"/>
      <c r="CX5" s="90"/>
      <c r="CY5" s="208" t="e">
        <f>(CY9+CZ9+DA9-CY22-CZ22-DA22)/(CY9+CZ9+DA9-CY28-CZ28-DA28)</f>
        <v>#DIV/0!</v>
      </c>
      <c r="CZ5" s="209"/>
      <c r="DA5" s="210"/>
      <c r="DB5" s="90"/>
      <c r="DC5" s="208" t="e">
        <f>(DC9+DD9+DE9-DC22-DD22-DE22)/(DC9+DD9+DE9-DC28-DD28-DE28)</f>
        <v>#DIV/0!</v>
      </c>
      <c r="DD5" s="209"/>
      <c r="DE5" s="210"/>
      <c r="DF5" s="90"/>
      <c r="DG5" s="208" t="e">
        <f>(DG9+DH9+DI9-DG22-DH22-DI22)/(DG9+DH9+DI9-DG28-DH28-DI28)</f>
        <v>#DIV/0!</v>
      </c>
      <c r="DH5" s="209"/>
      <c r="DI5" s="210"/>
      <c r="DJ5" s="90"/>
      <c r="DK5" s="208" t="e">
        <f>(DK9+DL9+DM9-DK22-DL22-DM22)/(DK9+DL9+DM9-DK28-DL28-DM28)</f>
        <v>#DIV/0!</v>
      </c>
      <c r="DL5" s="209"/>
      <c r="DM5" s="210"/>
      <c r="DN5" s="90"/>
      <c r="DO5" s="205" t="e">
        <f>AVERAGE(DB5:DN5)</f>
        <v>#DIV/0!</v>
      </c>
      <c r="DP5" s="206"/>
      <c r="DQ5" s="207"/>
      <c r="DR5" s="205">
        <v>0.93896045215599955</v>
      </c>
      <c r="DS5" s="206"/>
      <c r="DT5" s="207"/>
    </row>
    <row r="6" spans="1:124" ht="13.5" customHeight="1" thickBot="1" x14ac:dyDescent="0.3">
      <c r="A6" s="38">
        <v>3</v>
      </c>
      <c r="B6" s="41" t="s">
        <v>82</v>
      </c>
      <c r="C6" s="42">
        <v>0.89655172413793105</v>
      </c>
      <c r="D6" s="42">
        <v>0.95744680851063835</v>
      </c>
      <c r="E6" s="79">
        <v>0.81200000000000006</v>
      </c>
      <c r="F6" s="90"/>
      <c r="G6" s="80">
        <v>0.89440993788819878</v>
      </c>
      <c r="H6" s="42">
        <v>0.82608695652173914</v>
      </c>
      <c r="I6" s="42">
        <v>0.88077858880778592</v>
      </c>
      <c r="J6" s="90"/>
      <c r="K6" s="42">
        <v>0.99130434782608701</v>
      </c>
      <c r="L6" s="42">
        <v>0.9375</v>
      </c>
      <c r="M6" s="42">
        <v>0.85604113110539848</v>
      </c>
      <c r="N6" s="90"/>
      <c r="O6" s="42">
        <f>(O9-O22)/O9</f>
        <v>0.46226415094339623</v>
      </c>
      <c r="P6" s="42">
        <f>(P9-P22)/P9</f>
        <v>0.41176470588235292</v>
      </c>
      <c r="Q6" s="42">
        <f>(Q9-Q22)/Q9</f>
        <v>-0.12152777777777778</v>
      </c>
      <c r="R6" s="90"/>
      <c r="S6" s="42">
        <f t="shared" ref="S6:Y6" si="0">(S9-S22)/S9</f>
        <v>0.12820512820512819</v>
      </c>
      <c r="T6" s="42">
        <f t="shared" si="0"/>
        <v>0.25</v>
      </c>
      <c r="U6" s="42">
        <f t="shared" si="0"/>
        <v>-0.70833333333333337</v>
      </c>
      <c r="V6" s="90"/>
      <c r="W6" s="42" t="e">
        <f t="shared" si="0"/>
        <v>#DIV/0!</v>
      </c>
      <c r="X6" s="42" t="e">
        <f t="shared" si="0"/>
        <v>#DIV/0!</v>
      </c>
      <c r="Y6" s="42" t="e">
        <f t="shared" si="0"/>
        <v>#DIV/0!</v>
      </c>
      <c r="Z6" s="90"/>
      <c r="AA6" s="42" t="e">
        <f t="shared" ref="AA6:AG6" si="1">(AA9-AA22)/AA9</f>
        <v>#DIV/0!</v>
      </c>
      <c r="AB6" s="42" t="e">
        <f t="shared" si="1"/>
        <v>#DIV/0!</v>
      </c>
      <c r="AC6" s="42" t="e">
        <f t="shared" si="1"/>
        <v>#DIV/0!</v>
      </c>
      <c r="AD6" s="90"/>
      <c r="AE6" s="42" t="e">
        <f t="shared" si="1"/>
        <v>#DIV/0!</v>
      </c>
      <c r="AF6" s="42" t="e">
        <f t="shared" si="1"/>
        <v>#DIV/0!</v>
      </c>
      <c r="AG6" s="42" t="e">
        <f t="shared" si="1"/>
        <v>#DIV/0!</v>
      </c>
      <c r="AH6" s="90"/>
      <c r="AI6" s="42" t="e">
        <f t="shared" ref="AI6:AO6" si="2">(AI9-AI22)/AI9</f>
        <v>#DIV/0!</v>
      </c>
      <c r="AJ6" s="42" t="e">
        <f t="shared" si="2"/>
        <v>#DIV/0!</v>
      </c>
      <c r="AK6" s="42" t="e">
        <f t="shared" si="2"/>
        <v>#DIV/0!</v>
      </c>
      <c r="AL6" s="90"/>
      <c r="AM6" s="42">
        <f t="shared" si="2"/>
        <v>0.970873786407767</v>
      </c>
      <c r="AN6" s="42">
        <f t="shared" si="2"/>
        <v>0.9821428571428571</v>
      </c>
      <c r="AO6" s="42">
        <f t="shared" si="2"/>
        <v>0.78481012658227844</v>
      </c>
      <c r="AP6" s="90"/>
      <c r="AQ6" s="42" t="e">
        <f t="shared" ref="AQ6:BA6" si="3">(AQ9-AQ22)/AQ9</f>
        <v>#DIV/0!</v>
      </c>
      <c r="AR6" s="42" t="e">
        <f t="shared" si="3"/>
        <v>#DIV/0!</v>
      </c>
      <c r="AS6" s="42" t="e">
        <f t="shared" si="3"/>
        <v>#DIV/0!</v>
      </c>
      <c r="AT6" s="90"/>
      <c r="AU6" s="42" t="e">
        <f t="shared" si="3"/>
        <v>#DIV/0!</v>
      </c>
      <c r="AV6" s="42" t="e">
        <f t="shared" si="3"/>
        <v>#DIV/0!</v>
      </c>
      <c r="AW6" s="42" t="e">
        <f t="shared" si="3"/>
        <v>#DIV/0!</v>
      </c>
      <c r="AX6" s="90"/>
      <c r="AY6" s="42">
        <f t="shared" si="3"/>
        <v>0.81481481481481477</v>
      </c>
      <c r="AZ6" s="42">
        <f t="shared" si="3"/>
        <v>1</v>
      </c>
      <c r="BA6" s="42">
        <f t="shared" si="3"/>
        <v>0.76582278481012656</v>
      </c>
      <c r="BB6" s="90"/>
      <c r="BC6" s="42" t="e">
        <f t="shared" ref="BC6:BI6" si="4">(BC9-BC22)/BC9</f>
        <v>#DIV/0!</v>
      </c>
      <c r="BD6" s="42" t="e">
        <f t="shared" si="4"/>
        <v>#DIV/0!</v>
      </c>
      <c r="BE6" s="42" t="e">
        <f t="shared" si="4"/>
        <v>#DIV/0!</v>
      </c>
      <c r="BF6" s="90"/>
      <c r="BG6" s="42" t="e">
        <f t="shared" si="4"/>
        <v>#DIV/0!</v>
      </c>
      <c r="BH6" s="42" t="e">
        <f t="shared" si="4"/>
        <v>#DIV/0!</v>
      </c>
      <c r="BI6" s="42" t="e">
        <f t="shared" si="4"/>
        <v>#DIV/0!</v>
      </c>
      <c r="BJ6" s="90"/>
      <c r="BK6" s="42" t="e">
        <f t="shared" ref="BK6:BU6" si="5">(BK9-BK22)/BK9</f>
        <v>#DIV/0!</v>
      </c>
      <c r="BL6" s="42" t="e">
        <f t="shared" si="5"/>
        <v>#DIV/0!</v>
      </c>
      <c r="BM6" s="42" t="e">
        <f t="shared" si="5"/>
        <v>#DIV/0!</v>
      </c>
      <c r="BN6" s="90"/>
      <c r="BO6" s="42">
        <f t="shared" si="5"/>
        <v>0.49115044247787609</v>
      </c>
      <c r="BP6" s="42">
        <f t="shared" si="5"/>
        <v>0.58181818181818179</v>
      </c>
      <c r="BQ6" s="42">
        <f t="shared" si="5"/>
        <v>-3.1609195402298854E-2</v>
      </c>
      <c r="BR6" s="90"/>
      <c r="BS6" s="42">
        <f t="shared" si="5"/>
        <v>0.49115044247787609</v>
      </c>
      <c r="BT6" s="42">
        <f t="shared" si="5"/>
        <v>0.5714285714285714</v>
      </c>
      <c r="BU6" s="42">
        <f t="shared" si="5"/>
        <v>-3.151862464183381E-2</v>
      </c>
      <c r="BV6" s="90"/>
      <c r="BW6" s="42">
        <f t="shared" ref="BW6:CC6" si="6">(BW9-BW22)/BW9</f>
        <v>0.96460176991150437</v>
      </c>
      <c r="BX6" s="42">
        <f t="shared" si="6"/>
        <v>1</v>
      </c>
      <c r="BY6" s="42">
        <f t="shared" si="6"/>
        <v>0.95951417004048578</v>
      </c>
      <c r="BZ6" s="90"/>
      <c r="CA6" s="42">
        <f t="shared" si="6"/>
        <v>0.49115044247787609</v>
      </c>
      <c r="CB6" s="42">
        <f t="shared" si="6"/>
        <v>0.5714285714285714</v>
      </c>
      <c r="CC6" s="42">
        <f t="shared" si="6"/>
        <v>-1.9830028328611898E-2</v>
      </c>
      <c r="CD6" s="90"/>
      <c r="CE6" s="42">
        <f t="shared" ref="CE6:CK6" si="7">(CE9-CE22)/CE9</f>
        <v>0.49115044247787609</v>
      </c>
      <c r="CF6" s="42">
        <f t="shared" si="7"/>
        <v>0.5714285714285714</v>
      </c>
      <c r="CG6" s="42">
        <f t="shared" si="7"/>
        <v>-3.151862464183381E-2</v>
      </c>
      <c r="CH6" s="90"/>
      <c r="CI6" s="42">
        <f t="shared" si="7"/>
        <v>0.81481481481481477</v>
      </c>
      <c r="CJ6" s="42">
        <f t="shared" si="7"/>
        <v>1</v>
      </c>
      <c r="CK6" s="42">
        <f t="shared" si="7"/>
        <v>0.76582278481012656</v>
      </c>
      <c r="CL6" s="90"/>
      <c r="CM6" s="42" t="e">
        <f>(CM9-CM22)/CM9</f>
        <v>#DIV/0!</v>
      </c>
      <c r="CN6" s="42" t="e">
        <f>(CN9-CN22)/CN9</f>
        <v>#DIV/0!</v>
      </c>
      <c r="CO6" s="42" t="e">
        <f>(CO9-CO22)/CO9</f>
        <v>#DIV/0!</v>
      </c>
      <c r="CP6" s="90"/>
      <c r="CQ6" s="42">
        <f t="shared" ref="CQ6:CS6" si="8">(CQ9-CQ22)/CQ9</f>
        <v>0.81481481481481477</v>
      </c>
      <c r="CR6" s="42">
        <f t="shared" si="8"/>
        <v>1</v>
      </c>
      <c r="CS6" s="42">
        <f t="shared" si="8"/>
        <v>0.76582278481012656</v>
      </c>
      <c r="CT6" s="90"/>
      <c r="CU6" s="42" t="e">
        <f t="shared" ref="CU6:CW6" si="9">(CU9-CU22)/CU9</f>
        <v>#DIV/0!</v>
      </c>
      <c r="CV6" s="42" t="e">
        <f t="shared" si="9"/>
        <v>#DIV/0!</v>
      </c>
      <c r="CW6" s="42" t="e">
        <f t="shared" si="9"/>
        <v>#DIV/0!</v>
      </c>
      <c r="CX6" s="90"/>
      <c r="CY6" s="42" t="e">
        <f t="shared" ref="CY6:DA6" si="10">(CY9-CY22)/CY9</f>
        <v>#DIV/0!</v>
      </c>
      <c r="CZ6" s="42" t="e">
        <f t="shared" si="10"/>
        <v>#DIV/0!</v>
      </c>
      <c r="DA6" s="42" t="e">
        <f t="shared" si="10"/>
        <v>#DIV/0!</v>
      </c>
      <c r="DB6" s="90"/>
      <c r="DC6" s="42" t="e">
        <f t="shared" ref="DC6:DE6" si="11">(DC9-DC22)/DC9</f>
        <v>#DIV/0!</v>
      </c>
      <c r="DD6" s="42" t="e">
        <f t="shared" si="11"/>
        <v>#DIV/0!</v>
      </c>
      <c r="DE6" s="42" t="e">
        <f t="shared" si="11"/>
        <v>#DIV/0!</v>
      </c>
      <c r="DF6" s="90"/>
      <c r="DG6" s="42" t="e">
        <f t="shared" ref="DG6:DI6" si="12">(DG9-DG22)/DG9</f>
        <v>#DIV/0!</v>
      </c>
      <c r="DH6" s="42" t="e">
        <f t="shared" si="12"/>
        <v>#DIV/0!</v>
      </c>
      <c r="DI6" s="42" t="e">
        <f t="shared" si="12"/>
        <v>#DIV/0!</v>
      </c>
      <c r="DJ6" s="90"/>
      <c r="DK6" s="42" t="e">
        <f t="shared" ref="DK6:DM6" si="13">(DK9-DK22)/DK9</f>
        <v>#DIV/0!</v>
      </c>
      <c r="DL6" s="42" t="e">
        <f t="shared" si="13"/>
        <v>#DIV/0!</v>
      </c>
      <c r="DM6" s="42" t="e">
        <f t="shared" si="13"/>
        <v>#DIV/0!</v>
      </c>
      <c r="DN6" s="90"/>
      <c r="DO6" s="43" t="e">
        <f t="shared" ref="DO6:DQ8" si="14">AVERAGE(CU6,CY6,DC6,DG6,DK6)</f>
        <v>#DIV/0!</v>
      </c>
      <c r="DP6" s="43" t="e">
        <f t="shared" si="14"/>
        <v>#DIV/0!</v>
      </c>
      <c r="DQ6" s="43" t="e">
        <f t="shared" si="14"/>
        <v>#DIV/0!</v>
      </c>
      <c r="DR6" s="43">
        <v>0.93567037430513855</v>
      </c>
      <c r="DS6" s="43">
        <v>0.89969622741031496</v>
      </c>
      <c r="DT6" s="43">
        <v>0.88604291182498762</v>
      </c>
    </row>
    <row r="7" spans="1:124" ht="13.5" customHeight="1" thickBot="1" x14ac:dyDescent="0.3">
      <c r="A7" s="38">
        <v>4</v>
      </c>
      <c r="B7" s="44" t="s">
        <v>83</v>
      </c>
      <c r="C7" s="42">
        <v>0.89655172413793105</v>
      </c>
      <c r="D7" s="42">
        <v>1</v>
      </c>
      <c r="E7" s="79">
        <v>0.88260869565217392</v>
      </c>
      <c r="F7" s="90"/>
      <c r="G7" s="80">
        <v>0.93506493506493504</v>
      </c>
      <c r="H7" s="42">
        <v>0.95959595959595956</v>
      </c>
      <c r="I7" s="42">
        <v>0.94270833333333337</v>
      </c>
      <c r="J7" s="90"/>
      <c r="K7" s="42">
        <v>0.99130434782608701</v>
      </c>
      <c r="L7" s="42">
        <v>0.9375</v>
      </c>
      <c r="M7" s="42">
        <v>0.87862796833773082</v>
      </c>
      <c r="N7" s="90"/>
      <c r="O7" s="42">
        <f>(O9-O22)/(O9-O28)</f>
        <v>0.61250000000000004</v>
      </c>
      <c r="P7" s="42">
        <f>(P9-P22)/(P9-P28)</f>
        <v>0.41176470588235292</v>
      </c>
      <c r="Q7" s="42">
        <f>(Q9-Q22)/(Q9-Q28)</f>
        <v>-0.12681159420289856</v>
      </c>
      <c r="R7" s="90"/>
      <c r="S7" s="42">
        <f t="shared" ref="S7:Y7" si="15">(S9-S22)/(S9-S28)</f>
        <v>0.12820512820512819</v>
      </c>
      <c r="T7" s="42">
        <f t="shared" si="15"/>
        <v>0.25</v>
      </c>
      <c r="U7" s="42">
        <f t="shared" si="15"/>
        <v>-0.71830985915492962</v>
      </c>
      <c r="V7" s="90"/>
      <c r="W7" s="42" t="e">
        <f t="shared" si="15"/>
        <v>#DIV/0!</v>
      </c>
      <c r="X7" s="42" t="e">
        <f t="shared" si="15"/>
        <v>#DIV/0!</v>
      </c>
      <c r="Y7" s="42" t="e">
        <f t="shared" si="15"/>
        <v>#DIV/0!</v>
      </c>
      <c r="Z7" s="90"/>
      <c r="AA7" s="42" t="e">
        <f t="shared" ref="AA7:AG7" si="16">(AA9-AA22)/(AA9-AA28)</f>
        <v>#DIV/0!</v>
      </c>
      <c r="AB7" s="42" t="e">
        <f t="shared" si="16"/>
        <v>#DIV/0!</v>
      </c>
      <c r="AC7" s="42" t="e">
        <f t="shared" si="16"/>
        <v>#DIV/0!</v>
      </c>
      <c r="AD7" s="90"/>
      <c r="AE7" s="42" t="e">
        <f t="shared" si="16"/>
        <v>#DIV/0!</v>
      </c>
      <c r="AF7" s="42" t="e">
        <f t="shared" si="16"/>
        <v>#DIV/0!</v>
      </c>
      <c r="AG7" s="42" t="e">
        <f t="shared" si="16"/>
        <v>#DIV/0!</v>
      </c>
      <c r="AH7" s="90"/>
      <c r="AI7" s="42" t="e">
        <f t="shared" ref="AI7:AO7" si="17">(AI9-AI22)/(AI9-AI28)</f>
        <v>#DIV/0!</v>
      </c>
      <c r="AJ7" s="42" t="e">
        <f t="shared" si="17"/>
        <v>#DIV/0!</v>
      </c>
      <c r="AK7" s="42" t="e">
        <f t="shared" si="17"/>
        <v>#DIV/0!</v>
      </c>
      <c r="AL7" s="90"/>
      <c r="AM7" s="42">
        <f t="shared" si="17"/>
        <v>0.970873786407767</v>
      </c>
      <c r="AN7" s="42">
        <f t="shared" si="17"/>
        <v>0.9821428571428571</v>
      </c>
      <c r="AO7" s="42">
        <f t="shared" si="17"/>
        <v>0.79487179487179482</v>
      </c>
      <c r="AP7" s="90"/>
      <c r="AQ7" s="42" t="e">
        <f t="shared" ref="AQ7:BA7" si="18">(AQ9-AQ22)/(AQ9-AQ28)</f>
        <v>#DIV/0!</v>
      </c>
      <c r="AR7" s="42" t="e">
        <f t="shared" si="18"/>
        <v>#DIV/0!</v>
      </c>
      <c r="AS7" s="42" t="e">
        <f t="shared" si="18"/>
        <v>#DIV/0!</v>
      </c>
      <c r="AT7" s="90"/>
      <c r="AU7" s="42" t="e">
        <f t="shared" si="18"/>
        <v>#DIV/0!</v>
      </c>
      <c r="AV7" s="42" t="e">
        <f t="shared" si="18"/>
        <v>#DIV/0!</v>
      </c>
      <c r="AW7" s="42" t="e">
        <f t="shared" si="18"/>
        <v>#DIV/0!</v>
      </c>
      <c r="AX7" s="90"/>
      <c r="AY7" s="42">
        <f t="shared" si="18"/>
        <v>0.81481481481481477</v>
      </c>
      <c r="AZ7" s="42">
        <f t="shared" si="18"/>
        <v>1</v>
      </c>
      <c r="BA7" s="42">
        <f t="shared" si="18"/>
        <v>0.80666666666666664</v>
      </c>
      <c r="BB7" s="90"/>
      <c r="BC7" s="42" t="e">
        <f t="shared" ref="BC7:BI7" si="19">(BC9-BC22)/(BC9-BC28)</f>
        <v>#DIV/0!</v>
      </c>
      <c r="BD7" s="42" t="e">
        <f t="shared" si="19"/>
        <v>#DIV/0!</v>
      </c>
      <c r="BE7" s="42" t="e">
        <f t="shared" si="19"/>
        <v>#DIV/0!</v>
      </c>
      <c r="BF7" s="90"/>
      <c r="BG7" s="42" t="e">
        <f t="shared" si="19"/>
        <v>#DIV/0!</v>
      </c>
      <c r="BH7" s="42" t="e">
        <f t="shared" si="19"/>
        <v>#DIV/0!</v>
      </c>
      <c r="BI7" s="42" t="e">
        <f t="shared" si="19"/>
        <v>#DIV/0!</v>
      </c>
      <c r="BJ7" s="90"/>
      <c r="BK7" s="42" t="e">
        <f t="shared" ref="BK7:BU7" si="20">(BK9-BK22)/(BK9-BK28)</f>
        <v>#DIV/0!</v>
      </c>
      <c r="BL7" s="42" t="e">
        <f t="shared" si="20"/>
        <v>#DIV/0!</v>
      </c>
      <c r="BM7" s="42" t="e">
        <f t="shared" si="20"/>
        <v>#DIV/0!</v>
      </c>
      <c r="BN7" s="90"/>
      <c r="BO7" s="42">
        <f t="shared" si="20"/>
        <v>0.68518518518518523</v>
      </c>
      <c r="BP7" s="42">
        <f t="shared" si="20"/>
        <v>0.58181818181818179</v>
      </c>
      <c r="BQ7" s="42">
        <f t="shared" si="20"/>
        <v>-3.2163742690058478E-2</v>
      </c>
      <c r="BR7" s="90"/>
      <c r="BS7" s="42">
        <f t="shared" si="20"/>
        <v>0.68518518518518523</v>
      </c>
      <c r="BT7" s="42">
        <f t="shared" si="20"/>
        <v>0.5714285714285714</v>
      </c>
      <c r="BU7" s="42">
        <f t="shared" si="20"/>
        <v>-3.2069970845481049E-2</v>
      </c>
      <c r="BV7" s="90"/>
      <c r="BW7" s="42">
        <f t="shared" ref="BW7:CC7" si="21">(BW9-BW22)/(BW9-BW28)</f>
        <v>0.96460176991150437</v>
      </c>
      <c r="BX7" s="42">
        <f t="shared" si="21"/>
        <v>1</v>
      </c>
      <c r="BY7" s="42">
        <f t="shared" si="21"/>
        <v>0.97933884297520657</v>
      </c>
      <c r="BZ7" s="90"/>
      <c r="CA7" s="42">
        <f t="shared" si="21"/>
        <v>0.68518518518518523</v>
      </c>
      <c r="CB7" s="42">
        <f t="shared" si="21"/>
        <v>0.5714285714285714</v>
      </c>
      <c r="CC7" s="42">
        <f t="shared" si="21"/>
        <v>-2.0172910662824207E-2</v>
      </c>
      <c r="CD7" s="90"/>
      <c r="CE7" s="42">
        <f t="shared" ref="CE7:CK7" si="22">(CE9-CE22)/(CE9-CE28)</f>
        <v>0.68518518518518523</v>
      </c>
      <c r="CF7" s="42">
        <f t="shared" si="22"/>
        <v>0.5714285714285714</v>
      </c>
      <c r="CG7" s="42">
        <f t="shared" si="22"/>
        <v>-3.2069970845481049E-2</v>
      </c>
      <c r="CH7" s="90"/>
      <c r="CI7" s="42">
        <f t="shared" si="22"/>
        <v>0.81481481481481477</v>
      </c>
      <c r="CJ7" s="42">
        <f t="shared" si="22"/>
        <v>1</v>
      </c>
      <c r="CK7" s="42">
        <f t="shared" si="22"/>
        <v>0.81756756756756754</v>
      </c>
      <c r="CL7" s="90"/>
      <c r="CM7" s="42" t="e">
        <f>(CM9-CM22)/(CM9-CM28)</f>
        <v>#DIV/0!</v>
      </c>
      <c r="CN7" s="42" t="e">
        <f>(CN9-CN22)/(CN9-CN28)</f>
        <v>#DIV/0!</v>
      </c>
      <c r="CO7" s="42" t="e">
        <f>(CO9-CO22)/(CO9-CO28)</f>
        <v>#DIV/0!</v>
      </c>
      <c r="CP7" s="90"/>
      <c r="CQ7" s="42">
        <f t="shared" ref="CQ7:CS7" si="23">(CQ9-CQ22)/(CQ9-CQ28)</f>
        <v>0.81481481481481477</v>
      </c>
      <c r="CR7" s="42">
        <f t="shared" si="23"/>
        <v>1</v>
      </c>
      <c r="CS7" s="42">
        <f t="shared" si="23"/>
        <v>0.81756756756756754</v>
      </c>
      <c r="CT7" s="90"/>
      <c r="CU7" s="42" t="e">
        <f t="shared" ref="CU7:CW7" si="24">(CU9-CU22)/(CU9-CU28)</f>
        <v>#DIV/0!</v>
      </c>
      <c r="CV7" s="42" t="e">
        <f t="shared" si="24"/>
        <v>#DIV/0!</v>
      </c>
      <c r="CW7" s="42" t="e">
        <f t="shared" si="24"/>
        <v>#DIV/0!</v>
      </c>
      <c r="CX7" s="90"/>
      <c r="CY7" s="42" t="e">
        <f t="shared" ref="CY7:DA7" si="25">(CY9-CY22)/(CY9-CY28)</f>
        <v>#DIV/0!</v>
      </c>
      <c r="CZ7" s="42" t="e">
        <f t="shared" si="25"/>
        <v>#DIV/0!</v>
      </c>
      <c r="DA7" s="42" t="e">
        <f t="shared" si="25"/>
        <v>#DIV/0!</v>
      </c>
      <c r="DB7" s="90"/>
      <c r="DC7" s="42" t="e">
        <f t="shared" ref="DC7:DE7" si="26">(DC9-DC22)/(DC9-DC28)</f>
        <v>#DIV/0!</v>
      </c>
      <c r="DD7" s="42" t="e">
        <f t="shared" si="26"/>
        <v>#DIV/0!</v>
      </c>
      <c r="DE7" s="42" t="e">
        <f t="shared" si="26"/>
        <v>#DIV/0!</v>
      </c>
      <c r="DF7" s="90"/>
      <c r="DG7" s="42" t="e">
        <f t="shared" ref="DG7:DI7" si="27">(DG9-DG22)/(DG9-DG28)</f>
        <v>#DIV/0!</v>
      </c>
      <c r="DH7" s="42" t="e">
        <f t="shared" si="27"/>
        <v>#DIV/0!</v>
      </c>
      <c r="DI7" s="42" t="e">
        <f t="shared" si="27"/>
        <v>#DIV/0!</v>
      </c>
      <c r="DJ7" s="90"/>
      <c r="DK7" s="42" t="e">
        <f t="shared" ref="DK7:DM7" si="28">(DK9-DK22)/(DK9-DK28)</f>
        <v>#DIV/0!</v>
      </c>
      <c r="DL7" s="42" t="e">
        <f t="shared" si="28"/>
        <v>#DIV/0!</v>
      </c>
      <c r="DM7" s="42" t="e">
        <f t="shared" si="28"/>
        <v>#DIV/0!</v>
      </c>
      <c r="DN7" s="90"/>
      <c r="DO7" s="43" t="e">
        <f t="shared" si="14"/>
        <v>#DIV/0!</v>
      </c>
      <c r="DP7" s="43" t="e">
        <f t="shared" si="14"/>
        <v>#DIV/0!</v>
      </c>
      <c r="DQ7" s="43" t="e">
        <f t="shared" si="14"/>
        <v>#DIV/0!</v>
      </c>
      <c r="DR7" s="43">
        <v>0.95251364215789103</v>
      </c>
      <c r="DS7" s="43">
        <v>0.9248479694908267</v>
      </c>
      <c r="DT7" s="43">
        <v>0.93321946275675316</v>
      </c>
    </row>
    <row r="8" spans="1:124" ht="13.5" customHeight="1" thickBot="1" x14ac:dyDescent="0.3">
      <c r="A8" s="38">
        <v>5</v>
      </c>
      <c r="B8" s="44" t="s">
        <v>84</v>
      </c>
      <c r="C8" s="42">
        <f t="shared" ref="C8:Q8" si="29">(C9-C22)/C9</f>
        <v>0.47350993377483441</v>
      </c>
      <c r="D8" s="42">
        <f t="shared" si="29"/>
        <v>0.33333333333333331</v>
      </c>
      <c r="E8" s="79">
        <f t="shared" si="29"/>
        <v>-5.1622418879056046E-2</v>
      </c>
      <c r="F8" s="90"/>
      <c r="G8" s="80" t="e">
        <f t="shared" si="29"/>
        <v>#DIV/0!</v>
      </c>
      <c r="H8" s="42" t="e">
        <f t="shared" si="29"/>
        <v>#DIV/0!</v>
      </c>
      <c r="I8" s="42" t="e">
        <f t="shared" si="29"/>
        <v>#DIV/0!</v>
      </c>
      <c r="J8" s="90"/>
      <c r="K8" s="42">
        <f t="shared" si="29"/>
        <v>0.49818181818181817</v>
      </c>
      <c r="L8" s="42">
        <f t="shared" si="29"/>
        <v>0.546875</v>
      </c>
      <c r="M8" s="42">
        <f t="shared" si="29"/>
        <v>-1.090909090909091E-2</v>
      </c>
      <c r="N8" s="90"/>
      <c r="O8" s="42">
        <f t="shared" si="29"/>
        <v>0.46226415094339623</v>
      </c>
      <c r="P8" s="42">
        <f t="shared" si="29"/>
        <v>0.41176470588235292</v>
      </c>
      <c r="Q8" s="42">
        <f t="shared" si="29"/>
        <v>-0.12152777777777778</v>
      </c>
      <c r="R8" s="90"/>
      <c r="S8" s="42">
        <f t="shared" ref="S8:Y8" si="30">(S9-S22)/S9</f>
        <v>0.12820512820512819</v>
      </c>
      <c r="T8" s="42">
        <f t="shared" si="30"/>
        <v>0.25</v>
      </c>
      <c r="U8" s="42">
        <f t="shared" si="30"/>
        <v>-0.70833333333333337</v>
      </c>
      <c r="V8" s="90"/>
      <c r="W8" s="42" t="e">
        <f t="shared" si="30"/>
        <v>#DIV/0!</v>
      </c>
      <c r="X8" s="42" t="e">
        <f t="shared" si="30"/>
        <v>#DIV/0!</v>
      </c>
      <c r="Y8" s="42" t="e">
        <f t="shared" si="30"/>
        <v>#DIV/0!</v>
      </c>
      <c r="Z8" s="90"/>
      <c r="AA8" s="42" t="e">
        <f t="shared" ref="AA8:AG8" si="31">(AA9-AA22)/AA9</f>
        <v>#DIV/0!</v>
      </c>
      <c r="AB8" s="42" t="e">
        <f t="shared" si="31"/>
        <v>#DIV/0!</v>
      </c>
      <c r="AC8" s="42" t="e">
        <f t="shared" si="31"/>
        <v>#DIV/0!</v>
      </c>
      <c r="AD8" s="90"/>
      <c r="AE8" s="42" t="e">
        <f t="shared" si="31"/>
        <v>#DIV/0!</v>
      </c>
      <c r="AF8" s="42" t="e">
        <f t="shared" si="31"/>
        <v>#DIV/0!</v>
      </c>
      <c r="AG8" s="42" t="e">
        <f t="shared" si="31"/>
        <v>#DIV/0!</v>
      </c>
      <c r="AH8" s="90"/>
      <c r="AI8" s="42" t="e">
        <f t="shared" ref="AI8:AO8" si="32">(AI9-AI22)/AI9</f>
        <v>#DIV/0!</v>
      </c>
      <c r="AJ8" s="42" t="e">
        <f t="shared" si="32"/>
        <v>#DIV/0!</v>
      </c>
      <c r="AK8" s="42" t="e">
        <f t="shared" si="32"/>
        <v>#DIV/0!</v>
      </c>
      <c r="AL8" s="90"/>
      <c r="AM8" s="42">
        <f t="shared" si="32"/>
        <v>0.970873786407767</v>
      </c>
      <c r="AN8" s="42">
        <f t="shared" si="32"/>
        <v>0.9821428571428571</v>
      </c>
      <c r="AO8" s="42">
        <f t="shared" si="32"/>
        <v>0.78481012658227844</v>
      </c>
      <c r="AP8" s="90"/>
      <c r="AQ8" s="42" t="e">
        <f t="shared" ref="AQ8:BA8" si="33">(AQ9-AQ22)/AQ9</f>
        <v>#DIV/0!</v>
      </c>
      <c r="AR8" s="42" t="e">
        <f t="shared" si="33"/>
        <v>#DIV/0!</v>
      </c>
      <c r="AS8" s="42" t="e">
        <f t="shared" si="33"/>
        <v>#DIV/0!</v>
      </c>
      <c r="AT8" s="90"/>
      <c r="AU8" s="42" t="e">
        <f t="shared" si="33"/>
        <v>#DIV/0!</v>
      </c>
      <c r="AV8" s="42" t="e">
        <f t="shared" si="33"/>
        <v>#DIV/0!</v>
      </c>
      <c r="AW8" s="42" t="e">
        <f t="shared" si="33"/>
        <v>#DIV/0!</v>
      </c>
      <c r="AX8" s="90"/>
      <c r="AY8" s="42">
        <f t="shared" si="33"/>
        <v>0.81481481481481477</v>
      </c>
      <c r="AZ8" s="42">
        <f t="shared" si="33"/>
        <v>1</v>
      </c>
      <c r="BA8" s="42">
        <f t="shared" si="33"/>
        <v>0.76582278481012656</v>
      </c>
      <c r="BB8" s="90"/>
      <c r="BC8" s="42" t="e">
        <f t="shared" ref="BC8:BI8" si="34">(BC9-BC22)/BC9</f>
        <v>#DIV/0!</v>
      </c>
      <c r="BD8" s="42" t="e">
        <f t="shared" si="34"/>
        <v>#DIV/0!</v>
      </c>
      <c r="BE8" s="42" t="e">
        <f t="shared" si="34"/>
        <v>#DIV/0!</v>
      </c>
      <c r="BF8" s="90"/>
      <c r="BG8" s="42" t="e">
        <f t="shared" si="34"/>
        <v>#DIV/0!</v>
      </c>
      <c r="BH8" s="42" t="e">
        <f t="shared" si="34"/>
        <v>#DIV/0!</v>
      </c>
      <c r="BI8" s="42" t="e">
        <f t="shared" si="34"/>
        <v>#DIV/0!</v>
      </c>
      <c r="BJ8" s="90"/>
      <c r="BK8" s="42" t="e">
        <f t="shared" ref="BK8:BU8" si="35">(BK9-BK22)/BK9</f>
        <v>#DIV/0!</v>
      </c>
      <c r="BL8" s="42" t="e">
        <f t="shared" si="35"/>
        <v>#DIV/0!</v>
      </c>
      <c r="BM8" s="42" t="e">
        <f t="shared" si="35"/>
        <v>#DIV/0!</v>
      </c>
      <c r="BN8" s="90"/>
      <c r="BO8" s="42">
        <f t="shared" si="35"/>
        <v>0.49115044247787609</v>
      </c>
      <c r="BP8" s="42">
        <f t="shared" si="35"/>
        <v>0.58181818181818179</v>
      </c>
      <c r="BQ8" s="42">
        <f t="shared" si="35"/>
        <v>-3.1609195402298854E-2</v>
      </c>
      <c r="BR8" s="90"/>
      <c r="BS8" s="42">
        <f t="shared" si="35"/>
        <v>0.49115044247787609</v>
      </c>
      <c r="BT8" s="42">
        <f t="shared" si="35"/>
        <v>0.5714285714285714</v>
      </c>
      <c r="BU8" s="42">
        <f t="shared" si="35"/>
        <v>-3.151862464183381E-2</v>
      </c>
      <c r="BV8" s="90"/>
      <c r="BW8" s="42">
        <f t="shared" ref="BW8:CC8" si="36">(BW9-BW22)/BW9</f>
        <v>0.96460176991150437</v>
      </c>
      <c r="BX8" s="42">
        <f t="shared" si="36"/>
        <v>1</v>
      </c>
      <c r="BY8" s="42">
        <f t="shared" si="36"/>
        <v>0.95951417004048578</v>
      </c>
      <c r="BZ8" s="90"/>
      <c r="CA8" s="42">
        <f t="shared" si="36"/>
        <v>0.49115044247787609</v>
      </c>
      <c r="CB8" s="42">
        <f t="shared" si="36"/>
        <v>0.5714285714285714</v>
      </c>
      <c r="CC8" s="42">
        <f t="shared" si="36"/>
        <v>-1.9830028328611898E-2</v>
      </c>
      <c r="CD8" s="90"/>
      <c r="CE8" s="42">
        <f t="shared" ref="CE8:CK8" si="37">(CE9-CE22)/CE9</f>
        <v>0.49115044247787609</v>
      </c>
      <c r="CF8" s="42">
        <f t="shared" si="37"/>
        <v>0.5714285714285714</v>
      </c>
      <c r="CG8" s="42">
        <f t="shared" si="37"/>
        <v>-3.151862464183381E-2</v>
      </c>
      <c r="CH8" s="90"/>
      <c r="CI8" s="42">
        <f t="shared" si="37"/>
        <v>0.81481481481481477</v>
      </c>
      <c r="CJ8" s="42">
        <f t="shared" si="37"/>
        <v>1</v>
      </c>
      <c r="CK8" s="42">
        <f t="shared" si="37"/>
        <v>0.76582278481012656</v>
      </c>
      <c r="CL8" s="90"/>
      <c r="CM8" s="42" t="e">
        <f>(CM9-CM22)/CM9</f>
        <v>#DIV/0!</v>
      </c>
      <c r="CN8" s="42" t="e">
        <f>(CN9-CN22)/CN9</f>
        <v>#DIV/0!</v>
      </c>
      <c r="CO8" s="42" t="e">
        <f>(CO9-CO22)/CO9</f>
        <v>#DIV/0!</v>
      </c>
      <c r="CP8" s="90"/>
      <c r="CQ8" s="42">
        <f t="shared" ref="CQ8:CS8" si="38">(CQ9-CQ22)/CQ9</f>
        <v>0.81481481481481477</v>
      </c>
      <c r="CR8" s="42">
        <f t="shared" si="38"/>
        <v>1</v>
      </c>
      <c r="CS8" s="42">
        <f t="shared" si="38"/>
        <v>0.76582278481012656</v>
      </c>
      <c r="CT8" s="90"/>
      <c r="CU8" s="42" t="e">
        <f t="shared" ref="CU8:CW8" si="39">(CU9-CU22)/CU9</f>
        <v>#DIV/0!</v>
      </c>
      <c r="CV8" s="42" t="e">
        <f t="shared" si="39"/>
        <v>#DIV/0!</v>
      </c>
      <c r="CW8" s="42" t="e">
        <f t="shared" si="39"/>
        <v>#DIV/0!</v>
      </c>
      <c r="CX8" s="90"/>
      <c r="CY8" s="42" t="e">
        <f t="shared" ref="CY8:DA8" si="40">(CY9-CY22)/CY9</f>
        <v>#DIV/0!</v>
      </c>
      <c r="CZ8" s="42" t="e">
        <f t="shared" si="40"/>
        <v>#DIV/0!</v>
      </c>
      <c r="DA8" s="42" t="e">
        <f t="shared" si="40"/>
        <v>#DIV/0!</v>
      </c>
      <c r="DB8" s="90"/>
      <c r="DC8" s="42" t="e">
        <f t="shared" ref="DC8:DE8" si="41">(DC9-DC22)/DC9</f>
        <v>#DIV/0!</v>
      </c>
      <c r="DD8" s="42" t="e">
        <f t="shared" si="41"/>
        <v>#DIV/0!</v>
      </c>
      <c r="DE8" s="42" t="e">
        <f t="shared" si="41"/>
        <v>#DIV/0!</v>
      </c>
      <c r="DF8" s="90"/>
      <c r="DG8" s="42" t="e">
        <f t="shared" ref="DG8:DI8" si="42">(DG9-DG22)/DG9</f>
        <v>#DIV/0!</v>
      </c>
      <c r="DH8" s="42" t="e">
        <f t="shared" si="42"/>
        <v>#DIV/0!</v>
      </c>
      <c r="DI8" s="42" t="e">
        <f t="shared" si="42"/>
        <v>#DIV/0!</v>
      </c>
      <c r="DJ8" s="90"/>
      <c r="DK8" s="42" t="e">
        <f t="shared" ref="DK8:DM8" si="43">(DK9-DK22)/DK9</f>
        <v>#DIV/0!</v>
      </c>
      <c r="DL8" s="42" t="e">
        <f t="shared" si="43"/>
        <v>#DIV/0!</v>
      </c>
      <c r="DM8" s="42" t="e">
        <f t="shared" si="43"/>
        <v>#DIV/0!</v>
      </c>
      <c r="DN8" s="90"/>
      <c r="DO8" s="43" t="e">
        <f t="shared" si="14"/>
        <v>#DIV/0!</v>
      </c>
      <c r="DP8" s="43" t="e">
        <f t="shared" si="14"/>
        <v>#DIV/0!</v>
      </c>
      <c r="DQ8" s="43" t="e">
        <f t="shared" si="14"/>
        <v>#DIV/0!</v>
      </c>
      <c r="DR8" s="43">
        <v>0.99356499356499361</v>
      </c>
      <c r="DS8" s="43">
        <v>0.99880952380952392</v>
      </c>
      <c r="DT8" s="43">
        <v>0.9739490245923047</v>
      </c>
    </row>
    <row r="9" spans="1:124" ht="13.5" customHeight="1" thickBot="1" x14ac:dyDescent="0.3">
      <c r="A9" s="199">
        <v>6</v>
      </c>
      <c r="B9" s="44" t="s">
        <v>85</v>
      </c>
      <c r="C9" s="45">
        <f>SUM(C10:C22)</f>
        <v>302</v>
      </c>
      <c r="D9" s="46">
        <f>SUM(D10:D22)</f>
        <v>15</v>
      </c>
      <c r="E9" s="83">
        <f>SUM(E10:E19)</f>
        <v>678</v>
      </c>
      <c r="F9" s="90"/>
      <c r="G9" s="46">
        <f>SUM(G10:G22)</f>
        <v>0</v>
      </c>
      <c r="H9" s="46">
        <f>SUM(H10:H22)</f>
        <v>0</v>
      </c>
      <c r="I9" s="46">
        <f>SUM(I10:I19)</f>
        <v>0</v>
      </c>
      <c r="J9" s="90"/>
      <c r="K9" s="45">
        <f>SUM(K10:K22)</f>
        <v>275</v>
      </c>
      <c r="L9" s="46">
        <f>SUM(L10:L22)</f>
        <v>64</v>
      </c>
      <c r="M9" s="46">
        <f>SUM(M10:M19)</f>
        <v>275</v>
      </c>
      <c r="N9" s="90"/>
      <c r="O9" s="45">
        <f>SUM(O10:O22)</f>
        <v>106</v>
      </c>
      <c r="P9" s="46">
        <f>SUM(P10:P22)</f>
        <v>17</v>
      </c>
      <c r="Q9" s="46">
        <f>SUM(Q10:Q19)</f>
        <v>288</v>
      </c>
      <c r="R9" s="90"/>
      <c r="S9" s="45">
        <f>SUM(S10:S22)</f>
        <v>39</v>
      </c>
      <c r="T9" s="46">
        <f>SUM(T10:T22)</f>
        <v>16</v>
      </c>
      <c r="U9" s="46">
        <f>SUM(U10:U19)</f>
        <v>72</v>
      </c>
      <c r="V9" s="90"/>
      <c r="W9" s="45">
        <f>SUM(W10:W22)</f>
        <v>0</v>
      </c>
      <c r="X9" s="46">
        <f>SUM(X10:X22)</f>
        <v>0</v>
      </c>
      <c r="Y9" s="46">
        <f>SUM(Y10:Y19)</f>
        <v>0</v>
      </c>
      <c r="Z9" s="90"/>
      <c r="AA9" s="45">
        <f>SUM(AA10:AA22)</f>
        <v>0</v>
      </c>
      <c r="AB9" s="46">
        <f>SUM(AB10:AB22)</f>
        <v>0</v>
      </c>
      <c r="AC9" s="46">
        <f>SUM(AC10:AC19)</f>
        <v>0</v>
      </c>
      <c r="AD9" s="90"/>
      <c r="AE9" s="45">
        <f>SUM(AE10:AE22)</f>
        <v>0</v>
      </c>
      <c r="AF9" s="46">
        <f>SUM(AF10:AF22)</f>
        <v>0</v>
      </c>
      <c r="AG9" s="46">
        <f>SUM(AG10:AG19)</f>
        <v>0</v>
      </c>
      <c r="AH9" s="90"/>
      <c r="AI9" s="45">
        <f>SUM(AI10:AI22)</f>
        <v>0</v>
      </c>
      <c r="AJ9" s="46">
        <f>SUM(AJ10:AJ22)</f>
        <v>0</v>
      </c>
      <c r="AK9" s="46">
        <f>SUM(AK10:AK19)</f>
        <v>0</v>
      </c>
      <c r="AL9" s="90"/>
      <c r="AM9" s="45">
        <f>SUM(AM10:AM22)</f>
        <v>103</v>
      </c>
      <c r="AN9" s="46">
        <f>SUM(AN10:AN22)</f>
        <v>56</v>
      </c>
      <c r="AO9" s="46">
        <f>SUM(AO10:AO19)</f>
        <v>158</v>
      </c>
      <c r="AP9" s="90"/>
      <c r="AQ9" s="45">
        <f>SUM(AQ10:AQ22)</f>
        <v>0</v>
      </c>
      <c r="AR9" s="46">
        <f>SUM(AR10:AR22)</f>
        <v>0</v>
      </c>
      <c r="AS9" s="46">
        <f>SUM(AS10:AS19)</f>
        <v>0</v>
      </c>
      <c r="AT9" s="90"/>
      <c r="AU9" s="45">
        <f>SUM(AU10:AU22)</f>
        <v>0</v>
      </c>
      <c r="AV9" s="46">
        <f>SUM(AV10:AV22)</f>
        <v>0</v>
      </c>
      <c r="AW9" s="46">
        <f>SUM(AW10:AW19)</f>
        <v>0</v>
      </c>
      <c r="AX9" s="90"/>
      <c r="AY9" s="45">
        <f>SUM(AY10:AY22)</f>
        <v>54</v>
      </c>
      <c r="AZ9" s="46">
        <f>SUM(AZ10:AZ22)</f>
        <v>9</v>
      </c>
      <c r="BA9" s="46">
        <f>SUM(BA10:BA19)</f>
        <v>158</v>
      </c>
      <c r="BB9" s="90"/>
      <c r="BC9" s="45">
        <f>SUM(BC10:BC22)</f>
        <v>0</v>
      </c>
      <c r="BD9" s="46">
        <f>SUM(BD10:BD22)</f>
        <v>0</v>
      </c>
      <c r="BE9" s="46">
        <f>SUM(BE10:BE19)</f>
        <v>0</v>
      </c>
      <c r="BF9" s="90"/>
      <c r="BG9" s="45">
        <f>SUM(BG10:BG22)</f>
        <v>0</v>
      </c>
      <c r="BH9" s="46">
        <f>SUM(BH10:BH22)</f>
        <v>0</v>
      </c>
      <c r="BI9" s="46">
        <f>SUM(BI10:BI19)</f>
        <v>0</v>
      </c>
      <c r="BJ9" s="90"/>
      <c r="BK9" s="45">
        <f>SUM(BK10:BK22)</f>
        <v>0</v>
      </c>
      <c r="BL9" s="46">
        <f>SUM(BL10:BL22)</f>
        <v>0</v>
      </c>
      <c r="BM9" s="46">
        <f>SUM(BM10:BM19)</f>
        <v>0</v>
      </c>
      <c r="BN9" s="90"/>
      <c r="BO9" s="45">
        <f>SUM(BO10:BO22)</f>
        <v>226</v>
      </c>
      <c r="BP9" s="46">
        <f>SUM(BP10:BP22)</f>
        <v>55</v>
      </c>
      <c r="BQ9" s="46">
        <f>SUM(BQ10:BQ19)</f>
        <v>348</v>
      </c>
      <c r="BR9" s="90"/>
      <c r="BS9" s="45">
        <f>SUM(BS10:BS22)</f>
        <v>226</v>
      </c>
      <c r="BT9" s="46">
        <f>SUM(BT10:BT22)</f>
        <v>49</v>
      </c>
      <c r="BU9" s="46">
        <f>SUM(BU10:BU19)</f>
        <v>349</v>
      </c>
      <c r="BV9" s="90"/>
      <c r="BW9" s="45">
        <f>SUM(BW10:BW22)</f>
        <v>113</v>
      </c>
      <c r="BX9" s="46">
        <f>SUM(BX10:BX22)</f>
        <v>15</v>
      </c>
      <c r="BY9" s="46">
        <f>SUM(BY10:BY19)</f>
        <v>247</v>
      </c>
      <c r="BZ9" s="90"/>
      <c r="CA9" s="45">
        <f>SUM(CA10:CA22)</f>
        <v>226</v>
      </c>
      <c r="CB9" s="46">
        <f>SUM(CB10:CB22)</f>
        <v>49</v>
      </c>
      <c r="CC9" s="46">
        <f>SUM(CC10:CC19)</f>
        <v>353</v>
      </c>
      <c r="CD9" s="90"/>
      <c r="CE9" s="45">
        <f>SUM(CE10:CE22)</f>
        <v>226</v>
      </c>
      <c r="CF9" s="46">
        <f>SUM(CF10:CF22)</f>
        <v>49</v>
      </c>
      <c r="CG9" s="46">
        <f>SUM(CG10:CG19)</f>
        <v>349</v>
      </c>
      <c r="CH9" s="90"/>
      <c r="CI9" s="45">
        <f>SUM(CI10:CI22)</f>
        <v>54</v>
      </c>
      <c r="CJ9" s="46">
        <f>SUM(CJ10:CJ22)</f>
        <v>9</v>
      </c>
      <c r="CK9" s="46">
        <f>SUM(CK10:CK19)</f>
        <v>158</v>
      </c>
      <c r="CL9" s="90"/>
      <c r="CM9" s="45">
        <f>SUM(CM10:CM22)</f>
        <v>0</v>
      </c>
      <c r="CN9" s="46">
        <f>SUM(CN10:CN22)</f>
        <v>0</v>
      </c>
      <c r="CO9" s="46">
        <f>SUM(CO10:CO19)</f>
        <v>0</v>
      </c>
      <c r="CP9" s="90"/>
      <c r="CQ9" s="45">
        <f>SUM(CQ10:CQ22)</f>
        <v>54</v>
      </c>
      <c r="CR9" s="46">
        <f>SUM(CR10:CR22)</f>
        <v>9</v>
      </c>
      <c r="CS9" s="46">
        <f>SUM(CS10:CS19)</f>
        <v>158</v>
      </c>
      <c r="CT9" s="90"/>
      <c r="CU9" s="45">
        <f>SUM(CU10:CU22)</f>
        <v>0</v>
      </c>
      <c r="CV9" s="46">
        <f>SUM(CV10:CV22)</f>
        <v>0</v>
      </c>
      <c r="CW9" s="46">
        <f>SUM(CW10:CW19)</f>
        <v>0</v>
      </c>
      <c r="CX9" s="90"/>
      <c r="CY9" s="45">
        <f>SUM(CY10:CY22)</f>
        <v>0</v>
      </c>
      <c r="CZ9" s="46">
        <f>SUM(CZ10:CZ22)</f>
        <v>0</v>
      </c>
      <c r="DA9" s="46">
        <f>SUM(DA10:DA19)</f>
        <v>0</v>
      </c>
      <c r="DB9" s="90"/>
      <c r="DC9" s="45">
        <f>SUM(DC10:DC22)</f>
        <v>0</v>
      </c>
      <c r="DD9" s="46">
        <f>SUM(DD10:DD22)</f>
        <v>0</v>
      </c>
      <c r="DE9" s="46">
        <f>SUM(DE10:DE19)</f>
        <v>0</v>
      </c>
      <c r="DF9" s="90"/>
      <c r="DG9" s="45">
        <f>SUM(DG10:DG22)</f>
        <v>0</v>
      </c>
      <c r="DH9" s="46">
        <f>SUM(DH10:DH22)</f>
        <v>0</v>
      </c>
      <c r="DI9" s="46">
        <f>SUM(DI10:DI19)</f>
        <v>0</v>
      </c>
      <c r="DJ9" s="90"/>
      <c r="DK9" s="45">
        <f>SUM(DK10:DK22)</f>
        <v>0</v>
      </c>
      <c r="DL9" s="46">
        <f>SUM(DL10:DL22)</f>
        <v>0</v>
      </c>
      <c r="DM9" s="46">
        <f>SUM(DM10:DM19)</f>
        <v>0</v>
      </c>
      <c r="DN9" s="90"/>
      <c r="DO9" s="47">
        <f t="shared" ref="DO9:DQ12" si="44">CU9+CY9+DC9+DG9+DK9</f>
        <v>0</v>
      </c>
      <c r="DP9" s="47">
        <f t="shared" si="44"/>
        <v>0</v>
      </c>
      <c r="DQ9" s="47">
        <f t="shared" si="44"/>
        <v>0</v>
      </c>
      <c r="DR9" s="47">
        <v>876</v>
      </c>
      <c r="DS9" s="47">
        <v>334</v>
      </c>
      <c r="DT9" s="47">
        <v>2637</v>
      </c>
    </row>
    <row r="10" spans="1:124" ht="13.5" customHeight="1" thickBot="1" x14ac:dyDescent="0.3">
      <c r="A10" s="200"/>
      <c r="B10" s="48" t="s">
        <v>86</v>
      </c>
      <c r="C10" s="49">
        <v>26</v>
      </c>
      <c r="D10" s="49">
        <v>0</v>
      </c>
      <c r="E10" s="84">
        <v>0</v>
      </c>
      <c r="F10" s="90"/>
      <c r="G10" s="87">
        <v>0</v>
      </c>
      <c r="H10" s="49">
        <v>0</v>
      </c>
      <c r="I10" s="49">
        <v>0</v>
      </c>
      <c r="J10" s="90"/>
      <c r="K10" s="49">
        <v>0</v>
      </c>
      <c r="L10" s="49">
        <v>0</v>
      </c>
      <c r="M10" s="49">
        <v>0</v>
      </c>
      <c r="N10" s="90"/>
      <c r="O10" s="49">
        <v>2</v>
      </c>
      <c r="P10" s="49">
        <v>0</v>
      </c>
      <c r="Q10" s="49">
        <v>0</v>
      </c>
      <c r="R10" s="90"/>
      <c r="S10" s="49">
        <v>0</v>
      </c>
      <c r="T10" s="49">
        <v>0</v>
      </c>
      <c r="U10" s="49">
        <v>0</v>
      </c>
      <c r="V10" s="90"/>
      <c r="W10" s="49">
        <v>0</v>
      </c>
      <c r="X10" s="49">
        <v>0</v>
      </c>
      <c r="Y10" s="49">
        <v>0</v>
      </c>
      <c r="Z10" s="90"/>
      <c r="AA10" s="49">
        <v>0</v>
      </c>
      <c r="AB10" s="49">
        <v>0</v>
      </c>
      <c r="AC10" s="49">
        <v>0</v>
      </c>
      <c r="AD10" s="90"/>
      <c r="AE10" s="49">
        <v>0</v>
      </c>
      <c r="AF10" s="49">
        <v>0</v>
      </c>
      <c r="AG10" s="49">
        <v>0</v>
      </c>
      <c r="AH10" s="90"/>
      <c r="AI10" s="49">
        <v>0</v>
      </c>
      <c r="AJ10" s="49">
        <v>0</v>
      </c>
      <c r="AK10" s="49">
        <v>0</v>
      </c>
      <c r="AL10" s="90"/>
      <c r="AM10" s="49">
        <v>21</v>
      </c>
      <c r="AN10" s="49">
        <v>0</v>
      </c>
      <c r="AO10" s="49">
        <v>0</v>
      </c>
      <c r="AP10" s="90"/>
      <c r="AQ10" s="49">
        <v>0</v>
      </c>
      <c r="AR10" s="49">
        <v>0</v>
      </c>
      <c r="AS10" s="49">
        <v>0</v>
      </c>
      <c r="AT10" s="90"/>
      <c r="AU10" s="49">
        <v>0</v>
      </c>
      <c r="AV10" s="49">
        <v>0</v>
      </c>
      <c r="AW10" s="49">
        <v>0</v>
      </c>
      <c r="AX10" s="90"/>
      <c r="AY10" s="49">
        <v>0</v>
      </c>
      <c r="AZ10" s="49">
        <v>0</v>
      </c>
      <c r="BA10" s="49">
        <v>0</v>
      </c>
      <c r="BB10" s="90"/>
      <c r="BC10" s="49">
        <v>0</v>
      </c>
      <c r="BD10" s="49">
        <v>0</v>
      </c>
      <c r="BE10" s="49">
        <v>0</v>
      </c>
      <c r="BF10" s="90"/>
      <c r="BG10" s="49">
        <v>0</v>
      </c>
      <c r="BH10" s="49">
        <v>0</v>
      </c>
      <c r="BI10" s="49">
        <v>0</v>
      </c>
      <c r="BJ10" s="90"/>
      <c r="BK10" s="49">
        <v>0</v>
      </c>
      <c r="BL10" s="49">
        <v>0</v>
      </c>
      <c r="BM10" s="49">
        <v>0</v>
      </c>
      <c r="BN10" s="90"/>
      <c r="BO10" s="49">
        <v>0</v>
      </c>
      <c r="BP10" s="49">
        <v>0</v>
      </c>
      <c r="BQ10" s="49">
        <v>0</v>
      </c>
      <c r="BR10" s="90"/>
      <c r="BS10" s="49">
        <v>0</v>
      </c>
      <c r="BT10" s="49">
        <v>0</v>
      </c>
      <c r="BU10" s="49">
        <v>0</v>
      </c>
      <c r="BV10" s="90"/>
      <c r="BW10" s="49">
        <v>18</v>
      </c>
      <c r="BX10" s="49">
        <v>0</v>
      </c>
      <c r="BY10" s="49">
        <v>0</v>
      </c>
      <c r="BZ10" s="90"/>
      <c r="CA10" s="49">
        <v>0</v>
      </c>
      <c r="CB10" s="49">
        <v>0</v>
      </c>
      <c r="CC10" s="49">
        <v>0</v>
      </c>
      <c r="CD10" s="90"/>
      <c r="CE10" s="49">
        <v>0</v>
      </c>
      <c r="CF10" s="49">
        <v>0</v>
      </c>
      <c r="CG10" s="49">
        <v>0</v>
      </c>
      <c r="CH10" s="90"/>
      <c r="CI10" s="49">
        <v>0</v>
      </c>
      <c r="CJ10" s="49">
        <v>0</v>
      </c>
      <c r="CK10" s="49">
        <v>0</v>
      </c>
      <c r="CL10" s="90"/>
      <c r="CM10" s="49">
        <v>0</v>
      </c>
      <c r="CN10" s="49">
        <v>0</v>
      </c>
      <c r="CO10" s="49">
        <v>0</v>
      </c>
      <c r="CP10" s="90"/>
      <c r="CQ10" s="49">
        <v>0</v>
      </c>
      <c r="CR10" s="49">
        <v>0</v>
      </c>
      <c r="CS10" s="49">
        <v>0</v>
      </c>
      <c r="CT10" s="90"/>
      <c r="CU10" s="49">
        <v>0</v>
      </c>
      <c r="CV10" s="49">
        <v>0</v>
      </c>
      <c r="CW10" s="49">
        <v>0</v>
      </c>
      <c r="CX10" s="90"/>
      <c r="CY10" s="49">
        <v>0</v>
      </c>
      <c r="CZ10" s="49">
        <v>0</v>
      </c>
      <c r="DA10" s="49">
        <v>0</v>
      </c>
      <c r="DB10" s="90"/>
      <c r="DC10" s="49">
        <v>0</v>
      </c>
      <c r="DD10" s="49">
        <v>0</v>
      </c>
      <c r="DE10" s="49">
        <v>0</v>
      </c>
      <c r="DF10" s="90"/>
      <c r="DG10" s="49">
        <v>0</v>
      </c>
      <c r="DH10" s="49">
        <v>0</v>
      </c>
      <c r="DI10" s="49">
        <v>0</v>
      </c>
      <c r="DJ10" s="90"/>
      <c r="DK10" s="49">
        <v>0</v>
      </c>
      <c r="DL10" s="49">
        <v>0</v>
      </c>
      <c r="DM10" s="49">
        <v>0</v>
      </c>
      <c r="DN10" s="90"/>
      <c r="DO10" s="50">
        <f t="shared" si="44"/>
        <v>0</v>
      </c>
      <c r="DP10" s="50">
        <f t="shared" si="44"/>
        <v>0</v>
      </c>
      <c r="DQ10" s="50">
        <f t="shared" si="44"/>
        <v>0</v>
      </c>
      <c r="DR10" s="47">
        <v>220</v>
      </c>
      <c r="DS10" s="47">
        <v>22</v>
      </c>
      <c r="DT10" s="47">
        <v>0</v>
      </c>
    </row>
    <row r="11" spans="1:124" ht="13.5" customHeight="1" thickBot="1" x14ac:dyDescent="0.3">
      <c r="A11" s="200"/>
      <c r="B11" s="48" t="s">
        <v>87</v>
      </c>
      <c r="C11" s="49">
        <v>9</v>
      </c>
      <c r="D11" s="49">
        <v>0</v>
      </c>
      <c r="E11" s="84">
        <v>0</v>
      </c>
      <c r="F11" s="90"/>
      <c r="G11" s="87">
        <v>0</v>
      </c>
      <c r="H11" s="49">
        <v>0</v>
      </c>
      <c r="I11" s="49">
        <v>0</v>
      </c>
      <c r="J11" s="90"/>
      <c r="K11" s="49">
        <v>13</v>
      </c>
      <c r="L11" s="49">
        <v>8</v>
      </c>
      <c r="M11" s="49">
        <v>0</v>
      </c>
      <c r="N11" s="90"/>
      <c r="O11" s="49">
        <v>5</v>
      </c>
      <c r="P11" s="49">
        <v>0</v>
      </c>
      <c r="Q11" s="49">
        <v>0</v>
      </c>
      <c r="R11" s="90"/>
      <c r="S11" s="49">
        <v>0</v>
      </c>
      <c r="T11" s="49">
        <v>0</v>
      </c>
      <c r="U11" s="49">
        <v>0</v>
      </c>
      <c r="V11" s="90"/>
      <c r="W11" s="49">
        <v>0</v>
      </c>
      <c r="X11" s="49">
        <v>0</v>
      </c>
      <c r="Y11" s="49">
        <v>0</v>
      </c>
      <c r="Z11" s="90"/>
      <c r="AA11" s="49">
        <v>0</v>
      </c>
      <c r="AB11" s="49">
        <v>0</v>
      </c>
      <c r="AC11" s="49">
        <v>0</v>
      </c>
      <c r="AD11" s="90"/>
      <c r="AE11" s="49">
        <v>0</v>
      </c>
      <c r="AF11" s="49">
        <v>0</v>
      </c>
      <c r="AG11" s="49">
        <v>0</v>
      </c>
      <c r="AH11" s="90"/>
      <c r="AI11" s="49">
        <v>0</v>
      </c>
      <c r="AJ11" s="49">
        <v>0</v>
      </c>
      <c r="AK11" s="49">
        <v>0</v>
      </c>
      <c r="AL11" s="90"/>
      <c r="AM11" s="49">
        <v>8</v>
      </c>
      <c r="AN11" s="49">
        <v>4</v>
      </c>
      <c r="AO11" s="49">
        <v>0</v>
      </c>
      <c r="AP11" s="90"/>
      <c r="AQ11" s="49">
        <v>0</v>
      </c>
      <c r="AR11" s="49">
        <v>0</v>
      </c>
      <c r="AS11" s="49">
        <v>0</v>
      </c>
      <c r="AT11" s="90"/>
      <c r="AU11" s="49">
        <v>0</v>
      </c>
      <c r="AV11" s="49">
        <v>0</v>
      </c>
      <c r="AW11" s="49">
        <v>0</v>
      </c>
      <c r="AX11" s="90"/>
      <c r="AY11" s="49">
        <v>3</v>
      </c>
      <c r="AZ11" s="49">
        <v>0</v>
      </c>
      <c r="BA11" s="49">
        <v>0</v>
      </c>
      <c r="BB11" s="90"/>
      <c r="BC11" s="49">
        <v>0</v>
      </c>
      <c r="BD11" s="49">
        <v>0</v>
      </c>
      <c r="BE11" s="49">
        <v>0</v>
      </c>
      <c r="BF11" s="90"/>
      <c r="BG11" s="49">
        <v>0</v>
      </c>
      <c r="BH11" s="49">
        <v>0</v>
      </c>
      <c r="BI11" s="49">
        <v>0</v>
      </c>
      <c r="BJ11" s="90"/>
      <c r="BK11" s="49">
        <v>0</v>
      </c>
      <c r="BL11" s="49">
        <v>0</v>
      </c>
      <c r="BM11" s="49">
        <v>0</v>
      </c>
      <c r="BN11" s="90"/>
      <c r="BO11" s="49">
        <v>18</v>
      </c>
      <c r="BP11" s="49">
        <v>11</v>
      </c>
      <c r="BQ11" s="49">
        <v>0</v>
      </c>
      <c r="BR11" s="90"/>
      <c r="BS11" s="49">
        <v>18</v>
      </c>
      <c r="BT11" s="49">
        <v>9</v>
      </c>
      <c r="BU11" s="49">
        <v>0</v>
      </c>
      <c r="BV11" s="90"/>
      <c r="BW11" s="49">
        <v>5</v>
      </c>
      <c r="BX11" s="49">
        <v>0</v>
      </c>
      <c r="BY11" s="49">
        <v>0</v>
      </c>
      <c r="BZ11" s="90"/>
      <c r="CA11" s="49">
        <v>18</v>
      </c>
      <c r="CB11" s="49">
        <v>9</v>
      </c>
      <c r="CC11" s="49">
        <v>0</v>
      </c>
      <c r="CD11" s="90"/>
      <c r="CE11" s="49">
        <v>18</v>
      </c>
      <c r="CF11" s="49">
        <v>9</v>
      </c>
      <c r="CG11" s="49">
        <v>0</v>
      </c>
      <c r="CH11" s="90"/>
      <c r="CI11" s="49">
        <v>3</v>
      </c>
      <c r="CJ11" s="49">
        <v>0</v>
      </c>
      <c r="CK11" s="49">
        <v>0</v>
      </c>
      <c r="CL11" s="90"/>
      <c r="CM11" s="49">
        <v>0</v>
      </c>
      <c r="CN11" s="49">
        <v>0</v>
      </c>
      <c r="CO11" s="49">
        <v>0</v>
      </c>
      <c r="CP11" s="90"/>
      <c r="CQ11" s="49">
        <v>3</v>
      </c>
      <c r="CR11" s="49">
        <v>0</v>
      </c>
      <c r="CS11" s="49">
        <v>0</v>
      </c>
      <c r="CT11" s="90"/>
      <c r="CU11" s="49">
        <v>0</v>
      </c>
      <c r="CV11" s="49">
        <v>0</v>
      </c>
      <c r="CW11" s="49">
        <v>0</v>
      </c>
      <c r="CX11" s="90"/>
      <c r="CY11" s="49">
        <v>0</v>
      </c>
      <c r="CZ11" s="49">
        <v>0</v>
      </c>
      <c r="DA11" s="49">
        <v>0</v>
      </c>
      <c r="DB11" s="90"/>
      <c r="DC11" s="49">
        <v>0</v>
      </c>
      <c r="DD11" s="49">
        <v>0</v>
      </c>
      <c r="DE11" s="49">
        <v>0</v>
      </c>
      <c r="DF11" s="90"/>
      <c r="DG11" s="49">
        <v>0</v>
      </c>
      <c r="DH11" s="49">
        <v>0</v>
      </c>
      <c r="DI11" s="49">
        <v>0</v>
      </c>
      <c r="DJ11" s="90"/>
      <c r="DK11" s="49">
        <v>0</v>
      </c>
      <c r="DL11" s="49">
        <v>0</v>
      </c>
      <c r="DM11" s="49">
        <v>0</v>
      </c>
      <c r="DN11" s="90"/>
      <c r="DO11" s="50">
        <f t="shared" si="44"/>
        <v>0</v>
      </c>
      <c r="DP11" s="50">
        <f t="shared" si="44"/>
        <v>0</v>
      </c>
      <c r="DQ11" s="50">
        <f t="shared" si="44"/>
        <v>0</v>
      </c>
      <c r="DR11" s="47">
        <v>57</v>
      </c>
      <c r="DS11" s="47">
        <v>36</v>
      </c>
      <c r="DT11" s="47">
        <v>0</v>
      </c>
    </row>
    <row r="12" spans="1:124" ht="13.5" customHeight="1" thickBot="1" x14ac:dyDescent="0.3">
      <c r="A12" s="200"/>
      <c r="B12" s="51" t="s">
        <v>88</v>
      </c>
      <c r="C12" s="49">
        <v>108</v>
      </c>
      <c r="D12" s="49">
        <v>0</v>
      </c>
      <c r="E12" s="84">
        <v>0</v>
      </c>
      <c r="F12" s="90"/>
      <c r="G12" s="87">
        <v>0</v>
      </c>
      <c r="H12" s="49">
        <v>0</v>
      </c>
      <c r="I12" s="49">
        <v>0</v>
      </c>
      <c r="J12" s="90"/>
      <c r="K12" s="49">
        <v>124</v>
      </c>
      <c r="L12" s="49">
        <v>8</v>
      </c>
      <c r="M12" s="49">
        <v>0</v>
      </c>
      <c r="N12" s="90"/>
      <c r="O12" s="49">
        <v>42</v>
      </c>
      <c r="P12" s="49">
        <v>0</v>
      </c>
      <c r="Q12" s="49">
        <v>0</v>
      </c>
      <c r="R12" s="90"/>
      <c r="S12" s="49">
        <v>5</v>
      </c>
      <c r="T12" s="49">
        <v>0</v>
      </c>
      <c r="U12" s="49">
        <v>0</v>
      </c>
      <c r="V12" s="90"/>
      <c r="W12" s="49">
        <v>0</v>
      </c>
      <c r="X12" s="49">
        <v>0</v>
      </c>
      <c r="Y12" s="49">
        <v>0</v>
      </c>
      <c r="Z12" s="90"/>
      <c r="AA12" s="49">
        <v>0</v>
      </c>
      <c r="AB12" s="49">
        <v>0</v>
      </c>
      <c r="AC12" s="49">
        <v>0</v>
      </c>
      <c r="AD12" s="90"/>
      <c r="AE12" s="49">
        <v>0</v>
      </c>
      <c r="AF12" s="49">
        <v>0</v>
      </c>
      <c r="AG12" s="49">
        <v>0</v>
      </c>
      <c r="AH12" s="90"/>
      <c r="AI12" s="49">
        <v>0</v>
      </c>
      <c r="AJ12" s="49">
        <v>0</v>
      </c>
      <c r="AK12" s="49">
        <v>0</v>
      </c>
      <c r="AL12" s="90"/>
      <c r="AM12" s="49">
        <v>71</v>
      </c>
      <c r="AN12" s="49">
        <v>4</v>
      </c>
      <c r="AO12" s="49">
        <v>0</v>
      </c>
      <c r="AP12" s="90"/>
      <c r="AQ12" s="49">
        <v>0</v>
      </c>
      <c r="AR12" s="49">
        <v>0</v>
      </c>
      <c r="AS12" s="49">
        <v>0</v>
      </c>
      <c r="AT12" s="90"/>
      <c r="AU12" s="49">
        <v>0</v>
      </c>
      <c r="AV12" s="49">
        <v>0</v>
      </c>
      <c r="AW12" s="49">
        <v>0</v>
      </c>
      <c r="AX12" s="90"/>
      <c r="AY12" s="49">
        <v>41</v>
      </c>
      <c r="AZ12" s="49">
        <v>0</v>
      </c>
      <c r="BA12" s="49">
        <v>0</v>
      </c>
      <c r="BB12" s="90"/>
      <c r="BC12" s="49">
        <v>0</v>
      </c>
      <c r="BD12" s="49">
        <v>0</v>
      </c>
      <c r="BE12" s="49">
        <v>0</v>
      </c>
      <c r="BF12" s="90"/>
      <c r="BG12" s="49">
        <v>0</v>
      </c>
      <c r="BH12" s="49">
        <v>0</v>
      </c>
      <c r="BI12" s="49">
        <v>0</v>
      </c>
      <c r="BJ12" s="90"/>
      <c r="BK12" s="49">
        <v>0</v>
      </c>
      <c r="BL12" s="49">
        <v>0</v>
      </c>
      <c r="BM12" s="49">
        <v>0</v>
      </c>
      <c r="BN12" s="90"/>
      <c r="BO12" s="49">
        <v>93</v>
      </c>
      <c r="BP12" s="49">
        <v>11</v>
      </c>
      <c r="BQ12" s="49">
        <v>0</v>
      </c>
      <c r="BR12" s="90"/>
      <c r="BS12" s="49">
        <v>93</v>
      </c>
      <c r="BT12" s="49">
        <v>9</v>
      </c>
      <c r="BU12" s="49">
        <v>0</v>
      </c>
      <c r="BV12" s="90"/>
      <c r="BW12" s="49">
        <v>86</v>
      </c>
      <c r="BX12" s="49">
        <v>0</v>
      </c>
      <c r="BY12" s="49">
        <v>0</v>
      </c>
      <c r="BZ12" s="90"/>
      <c r="CA12" s="49">
        <v>93</v>
      </c>
      <c r="CB12" s="152">
        <v>9</v>
      </c>
      <c r="CC12" s="49">
        <v>0</v>
      </c>
      <c r="CD12" s="90"/>
      <c r="CE12" s="49">
        <v>93</v>
      </c>
      <c r="CF12" s="49">
        <v>9</v>
      </c>
      <c r="CG12" s="49">
        <v>0</v>
      </c>
      <c r="CH12" s="90"/>
      <c r="CI12" s="49">
        <v>41</v>
      </c>
      <c r="CJ12" s="49">
        <v>0</v>
      </c>
      <c r="CK12" s="49">
        <v>0</v>
      </c>
      <c r="CL12" s="90"/>
      <c r="CM12" s="49">
        <v>0</v>
      </c>
      <c r="CN12" s="49">
        <v>0</v>
      </c>
      <c r="CO12" s="49">
        <v>0</v>
      </c>
      <c r="CP12" s="90"/>
      <c r="CQ12" s="49">
        <v>41</v>
      </c>
      <c r="CR12" s="49">
        <v>0</v>
      </c>
      <c r="CS12" s="49">
        <v>0</v>
      </c>
      <c r="CT12" s="90"/>
      <c r="CU12" s="49">
        <v>0</v>
      </c>
      <c r="CV12" s="49">
        <v>0</v>
      </c>
      <c r="CW12" s="49">
        <v>0</v>
      </c>
      <c r="CX12" s="90"/>
      <c r="CY12" s="49">
        <v>0</v>
      </c>
      <c r="CZ12" s="49">
        <v>0</v>
      </c>
      <c r="DA12" s="49">
        <v>0</v>
      </c>
      <c r="DB12" s="90"/>
      <c r="DC12" s="49">
        <v>0</v>
      </c>
      <c r="DD12" s="49">
        <v>0</v>
      </c>
      <c r="DE12" s="49">
        <v>0</v>
      </c>
      <c r="DF12" s="90"/>
      <c r="DG12" s="49">
        <v>0</v>
      </c>
      <c r="DH12" s="49">
        <v>0</v>
      </c>
      <c r="DI12" s="49">
        <v>0</v>
      </c>
      <c r="DJ12" s="90"/>
      <c r="DK12" s="49">
        <v>0</v>
      </c>
      <c r="DL12" s="49">
        <v>0</v>
      </c>
      <c r="DM12" s="49">
        <v>0</v>
      </c>
      <c r="DN12" s="90"/>
      <c r="DO12" s="50">
        <f t="shared" si="44"/>
        <v>0</v>
      </c>
      <c r="DP12" s="50">
        <f t="shared" si="44"/>
        <v>0</v>
      </c>
      <c r="DQ12" s="50">
        <f t="shared" si="44"/>
        <v>0</v>
      </c>
      <c r="DR12" s="47">
        <v>592</v>
      </c>
      <c r="DS12" s="47">
        <v>0</v>
      </c>
      <c r="DT12" s="47">
        <v>0</v>
      </c>
    </row>
    <row r="13" spans="1:124" ht="13.5" customHeight="1" thickBot="1" x14ac:dyDescent="0.3">
      <c r="A13" s="200"/>
      <c r="B13" s="48" t="s">
        <v>89</v>
      </c>
      <c r="C13" s="49">
        <v>0</v>
      </c>
      <c r="D13" s="49">
        <v>0</v>
      </c>
      <c r="E13" s="84">
        <v>0</v>
      </c>
      <c r="F13" s="90"/>
      <c r="G13" s="87">
        <v>0</v>
      </c>
      <c r="H13" s="49">
        <v>0</v>
      </c>
      <c r="I13" s="49">
        <v>0</v>
      </c>
      <c r="J13" s="90"/>
      <c r="K13" s="49">
        <v>0</v>
      </c>
      <c r="L13" s="49">
        <v>0</v>
      </c>
      <c r="M13" s="49">
        <v>0</v>
      </c>
      <c r="N13" s="90"/>
      <c r="O13" s="49">
        <v>0</v>
      </c>
      <c r="P13" s="49">
        <v>0</v>
      </c>
      <c r="Q13" s="49">
        <v>0</v>
      </c>
      <c r="R13" s="90"/>
      <c r="S13" s="49">
        <v>0</v>
      </c>
      <c r="T13" s="49">
        <v>0</v>
      </c>
      <c r="U13" s="49">
        <v>0</v>
      </c>
      <c r="V13" s="90"/>
      <c r="W13" s="49">
        <v>0</v>
      </c>
      <c r="X13" s="49">
        <v>0</v>
      </c>
      <c r="Y13" s="49">
        <v>0</v>
      </c>
      <c r="Z13" s="90"/>
      <c r="AA13" s="49">
        <v>0</v>
      </c>
      <c r="AB13" s="49">
        <v>0</v>
      </c>
      <c r="AC13" s="49">
        <v>0</v>
      </c>
      <c r="AD13" s="90"/>
      <c r="AE13" s="49">
        <v>0</v>
      </c>
      <c r="AF13" s="49">
        <v>0</v>
      </c>
      <c r="AG13" s="49">
        <v>0</v>
      </c>
      <c r="AH13" s="90"/>
      <c r="AI13" s="49">
        <v>0</v>
      </c>
      <c r="AJ13" s="49">
        <v>0</v>
      </c>
      <c r="AK13" s="49">
        <v>0</v>
      </c>
      <c r="AL13" s="90"/>
      <c r="AM13" s="49">
        <v>0</v>
      </c>
      <c r="AN13" s="49">
        <v>0</v>
      </c>
      <c r="AO13" s="49">
        <v>0</v>
      </c>
      <c r="AP13" s="90"/>
      <c r="AQ13" s="49">
        <v>0</v>
      </c>
      <c r="AR13" s="49">
        <v>0</v>
      </c>
      <c r="AS13" s="49">
        <v>0</v>
      </c>
      <c r="AT13" s="90"/>
      <c r="AU13" s="49">
        <v>0</v>
      </c>
      <c r="AV13" s="49">
        <v>0</v>
      </c>
      <c r="AW13" s="49">
        <v>0</v>
      </c>
      <c r="AX13" s="90"/>
      <c r="AY13" s="49">
        <v>0</v>
      </c>
      <c r="AZ13" s="49">
        <v>0</v>
      </c>
      <c r="BA13" s="49">
        <v>0</v>
      </c>
      <c r="BB13" s="90"/>
      <c r="BC13" s="49">
        <v>0</v>
      </c>
      <c r="BD13" s="49">
        <v>0</v>
      </c>
      <c r="BE13" s="49">
        <v>0</v>
      </c>
      <c r="BF13" s="90"/>
      <c r="BG13" s="49">
        <v>0</v>
      </c>
      <c r="BH13" s="49">
        <v>0</v>
      </c>
      <c r="BI13" s="49">
        <v>0</v>
      </c>
      <c r="BJ13" s="90"/>
      <c r="BK13" s="49">
        <v>0</v>
      </c>
      <c r="BL13" s="49">
        <v>0</v>
      </c>
      <c r="BM13" s="49">
        <v>0</v>
      </c>
      <c r="BN13" s="90"/>
      <c r="BO13" s="49">
        <v>0</v>
      </c>
      <c r="BP13" s="49">
        <v>0</v>
      </c>
      <c r="BQ13" s="49">
        <v>0</v>
      </c>
      <c r="BR13" s="90"/>
      <c r="BS13" s="49">
        <v>0</v>
      </c>
      <c r="BT13" s="49">
        <v>0</v>
      </c>
      <c r="BU13" s="49">
        <v>0</v>
      </c>
      <c r="BV13" s="90"/>
      <c r="BW13" s="49">
        <v>0</v>
      </c>
      <c r="BX13" s="49">
        <v>0</v>
      </c>
      <c r="BY13" s="49">
        <v>0</v>
      </c>
      <c r="BZ13" s="90"/>
      <c r="CA13" s="49">
        <v>0</v>
      </c>
      <c r="CB13" s="49">
        <v>0</v>
      </c>
      <c r="CC13" s="49">
        <v>0</v>
      </c>
      <c r="CD13" s="90"/>
      <c r="CE13" s="49">
        <v>0</v>
      </c>
      <c r="CF13" s="49">
        <v>0</v>
      </c>
      <c r="CG13" s="49">
        <v>0</v>
      </c>
      <c r="CH13" s="90"/>
      <c r="CI13" s="49">
        <v>0</v>
      </c>
      <c r="CJ13" s="49">
        <v>0</v>
      </c>
      <c r="CK13" s="49">
        <v>0</v>
      </c>
      <c r="CL13" s="90"/>
      <c r="CM13" s="49">
        <v>0</v>
      </c>
      <c r="CN13" s="49">
        <v>0</v>
      </c>
      <c r="CO13" s="49">
        <v>0</v>
      </c>
      <c r="CP13" s="90"/>
      <c r="CQ13" s="49">
        <v>0</v>
      </c>
      <c r="CR13" s="49">
        <v>0</v>
      </c>
      <c r="CS13" s="49">
        <v>0</v>
      </c>
      <c r="CT13" s="90"/>
      <c r="CU13" s="49">
        <v>0</v>
      </c>
      <c r="CV13" s="49">
        <v>0</v>
      </c>
      <c r="CW13" s="49">
        <v>0</v>
      </c>
      <c r="CX13" s="90"/>
      <c r="CY13" s="49">
        <v>0</v>
      </c>
      <c r="CZ13" s="49">
        <v>0</v>
      </c>
      <c r="DA13" s="49">
        <v>0</v>
      </c>
      <c r="DB13" s="90"/>
      <c r="DC13" s="49">
        <v>0</v>
      </c>
      <c r="DD13" s="49">
        <v>0</v>
      </c>
      <c r="DE13" s="49">
        <v>0</v>
      </c>
      <c r="DF13" s="90"/>
      <c r="DG13" s="49">
        <v>0</v>
      </c>
      <c r="DH13" s="49">
        <v>0</v>
      </c>
      <c r="DI13" s="49">
        <v>0</v>
      </c>
      <c r="DJ13" s="90"/>
      <c r="DK13" s="49">
        <v>0</v>
      </c>
      <c r="DL13" s="49">
        <v>0</v>
      </c>
      <c r="DM13" s="49">
        <v>0</v>
      </c>
      <c r="DN13" s="90"/>
      <c r="DO13" s="50">
        <v>0</v>
      </c>
      <c r="DP13" s="50">
        <v>0</v>
      </c>
      <c r="DQ13" s="50">
        <v>0</v>
      </c>
      <c r="DR13" s="47">
        <v>2</v>
      </c>
      <c r="DS13" s="47">
        <v>0</v>
      </c>
      <c r="DT13" s="47">
        <v>0</v>
      </c>
    </row>
    <row r="14" spans="1:124" ht="13.5" customHeight="1" thickBot="1" x14ac:dyDescent="0.3">
      <c r="A14" s="200"/>
      <c r="B14" s="48" t="s">
        <v>90</v>
      </c>
      <c r="C14" s="49">
        <v>0</v>
      </c>
      <c r="D14" s="49">
        <v>0</v>
      </c>
      <c r="E14" s="84">
        <v>0</v>
      </c>
      <c r="F14" s="90"/>
      <c r="G14" s="87">
        <v>0</v>
      </c>
      <c r="H14" s="49">
        <v>0</v>
      </c>
      <c r="I14" s="49">
        <v>0</v>
      </c>
      <c r="J14" s="90"/>
      <c r="K14" s="49">
        <v>0</v>
      </c>
      <c r="L14" s="49">
        <v>0</v>
      </c>
      <c r="M14" s="49">
        <v>0</v>
      </c>
      <c r="N14" s="90"/>
      <c r="O14" s="49">
        <v>0</v>
      </c>
      <c r="P14" s="49">
        <v>0</v>
      </c>
      <c r="Q14" s="49">
        <v>0</v>
      </c>
      <c r="R14" s="90"/>
      <c r="S14" s="49">
        <v>0</v>
      </c>
      <c r="T14" s="49">
        <v>0</v>
      </c>
      <c r="U14" s="49">
        <v>0</v>
      </c>
      <c r="V14" s="90"/>
      <c r="W14" s="49">
        <v>0</v>
      </c>
      <c r="X14" s="49">
        <v>0</v>
      </c>
      <c r="Y14" s="49">
        <v>0</v>
      </c>
      <c r="Z14" s="90"/>
      <c r="AA14" s="49">
        <v>0</v>
      </c>
      <c r="AB14" s="49">
        <v>0</v>
      </c>
      <c r="AC14" s="49">
        <v>0</v>
      </c>
      <c r="AD14" s="90"/>
      <c r="AE14" s="49">
        <v>0</v>
      </c>
      <c r="AF14" s="49">
        <v>0</v>
      </c>
      <c r="AG14" s="49">
        <v>0</v>
      </c>
      <c r="AH14" s="90"/>
      <c r="AI14" s="49">
        <v>0</v>
      </c>
      <c r="AJ14" s="49">
        <v>0</v>
      </c>
      <c r="AK14" s="49">
        <v>0</v>
      </c>
      <c r="AL14" s="90"/>
      <c r="AM14" s="49">
        <v>0</v>
      </c>
      <c r="AN14" s="49">
        <v>0</v>
      </c>
      <c r="AO14" s="49">
        <v>0</v>
      </c>
      <c r="AP14" s="90"/>
      <c r="AQ14" s="49">
        <v>0</v>
      </c>
      <c r="AR14" s="49">
        <v>0</v>
      </c>
      <c r="AS14" s="49">
        <v>0</v>
      </c>
      <c r="AT14" s="90"/>
      <c r="AU14" s="49">
        <v>0</v>
      </c>
      <c r="AV14" s="49">
        <v>0</v>
      </c>
      <c r="AW14" s="49">
        <v>0</v>
      </c>
      <c r="AX14" s="90"/>
      <c r="AY14" s="49">
        <v>0</v>
      </c>
      <c r="AZ14" s="49">
        <v>0</v>
      </c>
      <c r="BA14" s="49">
        <v>0</v>
      </c>
      <c r="BB14" s="90"/>
      <c r="BC14" s="49">
        <v>0</v>
      </c>
      <c r="BD14" s="49">
        <v>0</v>
      </c>
      <c r="BE14" s="49">
        <v>0</v>
      </c>
      <c r="BF14" s="90"/>
      <c r="BG14" s="49">
        <v>0</v>
      </c>
      <c r="BH14" s="49">
        <v>0</v>
      </c>
      <c r="BI14" s="49">
        <v>0</v>
      </c>
      <c r="BJ14" s="90"/>
      <c r="BK14" s="49">
        <v>0</v>
      </c>
      <c r="BL14" s="49">
        <v>0</v>
      </c>
      <c r="BM14" s="49">
        <v>0</v>
      </c>
      <c r="BN14" s="90"/>
      <c r="BO14" s="49">
        <v>0</v>
      </c>
      <c r="BP14" s="49">
        <v>0</v>
      </c>
      <c r="BQ14" s="49">
        <v>0</v>
      </c>
      <c r="BR14" s="90"/>
      <c r="BS14" s="49">
        <v>0</v>
      </c>
      <c r="BT14" s="49">
        <v>0</v>
      </c>
      <c r="BU14" s="49">
        <v>0</v>
      </c>
      <c r="BV14" s="90"/>
      <c r="BW14" s="49">
        <v>0</v>
      </c>
      <c r="BX14" s="49">
        <v>0</v>
      </c>
      <c r="BY14" s="49">
        <v>0</v>
      </c>
      <c r="BZ14" s="90"/>
      <c r="CA14" s="49">
        <v>0</v>
      </c>
      <c r="CB14" s="49">
        <v>0</v>
      </c>
      <c r="CC14" s="49">
        <v>0</v>
      </c>
      <c r="CD14" s="90"/>
      <c r="CE14" s="49">
        <v>0</v>
      </c>
      <c r="CF14" s="49">
        <v>0</v>
      </c>
      <c r="CG14" s="49">
        <v>0</v>
      </c>
      <c r="CH14" s="90"/>
      <c r="CI14" s="49">
        <v>0</v>
      </c>
      <c r="CJ14" s="49">
        <v>0</v>
      </c>
      <c r="CK14" s="49">
        <v>0</v>
      </c>
      <c r="CL14" s="90"/>
      <c r="CM14" s="49">
        <v>0</v>
      </c>
      <c r="CN14" s="49">
        <v>0</v>
      </c>
      <c r="CO14" s="49">
        <v>0</v>
      </c>
      <c r="CP14" s="90"/>
      <c r="CQ14" s="49">
        <v>0</v>
      </c>
      <c r="CR14" s="49">
        <v>0</v>
      </c>
      <c r="CS14" s="49">
        <v>0</v>
      </c>
      <c r="CT14" s="90"/>
      <c r="CU14" s="49">
        <v>0</v>
      </c>
      <c r="CV14" s="49">
        <v>0</v>
      </c>
      <c r="CW14" s="49">
        <v>0</v>
      </c>
      <c r="CX14" s="90"/>
      <c r="CY14" s="49">
        <v>0</v>
      </c>
      <c r="CZ14" s="49">
        <v>0</v>
      </c>
      <c r="DA14" s="49">
        <v>0</v>
      </c>
      <c r="DB14" s="90"/>
      <c r="DC14" s="49">
        <v>0</v>
      </c>
      <c r="DD14" s="49">
        <v>0</v>
      </c>
      <c r="DE14" s="49">
        <v>0</v>
      </c>
      <c r="DF14" s="90"/>
      <c r="DG14" s="49">
        <v>0</v>
      </c>
      <c r="DH14" s="49">
        <v>0</v>
      </c>
      <c r="DI14" s="49">
        <v>0</v>
      </c>
      <c r="DJ14" s="90"/>
      <c r="DK14" s="49">
        <v>0</v>
      </c>
      <c r="DL14" s="49">
        <v>0</v>
      </c>
      <c r="DM14" s="49">
        <v>0</v>
      </c>
      <c r="DN14" s="90"/>
      <c r="DO14" s="50">
        <v>0</v>
      </c>
      <c r="DP14" s="50">
        <v>0</v>
      </c>
      <c r="DQ14" s="50">
        <v>0</v>
      </c>
      <c r="DR14" s="47">
        <v>0</v>
      </c>
      <c r="DS14" s="47">
        <v>0</v>
      </c>
      <c r="DT14" s="47">
        <v>0</v>
      </c>
    </row>
    <row r="15" spans="1:124" ht="13.5" customHeight="1" thickBot="1" x14ac:dyDescent="0.3">
      <c r="A15" s="200"/>
      <c r="B15" s="48" t="s">
        <v>91</v>
      </c>
      <c r="C15" s="49">
        <v>0</v>
      </c>
      <c r="D15" s="49">
        <v>0</v>
      </c>
      <c r="E15" s="84">
        <v>0</v>
      </c>
      <c r="F15" s="90"/>
      <c r="G15" s="87">
        <v>0</v>
      </c>
      <c r="H15" s="49">
        <v>0</v>
      </c>
      <c r="I15" s="49">
        <v>0</v>
      </c>
      <c r="J15" s="90"/>
      <c r="K15" s="49">
        <v>0</v>
      </c>
      <c r="L15" s="49">
        <v>0</v>
      </c>
      <c r="M15" s="49">
        <v>0</v>
      </c>
      <c r="N15" s="90"/>
      <c r="O15" s="49">
        <v>0</v>
      </c>
      <c r="P15" s="49">
        <v>0</v>
      </c>
      <c r="Q15" s="49">
        <v>0</v>
      </c>
      <c r="R15" s="90"/>
      <c r="S15" s="49">
        <v>0</v>
      </c>
      <c r="T15" s="49">
        <v>0</v>
      </c>
      <c r="U15" s="49">
        <v>0</v>
      </c>
      <c r="V15" s="90"/>
      <c r="W15" s="49">
        <v>0</v>
      </c>
      <c r="X15" s="49">
        <v>0</v>
      </c>
      <c r="Y15" s="49">
        <v>0</v>
      </c>
      <c r="Z15" s="90"/>
      <c r="AA15" s="49">
        <v>0</v>
      </c>
      <c r="AB15" s="49">
        <v>0</v>
      </c>
      <c r="AC15" s="49">
        <v>0</v>
      </c>
      <c r="AD15" s="90"/>
      <c r="AE15" s="49">
        <v>0</v>
      </c>
      <c r="AF15" s="49">
        <v>0</v>
      </c>
      <c r="AG15" s="49">
        <v>0</v>
      </c>
      <c r="AH15" s="90"/>
      <c r="AI15" s="49">
        <v>0</v>
      </c>
      <c r="AJ15" s="49">
        <v>0</v>
      </c>
      <c r="AK15" s="49">
        <v>0</v>
      </c>
      <c r="AL15" s="90"/>
      <c r="AM15" s="49">
        <v>0</v>
      </c>
      <c r="AN15" s="49">
        <v>0</v>
      </c>
      <c r="AO15" s="49">
        <v>0</v>
      </c>
      <c r="AP15" s="90"/>
      <c r="AQ15" s="49">
        <v>0</v>
      </c>
      <c r="AR15" s="49">
        <v>0</v>
      </c>
      <c r="AS15" s="49">
        <v>0</v>
      </c>
      <c r="AT15" s="90"/>
      <c r="AU15" s="49">
        <v>0</v>
      </c>
      <c r="AV15" s="49">
        <v>0</v>
      </c>
      <c r="AW15" s="49">
        <v>0</v>
      </c>
      <c r="AX15" s="90"/>
      <c r="AY15" s="49">
        <v>0</v>
      </c>
      <c r="AZ15" s="49">
        <v>0</v>
      </c>
      <c r="BA15" s="49">
        <v>0</v>
      </c>
      <c r="BB15" s="90"/>
      <c r="BC15" s="49">
        <v>0</v>
      </c>
      <c r="BD15" s="49">
        <v>0</v>
      </c>
      <c r="BE15" s="49">
        <v>0</v>
      </c>
      <c r="BF15" s="90"/>
      <c r="BG15" s="49">
        <v>0</v>
      </c>
      <c r="BH15" s="49">
        <v>0</v>
      </c>
      <c r="BI15" s="49">
        <v>0</v>
      </c>
      <c r="BJ15" s="90"/>
      <c r="BK15" s="49">
        <v>0</v>
      </c>
      <c r="BL15" s="49">
        <v>0</v>
      </c>
      <c r="BM15" s="49">
        <v>0</v>
      </c>
      <c r="BN15" s="90"/>
      <c r="BO15" s="49">
        <v>0</v>
      </c>
      <c r="BP15" s="49">
        <v>0</v>
      </c>
      <c r="BQ15" s="49">
        <v>0</v>
      </c>
      <c r="BR15" s="90"/>
      <c r="BS15" s="49">
        <v>0</v>
      </c>
      <c r="BT15" s="49">
        <v>0</v>
      </c>
      <c r="BU15" s="49">
        <v>0</v>
      </c>
      <c r="BV15" s="90"/>
      <c r="BW15" s="49">
        <v>0</v>
      </c>
      <c r="BX15" s="49">
        <v>0</v>
      </c>
      <c r="BY15" s="49">
        <v>0</v>
      </c>
      <c r="BZ15" s="90"/>
      <c r="CA15" s="49">
        <v>0</v>
      </c>
      <c r="CB15" s="49">
        <v>0</v>
      </c>
      <c r="CC15" s="49">
        <v>0</v>
      </c>
      <c r="CD15" s="90"/>
      <c r="CE15" s="49">
        <v>0</v>
      </c>
      <c r="CF15" s="49">
        <v>0</v>
      </c>
      <c r="CG15" s="49">
        <v>0</v>
      </c>
      <c r="CH15" s="90"/>
      <c r="CI15" s="49">
        <v>0</v>
      </c>
      <c r="CJ15" s="49">
        <v>0</v>
      </c>
      <c r="CK15" s="49">
        <v>0</v>
      </c>
      <c r="CL15" s="90"/>
      <c r="CM15" s="49">
        <v>0</v>
      </c>
      <c r="CN15" s="49">
        <v>0</v>
      </c>
      <c r="CO15" s="49">
        <v>0</v>
      </c>
      <c r="CP15" s="90"/>
      <c r="CQ15" s="49">
        <v>0</v>
      </c>
      <c r="CR15" s="49">
        <v>0</v>
      </c>
      <c r="CS15" s="49">
        <v>0</v>
      </c>
      <c r="CT15" s="90"/>
      <c r="CU15" s="49">
        <v>0</v>
      </c>
      <c r="CV15" s="49">
        <v>0</v>
      </c>
      <c r="CW15" s="49">
        <v>0</v>
      </c>
      <c r="CX15" s="90"/>
      <c r="CY15" s="49">
        <v>0</v>
      </c>
      <c r="CZ15" s="49">
        <v>0</v>
      </c>
      <c r="DA15" s="49">
        <v>0</v>
      </c>
      <c r="DB15" s="90"/>
      <c r="DC15" s="49">
        <v>0</v>
      </c>
      <c r="DD15" s="49">
        <v>0</v>
      </c>
      <c r="DE15" s="49">
        <v>0</v>
      </c>
      <c r="DF15" s="90"/>
      <c r="DG15" s="49">
        <v>0</v>
      </c>
      <c r="DH15" s="49">
        <v>0</v>
      </c>
      <c r="DI15" s="49">
        <v>0</v>
      </c>
      <c r="DJ15" s="90"/>
      <c r="DK15" s="49">
        <v>0</v>
      </c>
      <c r="DL15" s="49">
        <v>0</v>
      </c>
      <c r="DM15" s="49">
        <v>0</v>
      </c>
      <c r="DN15" s="90"/>
      <c r="DO15" s="50">
        <v>0</v>
      </c>
      <c r="DP15" s="50">
        <v>0</v>
      </c>
      <c r="DQ15" s="50">
        <v>0</v>
      </c>
      <c r="DR15" s="47">
        <v>0</v>
      </c>
      <c r="DS15" s="47">
        <v>0</v>
      </c>
      <c r="DT15" s="47">
        <v>0</v>
      </c>
    </row>
    <row r="16" spans="1:124" ht="13.5" customHeight="1" thickBot="1" x14ac:dyDescent="0.3">
      <c r="A16" s="200"/>
      <c r="B16" s="48" t="s">
        <v>92</v>
      </c>
      <c r="C16" s="49">
        <v>0</v>
      </c>
      <c r="D16" s="49">
        <v>0</v>
      </c>
      <c r="E16" s="84">
        <v>0</v>
      </c>
      <c r="F16" s="90"/>
      <c r="G16" s="87">
        <v>0</v>
      </c>
      <c r="H16" s="49">
        <v>0</v>
      </c>
      <c r="I16" s="49">
        <v>0</v>
      </c>
      <c r="J16" s="90"/>
      <c r="K16" s="49">
        <v>0</v>
      </c>
      <c r="L16" s="49">
        <v>0</v>
      </c>
      <c r="M16" s="49">
        <v>0</v>
      </c>
      <c r="N16" s="90"/>
      <c r="O16" s="49">
        <v>0</v>
      </c>
      <c r="P16" s="49">
        <v>0</v>
      </c>
      <c r="Q16" s="49">
        <v>0</v>
      </c>
      <c r="R16" s="90"/>
      <c r="S16" s="49">
        <v>0</v>
      </c>
      <c r="T16" s="49">
        <v>0</v>
      </c>
      <c r="U16" s="49">
        <v>0</v>
      </c>
      <c r="V16" s="90"/>
      <c r="W16" s="49">
        <v>0</v>
      </c>
      <c r="X16" s="49">
        <v>0</v>
      </c>
      <c r="Y16" s="49">
        <v>0</v>
      </c>
      <c r="Z16" s="90"/>
      <c r="AA16" s="49">
        <v>0</v>
      </c>
      <c r="AB16" s="49">
        <v>0</v>
      </c>
      <c r="AC16" s="49">
        <v>0</v>
      </c>
      <c r="AD16" s="90"/>
      <c r="AE16" s="49">
        <v>0</v>
      </c>
      <c r="AF16" s="49">
        <v>0</v>
      </c>
      <c r="AG16" s="49">
        <v>0</v>
      </c>
      <c r="AH16" s="90"/>
      <c r="AI16" s="49">
        <v>0</v>
      </c>
      <c r="AJ16" s="49">
        <v>0</v>
      </c>
      <c r="AK16" s="49">
        <v>0</v>
      </c>
      <c r="AL16" s="90"/>
      <c r="AM16" s="49">
        <v>0</v>
      </c>
      <c r="AN16" s="49">
        <v>0</v>
      </c>
      <c r="AO16" s="49">
        <v>0</v>
      </c>
      <c r="AP16" s="90"/>
      <c r="AQ16" s="49">
        <v>0</v>
      </c>
      <c r="AR16" s="49">
        <v>0</v>
      </c>
      <c r="AS16" s="49">
        <v>0</v>
      </c>
      <c r="AT16" s="90"/>
      <c r="AU16" s="49">
        <v>0</v>
      </c>
      <c r="AV16" s="49">
        <v>0</v>
      </c>
      <c r="AW16" s="49">
        <v>0</v>
      </c>
      <c r="AX16" s="90"/>
      <c r="AY16" s="49">
        <v>0</v>
      </c>
      <c r="AZ16" s="49">
        <v>0</v>
      </c>
      <c r="BA16" s="49">
        <v>0</v>
      </c>
      <c r="BB16" s="90"/>
      <c r="BC16" s="49">
        <v>0</v>
      </c>
      <c r="BD16" s="49">
        <v>0</v>
      </c>
      <c r="BE16" s="49">
        <v>0</v>
      </c>
      <c r="BF16" s="90"/>
      <c r="BG16" s="49">
        <v>0</v>
      </c>
      <c r="BH16" s="49">
        <v>0</v>
      </c>
      <c r="BI16" s="49">
        <v>0</v>
      </c>
      <c r="BJ16" s="90"/>
      <c r="BK16" s="49">
        <v>0</v>
      </c>
      <c r="BL16" s="49">
        <v>0</v>
      </c>
      <c r="BM16" s="49">
        <v>0</v>
      </c>
      <c r="BN16" s="90"/>
      <c r="BO16" s="49">
        <v>0</v>
      </c>
      <c r="BP16" s="49">
        <v>0</v>
      </c>
      <c r="BQ16" s="49">
        <v>0</v>
      </c>
      <c r="BR16" s="90"/>
      <c r="BS16" s="49">
        <v>0</v>
      </c>
      <c r="BT16" s="49">
        <v>0</v>
      </c>
      <c r="BU16" s="49">
        <v>0</v>
      </c>
      <c r="BV16" s="90"/>
      <c r="BW16" s="49">
        <v>0</v>
      </c>
      <c r="BX16" s="49">
        <v>0</v>
      </c>
      <c r="BY16" s="49">
        <v>0</v>
      </c>
      <c r="BZ16" s="90"/>
      <c r="CA16" s="49">
        <v>0</v>
      </c>
      <c r="CB16" s="49">
        <v>0</v>
      </c>
      <c r="CC16" s="49">
        <v>0</v>
      </c>
      <c r="CD16" s="90"/>
      <c r="CE16" s="49">
        <v>0</v>
      </c>
      <c r="CF16" s="49">
        <v>0</v>
      </c>
      <c r="CG16" s="49">
        <v>0</v>
      </c>
      <c r="CH16" s="90"/>
      <c r="CI16" s="49">
        <v>0</v>
      </c>
      <c r="CJ16" s="49">
        <v>0</v>
      </c>
      <c r="CK16" s="49">
        <v>0</v>
      </c>
      <c r="CL16" s="90"/>
      <c r="CM16" s="49">
        <v>0</v>
      </c>
      <c r="CN16" s="49">
        <v>0</v>
      </c>
      <c r="CO16" s="49">
        <v>0</v>
      </c>
      <c r="CP16" s="90"/>
      <c r="CQ16" s="49">
        <v>0</v>
      </c>
      <c r="CR16" s="49">
        <v>0</v>
      </c>
      <c r="CS16" s="49">
        <v>0</v>
      </c>
      <c r="CT16" s="90"/>
      <c r="CU16" s="49">
        <v>0</v>
      </c>
      <c r="CV16" s="49">
        <v>0</v>
      </c>
      <c r="CW16" s="49">
        <v>0</v>
      </c>
      <c r="CX16" s="90"/>
      <c r="CY16" s="49">
        <v>0</v>
      </c>
      <c r="CZ16" s="49">
        <v>0</v>
      </c>
      <c r="DA16" s="49">
        <v>0</v>
      </c>
      <c r="DB16" s="90"/>
      <c r="DC16" s="49">
        <v>0</v>
      </c>
      <c r="DD16" s="49">
        <v>0</v>
      </c>
      <c r="DE16" s="49">
        <v>0</v>
      </c>
      <c r="DF16" s="90"/>
      <c r="DG16" s="49">
        <v>0</v>
      </c>
      <c r="DH16" s="49">
        <v>0</v>
      </c>
      <c r="DI16" s="49">
        <v>0</v>
      </c>
      <c r="DJ16" s="90"/>
      <c r="DK16" s="49">
        <v>0</v>
      </c>
      <c r="DL16" s="49">
        <v>0</v>
      </c>
      <c r="DM16" s="49">
        <v>0</v>
      </c>
      <c r="DN16" s="90"/>
      <c r="DO16" s="50">
        <v>0</v>
      </c>
      <c r="DP16" s="50">
        <v>0</v>
      </c>
      <c r="DQ16" s="50">
        <v>0</v>
      </c>
      <c r="DR16" s="47">
        <v>0</v>
      </c>
      <c r="DS16" s="47">
        <v>0</v>
      </c>
      <c r="DT16" s="47">
        <v>0</v>
      </c>
    </row>
    <row r="17" spans="1:124" ht="13.5" customHeight="1" thickBot="1" x14ac:dyDescent="0.3">
      <c r="A17" s="200"/>
      <c r="B17" s="52" t="s">
        <v>93</v>
      </c>
      <c r="C17" s="49">
        <v>0</v>
      </c>
      <c r="D17" s="49">
        <v>5</v>
      </c>
      <c r="E17" s="84">
        <v>645</v>
      </c>
      <c r="F17" s="90"/>
      <c r="G17" s="87">
        <v>0</v>
      </c>
      <c r="H17" s="49">
        <v>0</v>
      </c>
      <c r="I17" s="49">
        <v>0</v>
      </c>
      <c r="J17" s="90"/>
      <c r="K17" s="49">
        <v>0</v>
      </c>
      <c r="L17" s="49">
        <v>18</v>
      </c>
      <c r="M17" s="49">
        <v>237</v>
      </c>
      <c r="N17" s="90"/>
      <c r="O17" s="49">
        <v>0</v>
      </c>
      <c r="P17" s="49">
        <v>7</v>
      </c>
      <c r="Q17" s="49">
        <v>261</v>
      </c>
      <c r="R17" s="90"/>
      <c r="S17" s="49">
        <v>0</v>
      </c>
      <c r="T17" s="49">
        <v>4</v>
      </c>
      <c r="U17" s="49">
        <v>69</v>
      </c>
      <c r="V17" s="90"/>
      <c r="W17" s="49">
        <v>0</v>
      </c>
      <c r="X17" s="49">
        <v>0</v>
      </c>
      <c r="Y17" s="49">
        <v>0</v>
      </c>
      <c r="Z17" s="90"/>
      <c r="AA17" s="49">
        <v>0</v>
      </c>
      <c r="AB17" s="49">
        <v>0</v>
      </c>
      <c r="AC17" s="49">
        <v>0</v>
      </c>
      <c r="AD17" s="90"/>
      <c r="AE17" s="49">
        <v>0</v>
      </c>
      <c r="AF17" s="49">
        <v>0</v>
      </c>
      <c r="AG17" s="49">
        <v>0</v>
      </c>
      <c r="AH17" s="90"/>
      <c r="AI17" s="49">
        <v>0</v>
      </c>
      <c r="AJ17" s="49">
        <v>0</v>
      </c>
      <c r="AK17" s="49">
        <v>0</v>
      </c>
      <c r="AL17" s="90"/>
      <c r="AM17" s="49">
        <v>0</v>
      </c>
      <c r="AN17" s="49">
        <v>47</v>
      </c>
      <c r="AO17" s="151">
        <v>148</v>
      </c>
      <c r="AP17" s="90"/>
      <c r="AQ17" s="49">
        <v>0</v>
      </c>
      <c r="AR17" s="49">
        <v>0</v>
      </c>
      <c r="AS17" s="49">
        <v>0</v>
      </c>
      <c r="AT17" s="90"/>
      <c r="AU17" s="49">
        <v>0</v>
      </c>
      <c r="AV17" s="49">
        <v>0</v>
      </c>
      <c r="AW17" s="49">
        <v>0</v>
      </c>
      <c r="AX17" s="90"/>
      <c r="AY17" s="49">
        <v>0</v>
      </c>
      <c r="AZ17" s="49">
        <v>9</v>
      </c>
      <c r="BA17" s="49">
        <v>141</v>
      </c>
      <c r="BB17" s="90"/>
      <c r="BC17" s="49">
        <v>0</v>
      </c>
      <c r="BD17" s="49">
        <v>0</v>
      </c>
      <c r="BE17" s="49">
        <v>0</v>
      </c>
      <c r="BF17" s="90"/>
      <c r="BG17" s="49">
        <v>0</v>
      </c>
      <c r="BH17" s="49">
        <v>0</v>
      </c>
      <c r="BI17" s="49">
        <v>0</v>
      </c>
      <c r="BJ17" s="90"/>
      <c r="BK17" s="49">
        <v>0</v>
      </c>
      <c r="BL17" s="49">
        <v>0</v>
      </c>
      <c r="BM17" s="49">
        <v>0</v>
      </c>
      <c r="BN17" s="90"/>
      <c r="BO17" s="49">
        <v>0</v>
      </c>
      <c r="BP17" s="49">
        <v>10</v>
      </c>
      <c r="BQ17" s="151">
        <v>331</v>
      </c>
      <c r="BR17" s="90"/>
      <c r="BS17" s="49">
        <v>0</v>
      </c>
      <c r="BT17" s="49">
        <v>10</v>
      </c>
      <c r="BU17" s="151">
        <v>332</v>
      </c>
      <c r="BV17" s="90"/>
      <c r="BW17" s="49">
        <v>0</v>
      </c>
      <c r="BX17" s="49">
        <v>15</v>
      </c>
      <c r="BY17" s="151">
        <v>237</v>
      </c>
      <c r="BZ17" s="90"/>
      <c r="CA17" s="49">
        <v>0</v>
      </c>
      <c r="CB17" s="49">
        <v>10</v>
      </c>
      <c r="CC17" s="151">
        <v>332</v>
      </c>
      <c r="CD17" s="90"/>
      <c r="CE17" s="49">
        <v>0</v>
      </c>
      <c r="CF17" s="49">
        <v>10</v>
      </c>
      <c r="CG17" s="151">
        <v>332</v>
      </c>
      <c r="CH17" s="90"/>
      <c r="CI17" s="49">
        <v>0</v>
      </c>
      <c r="CJ17" s="49">
        <v>9</v>
      </c>
      <c r="CK17" s="49">
        <v>141</v>
      </c>
      <c r="CL17" s="90"/>
      <c r="CM17" s="49">
        <v>0</v>
      </c>
      <c r="CN17" s="49">
        <v>0</v>
      </c>
      <c r="CO17" s="49">
        <v>0</v>
      </c>
      <c r="CP17" s="90"/>
      <c r="CQ17" s="49">
        <v>0</v>
      </c>
      <c r="CR17" s="49">
        <v>9</v>
      </c>
      <c r="CS17" s="49">
        <v>141</v>
      </c>
      <c r="CT17" s="90"/>
      <c r="CU17" s="49">
        <v>0</v>
      </c>
      <c r="CV17" s="49">
        <v>0</v>
      </c>
      <c r="CW17" s="49">
        <v>0</v>
      </c>
      <c r="CX17" s="90"/>
      <c r="CY17" s="49">
        <v>0</v>
      </c>
      <c r="CZ17" s="49">
        <v>0</v>
      </c>
      <c r="DA17" s="49">
        <v>0</v>
      </c>
      <c r="DB17" s="90"/>
      <c r="DC17" s="49">
        <v>0</v>
      </c>
      <c r="DD17" s="49">
        <v>0</v>
      </c>
      <c r="DE17" s="49">
        <v>0</v>
      </c>
      <c r="DF17" s="90"/>
      <c r="DG17" s="49">
        <v>0</v>
      </c>
      <c r="DH17" s="49">
        <v>0</v>
      </c>
      <c r="DI17" s="49">
        <v>0</v>
      </c>
      <c r="DJ17" s="90"/>
      <c r="DK17" s="49">
        <v>0</v>
      </c>
      <c r="DL17" s="49">
        <v>0</v>
      </c>
      <c r="DM17" s="49">
        <v>0</v>
      </c>
      <c r="DN17" s="90"/>
      <c r="DO17" s="50">
        <f t="shared" ref="DO17:DQ22" si="45">CU17+CY17+DC17+DG17+DK17</f>
        <v>0</v>
      </c>
      <c r="DP17" s="50">
        <f t="shared" si="45"/>
        <v>0</v>
      </c>
      <c r="DQ17" s="50">
        <f t="shared" si="45"/>
        <v>0</v>
      </c>
      <c r="DR17" s="47">
        <v>0</v>
      </c>
      <c r="DS17" s="47">
        <v>249</v>
      </c>
      <c r="DT17" s="47">
        <v>2349</v>
      </c>
    </row>
    <row r="18" spans="1:124" ht="13.5" customHeight="1" thickBot="1" x14ac:dyDescent="0.3">
      <c r="A18" s="200"/>
      <c r="B18" s="52" t="s">
        <v>94</v>
      </c>
      <c r="C18" s="49">
        <v>0</v>
      </c>
      <c r="D18" s="49">
        <v>0</v>
      </c>
      <c r="E18" s="84">
        <v>33</v>
      </c>
      <c r="F18" s="90"/>
      <c r="G18" s="87">
        <v>0</v>
      </c>
      <c r="H18" s="49">
        <v>0</v>
      </c>
      <c r="I18" s="49">
        <v>0</v>
      </c>
      <c r="J18" s="90"/>
      <c r="K18" s="49">
        <v>0</v>
      </c>
      <c r="L18" s="49">
        <v>1</v>
      </c>
      <c r="M18" s="49">
        <v>38</v>
      </c>
      <c r="N18" s="90"/>
      <c r="O18" s="49">
        <v>0</v>
      </c>
      <c r="P18" s="49">
        <v>0</v>
      </c>
      <c r="Q18" s="49">
        <v>27</v>
      </c>
      <c r="R18" s="90"/>
      <c r="S18" s="49">
        <v>0</v>
      </c>
      <c r="T18" s="49">
        <v>0</v>
      </c>
      <c r="U18" s="49">
        <v>3</v>
      </c>
      <c r="V18" s="90"/>
      <c r="W18" s="49">
        <v>0</v>
      </c>
      <c r="X18" s="49">
        <v>0</v>
      </c>
      <c r="Y18" s="49">
        <v>0</v>
      </c>
      <c r="Z18" s="90"/>
      <c r="AA18" s="49">
        <v>0</v>
      </c>
      <c r="AB18" s="49">
        <v>0</v>
      </c>
      <c r="AC18" s="49">
        <v>0</v>
      </c>
      <c r="AD18" s="90"/>
      <c r="AE18" s="49">
        <v>0</v>
      </c>
      <c r="AF18" s="49">
        <v>0</v>
      </c>
      <c r="AG18" s="49">
        <v>0</v>
      </c>
      <c r="AH18" s="90"/>
      <c r="AI18" s="49">
        <v>0</v>
      </c>
      <c r="AJ18" s="49">
        <v>0</v>
      </c>
      <c r="AK18" s="49">
        <v>0</v>
      </c>
      <c r="AL18" s="90"/>
      <c r="AM18" s="49">
        <v>0</v>
      </c>
      <c r="AN18" s="49">
        <v>0</v>
      </c>
      <c r="AO18" s="49">
        <v>10</v>
      </c>
      <c r="AP18" s="90"/>
      <c r="AQ18" s="49">
        <v>0</v>
      </c>
      <c r="AR18" s="49">
        <v>0</v>
      </c>
      <c r="AS18" s="49">
        <v>0</v>
      </c>
      <c r="AT18" s="90"/>
      <c r="AU18" s="49">
        <v>0</v>
      </c>
      <c r="AV18" s="49">
        <v>0</v>
      </c>
      <c r="AW18" s="49">
        <v>0</v>
      </c>
      <c r="AX18" s="90"/>
      <c r="AY18" s="49">
        <v>0</v>
      </c>
      <c r="AZ18" s="49">
        <v>0</v>
      </c>
      <c r="BA18" s="49">
        <v>17</v>
      </c>
      <c r="BB18" s="90"/>
      <c r="BC18" s="49">
        <v>0</v>
      </c>
      <c r="BD18" s="49">
        <v>0</v>
      </c>
      <c r="BE18" s="49">
        <v>0</v>
      </c>
      <c r="BF18" s="90"/>
      <c r="BG18" s="49">
        <v>0</v>
      </c>
      <c r="BH18" s="49">
        <v>0</v>
      </c>
      <c r="BI18" s="49">
        <v>0</v>
      </c>
      <c r="BJ18" s="90"/>
      <c r="BK18" s="49">
        <v>0</v>
      </c>
      <c r="BL18" s="49">
        <v>0</v>
      </c>
      <c r="BM18" s="49">
        <v>0</v>
      </c>
      <c r="BN18" s="90"/>
      <c r="BO18" s="49">
        <v>0</v>
      </c>
      <c r="BP18" s="49">
        <v>0</v>
      </c>
      <c r="BQ18" s="49">
        <v>17</v>
      </c>
      <c r="BR18" s="90"/>
      <c r="BS18" s="49">
        <v>0</v>
      </c>
      <c r="BT18" s="49">
        <v>0</v>
      </c>
      <c r="BU18" s="49">
        <v>17</v>
      </c>
      <c r="BV18" s="90"/>
      <c r="BW18" s="49">
        <v>0</v>
      </c>
      <c r="BX18" s="49">
        <v>0</v>
      </c>
      <c r="BY18" s="49">
        <v>10</v>
      </c>
      <c r="BZ18" s="90"/>
      <c r="CA18" s="49">
        <v>0</v>
      </c>
      <c r="CB18" s="49">
        <v>0</v>
      </c>
      <c r="CC18" s="49">
        <v>17</v>
      </c>
      <c r="CD18" s="90"/>
      <c r="CE18" s="49">
        <v>0</v>
      </c>
      <c r="CF18" s="49">
        <v>0</v>
      </c>
      <c r="CG18" s="49">
        <v>17</v>
      </c>
      <c r="CH18" s="90"/>
      <c r="CI18" s="49">
        <v>0</v>
      </c>
      <c r="CJ18" s="49">
        <v>0</v>
      </c>
      <c r="CK18" s="49">
        <v>17</v>
      </c>
      <c r="CL18" s="90"/>
      <c r="CM18" s="49">
        <v>0</v>
      </c>
      <c r="CN18" s="49">
        <v>0</v>
      </c>
      <c r="CO18" s="49">
        <v>0</v>
      </c>
      <c r="CP18" s="90"/>
      <c r="CQ18" s="49">
        <v>0</v>
      </c>
      <c r="CR18" s="49">
        <v>0</v>
      </c>
      <c r="CS18" s="49">
        <v>17</v>
      </c>
      <c r="CT18" s="90"/>
      <c r="CU18" s="49">
        <v>0</v>
      </c>
      <c r="CV18" s="49">
        <v>0</v>
      </c>
      <c r="CW18" s="49">
        <v>0</v>
      </c>
      <c r="CX18" s="90"/>
      <c r="CY18" s="49">
        <v>0</v>
      </c>
      <c r="CZ18" s="49">
        <v>0</v>
      </c>
      <c r="DA18" s="49">
        <v>0</v>
      </c>
      <c r="DB18" s="90"/>
      <c r="DC18" s="49">
        <v>0</v>
      </c>
      <c r="DD18" s="49">
        <v>0</v>
      </c>
      <c r="DE18" s="49">
        <v>0</v>
      </c>
      <c r="DF18" s="90"/>
      <c r="DG18" s="49">
        <v>0</v>
      </c>
      <c r="DH18" s="49">
        <v>0</v>
      </c>
      <c r="DI18" s="49">
        <v>0</v>
      </c>
      <c r="DJ18" s="90"/>
      <c r="DK18" s="49">
        <v>0</v>
      </c>
      <c r="DL18" s="49">
        <v>0</v>
      </c>
      <c r="DM18" s="49">
        <v>0</v>
      </c>
      <c r="DN18" s="90"/>
      <c r="DO18" s="50">
        <f t="shared" si="45"/>
        <v>0</v>
      </c>
      <c r="DP18" s="50">
        <f t="shared" si="45"/>
        <v>0</v>
      </c>
      <c r="DQ18" s="50">
        <f t="shared" si="45"/>
        <v>0</v>
      </c>
      <c r="DR18" s="47">
        <v>0</v>
      </c>
      <c r="DS18" s="47">
        <v>26</v>
      </c>
      <c r="DT18" s="47">
        <v>227</v>
      </c>
    </row>
    <row r="19" spans="1:124" ht="13.5" customHeight="1" thickBot="1" x14ac:dyDescent="0.3">
      <c r="A19" s="200"/>
      <c r="B19" s="52" t="s">
        <v>95</v>
      </c>
      <c r="C19" s="49">
        <v>0</v>
      </c>
      <c r="D19" s="49">
        <v>0</v>
      </c>
      <c r="E19" s="84">
        <v>0</v>
      </c>
      <c r="F19" s="90"/>
      <c r="G19" s="87">
        <v>0</v>
      </c>
      <c r="H19" s="49">
        <v>0</v>
      </c>
      <c r="I19" s="49">
        <v>0</v>
      </c>
      <c r="J19" s="90"/>
      <c r="K19" s="49">
        <v>0</v>
      </c>
      <c r="L19" s="49">
        <v>0</v>
      </c>
      <c r="M19" s="49">
        <v>0</v>
      </c>
      <c r="N19" s="90"/>
      <c r="O19" s="49">
        <v>0</v>
      </c>
      <c r="P19" s="49">
        <v>0</v>
      </c>
      <c r="Q19" s="49">
        <v>0</v>
      </c>
      <c r="R19" s="90"/>
      <c r="S19" s="49">
        <v>0</v>
      </c>
      <c r="T19" s="49">
        <v>0</v>
      </c>
      <c r="U19" s="49">
        <v>0</v>
      </c>
      <c r="V19" s="90"/>
      <c r="W19" s="49">
        <v>0</v>
      </c>
      <c r="X19" s="49">
        <v>0</v>
      </c>
      <c r="Y19" s="49">
        <v>0</v>
      </c>
      <c r="Z19" s="90"/>
      <c r="AA19" s="49">
        <v>0</v>
      </c>
      <c r="AB19" s="49">
        <v>0</v>
      </c>
      <c r="AC19" s="49">
        <v>0</v>
      </c>
      <c r="AD19" s="90"/>
      <c r="AE19" s="49">
        <v>0</v>
      </c>
      <c r="AF19" s="49">
        <v>0</v>
      </c>
      <c r="AG19" s="49">
        <v>0</v>
      </c>
      <c r="AH19" s="90"/>
      <c r="AI19" s="49">
        <v>0</v>
      </c>
      <c r="AJ19" s="49">
        <v>0</v>
      </c>
      <c r="AK19" s="49">
        <v>0</v>
      </c>
      <c r="AL19" s="90"/>
      <c r="AM19" s="49">
        <v>0</v>
      </c>
      <c r="AN19" s="49">
        <v>0</v>
      </c>
      <c r="AO19" s="49">
        <v>0</v>
      </c>
      <c r="AP19" s="90"/>
      <c r="AQ19" s="49">
        <v>0</v>
      </c>
      <c r="AR19" s="49">
        <v>0</v>
      </c>
      <c r="AS19" s="49">
        <v>0</v>
      </c>
      <c r="AT19" s="90"/>
      <c r="AU19" s="49">
        <v>0</v>
      </c>
      <c r="AV19" s="49">
        <v>0</v>
      </c>
      <c r="AW19" s="49">
        <v>0</v>
      </c>
      <c r="AX19" s="90"/>
      <c r="AY19" s="49">
        <v>0</v>
      </c>
      <c r="AZ19" s="49">
        <v>0</v>
      </c>
      <c r="BA19" s="49">
        <v>0</v>
      </c>
      <c r="BB19" s="90"/>
      <c r="BC19" s="49">
        <v>0</v>
      </c>
      <c r="BD19" s="49">
        <v>0</v>
      </c>
      <c r="BE19" s="49">
        <v>0</v>
      </c>
      <c r="BF19" s="90"/>
      <c r="BG19" s="49">
        <v>0</v>
      </c>
      <c r="BH19" s="49">
        <v>0</v>
      </c>
      <c r="BI19" s="49">
        <v>0</v>
      </c>
      <c r="BJ19" s="90"/>
      <c r="BK19" s="49">
        <v>0</v>
      </c>
      <c r="BL19" s="49">
        <v>0</v>
      </c>
      <c r="BM19" s="49">
        <v>0</v>
      </c>
      <c r="BN19" s="90"/>
      <c r="BO19" s="49">
        <v>0</v>
      </c>
      <c r="BP19" s="49">
        <v>0</v>
      </c>
      <c r="BQ19" s="49">
        <v>0</v>
      </c>
      <c r="BR19" s="90"/>
      <c r="BS19" s="49">
        <v>0</v>
      </c>
      <c r="BT19" s="49">
        <v>0</v>
      </c>
      <c r="BU19" s="49">
        <v>0</v>
      </c>
      <c r="BV19" s="90"/>
      <c r="BW19" s="49">
        <v>0</v>
      </c>
      <c r="BX19" s="49">
        <v>0</v>
      </c>
      <c r="BY19" s="49">
        <v>0</v>
      </c>
      <c r="BZ19" s="90"/>
      <c r="CA19" s="49">
        <v>0</v>
      </c>
      <c r="CB19" s="49">
        <v>0</v>
      </c>
      <c r="CC19" s="49">
        <v>4</v>
      </c>
      <c r="CD19" s="90"/>
      <c r="CE19" s="49">
        <v>0</v>
      </c>
      <c r="CF19" s="49">
        <v>0</v>
      </c>
      <c r="CG19" s="49">
        <v>0</v>
      </c>
      <c r="CH19" s="90"/>
      <c r="CI19" s="49">
        <v>0</v>
      </c>
      <c r="CJ19" s="49">
        <v>0</v>
      </c>
      <c r="CK19" s="49">
        <v>0</v>
      </c>
      <c r="CL19" s="90"/>
      <c r="CM19" s="49">
        <v>0</v>
      </c>
      <c r="CN19" s="49">
        <v>0</v>
      </c>
      <c r="CO19" s="49">
        <v>0</v>
      </c>
      <c r="CP19" s="90"/>
      <c r="CQ19" s="49">
        <v>0</v>
      </c>
      <c r="CR19" s="49">
        <v>0</v>
      </c>
      <c r="CS19" s="49">
        <v>0</v>
      </c>
      <c r="CT19" s="90"/>
      <c r="CU19" s="49">
        <v>0</v>
      </c>
      <c r="CV19" s="49">
        <v>0</v>
      </c>
      <c r="CW19" s="49">
        <v>0</v>
      </c>
      <c r="CX19" s="90"/>
      <c r="CY19" s="49">
        <v>0</v>
      </c>
      <c r="CZ19" s="49">
        <v>0</v>
      </c>
      <c r="DA19" s="49">
        <v>0</v>
      </c>
      <c r="DB19" s="90"/>
      <c r="DC19" s="49">
        <v>0</v>
      </c>
      <c r="DD19" s="49">
        <v>0</v>
      </c>
      <c r="DE19" s="49">
        <v>0</v>
      </c>
      <c r="DF19" s="90"/>
      <c r="DG19" s="49">
        <v>0</v>
      </c>
      <c r="DH19" s="49">
        <v>0</v>
      </c>
      <c r="DI19" s="49">
        <v>0</v>
      </c>
      <c r="DJ19" s="90"/>
      <c r="DK19" s="49">
        <v>0</v>
      </c>
      <c r="DL19" s="49">
        <v>0</v>
      </c>
      <c r="DM19" s="49">
        <v>0</v>
      </c>
      <c r="DN19" s="90"/>
      <c r="DO19" s="50">
        <f t="shared" si="45"/>
        <v>0</v>
      </c>
      <c r="DP19" s="50">
        <f t="shared" si="45"/>
        <v>0</v>
      </c>
      <c r="DQ19" s="50">
        <f t="shared" si="45"/>
        <v>0</v>
      </c>
      <c r="DR19" s="47">
        <v>0</v>
      </c>
      <c r="DS19" s="47">
        <v>0</v>
      </c>
      <c r="DT19" s="47">
        <v>61</v>
      </c>
    </row>
    <row r="20" spans="1:124" ht="13.5" customHeight="1" thickBot="1" x14ac:dyDescent="0.3">
      <c r="A20" s="200"/>
      <c r="B20" s="52" t="s">
        <v>96</v>
      </c>
      <c r="C20" s="49">
        <v>0</v>
      </c>
      <c r="D20" s="49">
        <v>0</v>
      </c>
      <c r="E20" s="84">
        <v>0</v>
      </c>
      <c r="F20" s="90"/>
      <c r="G20" s="87">
        <v>0</v>
      </c>
      <c r="H20" s="49">
        <v>0</v>
      </c>
      <c r="I20" s="49">
        <v>0</v>
      </c>
      <c r="J20" s="90"/>
      <c r="K20" s="49">
        <v>0</v>
      </c>
      <c r="L20" s="49">
        <v>0</v>
      </c>
      <c r="M20" s="49">
        <v>7</v>
      </c>
      <c r="N20" s="90"/>
      <c r="O20" s="49">
        <v>0</v>
      </c>
      <c r="P20" s="49">
        <v>0</v>
      </c>
      <c r="Q20" s="49">
        <v>0</v>
      </c>
      <c r="R20" s="90"/>
      <c r="S20" s="49">
        <v>0</v>
      </c>
      <c r="T20" s="49">
        <v>0</v>
      </c>
      <c r="U20" s="49">
        <v>0</v>
      </c>
      <c r="V20" s="90"/>
      <c r="W20" s="49">
        <v>0</v>
      </c>
      <c r="X20" s="49">
        <v>0</v>
      </c>
      <c r="Y20" s="49">
        <v>0</v>
      </c>
      <c r="Z20" s="90"/>
      <c r="AA20" s="49">
        <v>0</v>
      </c>
      <c r="AB20" s="49">
        <v>0</v>
      </c>
      <c r="AC20" s="49">
        <v>0</v>
      </c>
      <c r="AD20" s="90"/>
      <c r="AE20" s="49">
        <v>0</v>
      </c>
      <c r="AF20" s="49">
        <v>0</v>
      </c>
      <c r="AG20" s="49">
        <v>0</v>
      </c>
      <c r="AH20" s="90"/>
      <c r="AI20" s="49">
        <v>0</v>
      </c>
      <c r="AJ20" s="49">
        <v>0</v>
      </c>
      <c r="AK20" s="49">
        <v>0</v>
      </c>
      <c r="AL20" s="90"/>
      <c r="AM20" s="49">
        <v>0</v>
      </c>
      <c r="AN20" s="49">
        <v>0</v>
      </c>
      <c r="AO20" s="49">
        <v>0</v>
      </c>
      <c r="AP20" s="90"/>
      <c r="AQ20" s="49">
        <v>0</v>
      </c>
      <c r="AR20" s="49">
        <v>0</v>
      </c>
      <c r="AS20" s="49">
        <v>0</v>
      </c>
      <c r="AT20" s="90"/>
      <c r="AU20" s="49">
        <v>0</v>
      </c>
      <c r="AV20" s="49">
        <v>0</v>
      </c>
      <c r="AW20" s="49">
        <v>0</v>
      </c>
      <c r="AX20" s="90"/>
      <c r="AY20" s="49">
        <v>0</v>
      </c>
      <c r="AZ20" s="49">
        <v>0</v>
      </c>
      <c r="BA20" s="49">
        <v>0</v>
      </c>
      <c r="BB20" s="90"/>
      <c r="BC20" s="49">
        <v>0</v>
      </c>
      <c r="BD20" s="49">
        <v>0</v>
      </c>
      <c r="BE20" s="49">
        <v>0</v>
      </c>
      <c r="BF20" s="90"/>
      <c r="BG20" s="49">
        <v>0</v>
      </c>
      <c r="BH20" s="49">
        <v>0</v>
      </c>
      <c r="BI20" s="49">
        <v>0</v>
      </c>
      <c r="BJ20" s="90"/>
      <c r="BK20" s="49">
        <v>0</v>
      </c>
      <c r="BL20" s="49">
        <v>0</v>
      </c>
      <c r="BM20" s="49">
        <v>0</v>
      </c>
      <c r="BN20" s="90"/>
      <c r="BO20" s="49">
        <v>0</v>
      </c>
      <c r="BP20" s="49">
        <v>0</v>
      </c>
      <c r="BQ20" s="49">
        <v>1</v>
      </c>
      <c r="BR20" s="90"/>
      <c r="BS20" s="49">
        <v>0</v>
      </c>
      <c r="BT20" s="49">
        <v>0</v>
      </c>
      <c r="BU20" s="49">
        <v>0</v>
      </c>
      <c r="BV20" s="90"/>
      <c r="BW20" s="49">
        <v>0</v>
      </c>
      <c r="BX20" s="49">
        <v>0</v>
      </c>
      <c r="BY20" s="49">
        <v>1</v>
      </c>
      <c r="BZ20" s="90"/>
      <c r="CA20" s="49">
        <v>0</v>
      </c>
      <c r="CB20" s="49">
        <v>0</v>
      </c>
      <c r="CC20" s="49">
        <v>4</v>
      </c>
      <c r="CD20" s="90"/>
      <c r="CE20" s="49">
        <v>0</v>
      </c>
      <c r="CF20" s="49">
        <v>0</v>
      </c>
      <c r="CG20" s="49">
        <v>1</v>
      </c>
      <c r="CH20" s="90"/>
      <c r="CI20" s="49">
        <v>0</v>
      </c>
      <c r="CJ20" s="49">
        <v>0</v>
      </c>
      <c r="CK20" s="49">
        <v>0</v>
      </c>
      <c r="CL20" s="90"/>
      <c r="CM20" s="49">
        <v>0</v>
      </c>
      <c r="CN20" s="49">
        <v>0</v>
      </c>
      <c r="CO20" s="49">
        <v>0</v>
      </c>
      <c r="CP20" s="90"/>
      <c r="CQ20" s="49">
        <v>0</v>
      </c>
      <c r="CR20" s="49">
        <v>0</v>
      </c>
      <c r="CS20" s="49">
        <v>0</v>
      </c>
      <c r="CT20" s="90"/>
      <c r="CU20" s="49">
        <v>0</v>
      </c>
      <c r="CV20" s="49">
        <v>0</v>
      </c>
      <c r="CW20" s="49">
        <v>0</v>
      </c>
      <c r="CX20" s="90"/>
      <c r="CY20" s="49">
        <v>0</v>
      </c>
      <c r="CZ20" s="49">
        <v>0</v>
      </c>
      <c r="DA20" s="49">
        <v>0</v>
      </c>
      <c r="DB20" s="90"/>
      <c r="DC20" s="49">
        <v>0</v>
      </c>
      <c r="DD20" s="49">
        <v>0</v>
      </c>
      <c r="DE20" s="49">
        <v>0</v>
      </c>
      <c r="DF20" s="90"/>
      <c r="DG20" s="49">
        <v>0</v>
      </c>
      <c r="DH20" s="49">
        <v>0</v>
      </c>
      <c r="DI20" s="49">
        <v>0</v>
      </c>
      <c r="DJ20" s="90"/>
      <c r="DK20" s="49">
        <v>0</v>
      </c>
      <c r="DL20" s="49">
        <v>0</v>
      </c>
      <c r="DM20" s="49">
        <v>0</v>
      </c>
      <c r="DN20" s="90"/>
      <c r="DO20" s="50">
        <f t="shared" si="45"/>
        <v>0</v>
      </c>
      <c r="DP20" s="50">
        <f t="shared" si="45"/>
        <v>0</v>
      </c>
      <c r="DQ20" s="50">
        <f t="shared" si="45"/>
        <v>0</v>
      </c>
      <c r="DR20" s="47">
        <v>0</v>
      </c>
      <c r="DS20" s="47">
        <v>0</v>
      </c>
      <c r="DT20" s="47">
        <v>18</v>
      </c>
    </row>
    <row r="21" spans="1:124" ht="13.5" customHeight="1" thickBot="1" x14ac:dyDescent="0.3">
      <c r="A21" s="201"/>
      <c r="B21" s="53" t="s">
        <v>97</v>
      </c>
      <c r="C21" s="49">
        <v>0</v>
      </c>
      <c r="D21" s="49">
        <v>0</v>
      </c>
      <c r="E21" s="84">
        <v>0</v>
      </c>
      <c r="F21" s="90"/>
      <c r="G21" s="87">
        <v>0</v>
      </c>
      <c r="H21" s="49">
        <v>0</v>
      </c>
      <c r="I21" s="49">
        <v>0</v>
      </c>
      <c r="J21" s="90"/>
      <c r="K21" s="49">
        <v>0</v>
      </c>
      <c r="L21" s="49">
        <v>0</v>
      </c>
      <c r="M21" s="49">
        <v>1</v>
      </c>
      <c r="N21" s="90"/>
      <c r="O21" s="49">
        <v>0</v>
      </c>
      <c r="P21" s="49">
        <v>0</v>
      </c>
      <c r="Q21" s="49">
        <v>29</v>
      </c>
      <c r="R21" s="90"/>
      <c r="S21" s="49">
        <v>0</v>
      </c>
      <c r="T21" s="49">
        <v>0</v>
      </c>
      <c r="U21" s="49">
        <v>0</v>
      </c>
      <c r="V21" s="90"/>
      <c r="W21" s="49">
        <v>0</v>
      </c>
      <c r="X21" s="49">
        <v>0</v>
      </c>
      <c r="Y21" s="49">
        <v>0</v>
      </c>
      <c r="Z21" s="90"/>
      <c r="AA21" s="49">
        <v>0</v>
      </c>
      <c r="AB21" s="49">
        <v>0</v>
      </c>
      <c r="AC21" s="49">
        <v>0</v>
      </c>
      <c r="AD21" s="90"/>
      <c r="AE21" s="49">
        <v>0</v>
      </c>
      <c r="AF21" s="49">
        <v>0</v>
      </c>
      <c r="AG21" s="49">
        <v>0</v>
      </c>
      <c r="AH21" s="90"/>
      <c r="AI21" s="49">
        <v>0</v>
      </c>
      <c r="AJ21" s="49">
        <v>0</v>
      </c>
      <c r="AK21" s="49">
        <v>0</v>
      </c>
      <c r="AL21" s="90"/>
      <c r="AM21" s="49">
        <v>0</v>
      </c>
      <c r="AN21" s="49">
        <v>0</v>
      </c>
      <c r="AO21" s="49">
        <v>0</v>
      </c>
      <c r="AP21" s="90"/>
      <c r="AQ21" s="49">
        <v>0</v>
      </c>
      <c r="AR21" s="49">
        <v>0</v>
      </c>
      <c r="AS21" s="49">
        <v>0</v>
      </c>
      <c r="AT21" s="90"/>
      <c r="AU21" s="49">
        <v>0</v>
      </c>
      <c r="AV21" s="49">
        <v>0</v>
      </c>
      <c r="AW21" s="49">
        <v>0</v>
      </c>
      <c r="AX21" s="90"/>
      <c r="AY21" s="49">
        <v>0</v>
      </c>
      <c r="AZ21" s="49">
        <v>0</v>
      </c>
      <c r="BA21" s="49">
        <v>12</v>
      </c>
      <c r="BB21" s="90"/>
      <c r="BC21" s="49">
        <v>0</v>
      </c>
      <c r="BD21" s="49">
        <v>0</v>
      </c>
      <c r="BE21" s="49">
        <v>0</v>
      </c>
      <c r="BF21" s="90"/>
      <c r="BG21" s="49">
        <v>0</v>
      </c>
      <c r="BH21" s="49">
        <v>0</v>
      </c>
      <c r="BI21" s="49">
        <v>0</v>
      </c>
      <c r="BJ21" s="90"/>
      <c r="BK21" s="49">
        <v>0</v>
      </c>
      <c r="BL21" s="49">
        <v>0</v>
      </c>
      <c r="BM21" s="49">
        <v>0</v>
      </c>
      <c r="BN21" s="90"/>
      <c r="BO21" s="49">
        <v>0</v>
      </c>
      <c r="BP21" s="49">
        <v>0</v>
      </c>
      <c r="BQ21" s="49">
        <v>1</v>
      </c>
      <c r="BR21" s="90"/>
      <c r="BS21" s="49">
        <v>0</v>
      </c>
      <c r="BT21" s="49">
        <v>0</v>
      </c>
      <c r="BU21" s="49">
        <v>18</v>
      </c>
      <c r="BV21" s="90"/>
      <c r="BW21" s="49">
        <v>0</v>
      </c>
      <c r="BX21" s="49">
        <v>0</v>
      </c>
      <c r="BY21" s="49">
        <v>0</v>
      </c>
      <c r="BZ21" s="90"/>
      <c r="CA21" s="49">
        <v>0</v>
      </c>
      <c r="CB21" s="49">
        <v>0</v>
      </c>
      <c r="CC21" s="49">
        <v>5</v>
      </c>
      <c r="CD21" s="90"/>
      <c r="CE21" s="49">
        <v>0</v>
      </c>
      <c r="CF21" s="49">
        <v>0</v>
      </c>
      <c r="CG21" s="49">
        <v>0</v>
      </c>
      <c r="CH21" s="90"/>
      <c r="CI21" s="49">
        <v>0</v>
      </c>
      <c r="CJ21" s="49">
        <v>0</v>
      </c>
      <c r="CK21" s="49">
        <v>20</v>
      </c>
      <c r="CL21" s="90"/>
      <c r="CM21" s="49">
        <v>0</v>
      </c>
      <c r="CN21" s="49">
        <v>0</v>
      </c>
      <c r="CO21" s="49">
        <v>0</v>
      </c>
      <c r="CP21" s="90"/>
      <c r="CQ21" s="49">
        <v>0</v>
      </c>
      <c r="CR21" s="49">
        <v>0</v>
      </c>
      <c r="CS21" s="49">
        <v>0</v>
      </c>
      <c r="CT21" s="90"/>
      <c r="CU21" s="49">
        <v>0</v>
      </c>
      <c r="CV21" s="49">
        <v>0</v>
      </c>
      <c r="CW21" s="49">
        <v>0</v>
      </c>
      <c r="CX21" s="90"/>
      <c r="CY21" s="49">
        <v>0</v>
      </c>
      <c r="CZ21" s="49">
        <v>0</v>
      </c>
      <c r="DA21" s="49">
        <v>0</v>
      </c>
      <c r="DB21" s="90"/>
      <c r="DC21" s="49">
        <v>0</v>
      </c>
      <c r="DD21" s="49">
        <v>0</v>
      </c>
      <c r="DE21" s="49">
        <v>0</v>
      </c>
      <c r="DF21" s="90"/>
      <c r="DG21" s="49">
        <v>0</v>
      </c>
      <c r="DH21" s="49">
        <v>0</v>
      </c>
      <c r="DI21" s="49">
        <v>0</v>
      </c>
      <c r="DJ21" s="90"/>
      <c r="DK21" s="49">
        <v>0</v>
      </c>
      <c r="DL21" s="49">
        <v>0</v>
      </c>
      <c r="DM21" s="49">
        <v>0</v>
      </c>
      <c r="DN21" s="90"/>
      <c r="DO21" s="50">
        <f t="shared" si="45"/>
        <v>0</v>
      </c>
      <c r="DP21" s="50">
        <f t="shared" si="45"/>
        <v>0</v>
      </c>
      <c r="DQ21" s="50">
        <f t="shared" si="45"/>
        <v>0</v>
      </c>
      <c r="DR21" s="47">
        <v>0</v>
      </c>
      <c r="DS21" s="47">
        <v>0</v>
      </c>
      <c r="DT21" s="47">
        <v>58</v>
      </c>
    </row>
    <row r="22" spans="1:124" ht="13.5" customHeight="1" thickBot="1" x14ac:dyDescent="0.3">
      <c r="A22" s="38">
        <v>7</v>
      </c>
      <c r="B22" s="39" t="s">
        <v>98</v>
      </c>
      <c r="C22" s="45">
        <f t="shared" ref="C22:Q22" si="46">C27</f>
        <v>159</v>
      </c>
      <c r="D22" s="45">
        <f t="shared" si="46"/>
        <v>10</v>
      </c>
      <c r="E22" s="85">
        <f t="shared" si="46"/>
        <v>713</v>
      </c>
      <c r="F22" s="90"/>
      <c r="G22" s="46">
        <f t="shared" si="46"/>
        <v>0</v>
      </c>
      <c r="H22" s="45">
        <f t="shared" si="46"/>
        <v>0</v>
      </c>
      <c r="I22" s="45">
        <f t="shared" si="46"/>
        <v>0</v>
      </c>
      <c r="J22" s="90"/>
      <c r="K22" s="45">
        <f t="shared" si="46"/>
        <v>138</v>
      </c>
      <c r="L22" s="45">
        <f t="shared" si="46"/>
        <v>29</v>
      </c>
      <c r="M22" s="45">
        <f t="shared" si="46"/>
        <v>278</v>
      </c>
      <c r="N22" s="90"/>
      <c r="O22" s="45">
        <f t="shared" si="46"/>
        <v>57</v>
      </c>
      <c r="P22" s="45">
        <f t="shared" si="46"/>
        <v>10</v>
      </c>
      <c r="Q22" s="45">
        <f t="shared" si="46"/>
        <v>323</v>
      </c>
      <c r="R22" s="90"/>
      <c r="S22" s="45">
        <f t="shared" ref="S22:Y22" si="47">S27</f>
        <v>34</v>
      </c>
      <c r="T22" s="45">
        <f t="shared" si="47"/>
        <v>12</v>
      </c>
      <c r="U22" s="45">
        <f t="shared" si="47"/>
        <v>123</v>
      </c>
      <c r="V22" s="90"/>
      <c r="W22" s="45">
        <f t="shared" si="47"/>
        <v>0</v>
      </c>
      <c r="X22" s="45">
        <f t="shared" si="47"/>
        <v>0</v>
      </c>
      <c r="Y22" s="45">
        <f t="shared" si="47"/>
        <v>0</v>
      </c>
      <c r="Z22" s="90"/>
      <c r="AA22" s="45">
        <f t="shared" ref="AA22:AG22" si="48">AA27</f>
        <v>0</v>
      </c>
      <c r="AB22" s="45">
        <f t="shared" si="48"/>
        <v>0</v>
      </c>
      <c r="AC22" s="45">
        <f t="shared" si="48"/>
        <v>0</v>
      </c>
      <c r="AD22" s="90"/>
      <c r="AE22" s="45">
        <f t="shared" si="48"/>
        <v>0</v>
      </c>
      <c r="AF22" s="45">
        <f t="shared" si="48"/>
        <v>0</v>
      </c>
      <c r="AG22" s="45">
        <f t="shared" si="48"/>
        <v>0</v>
      </c>
      <c r="AH22" s="90"/>
      <c r="AI22" s="45">
        <f t="shared" ref="AI22:AO22" si="49">AI27</f>
        <v>0</v>
      </c>
      <c r="AJ22" s="45">
        <f t="shared" si="49"/>
        <v>0</v>
      </c>
      <c r="AK22" s="45">
        <f t="shared" si="49"/>
        <v>0</v>
      </c>
      <c r="AL22" s="90"/>
      <c r="AM22" s="45">
        <f t="shared" si="49"/>
        <v>3</v>
      </c>
      <c r="AN22" s="45">
        <f t="shared" si="49"/>
        <v>1</v>
      </c>
      <c r="AO22" s="45">
        <f t="shared" si="49"/>
        <v>34</v>
      </c>
      <c r="AP22" s="90"/>
      <c r="AQ22" s="45">
        <f t="shared" ref="AQ22:BA22" si="50">AQ27</f>
        <v>0</v>
      </c>
      <c r="AR22" s="45">
        <f t="shared" si="50"/>
        <v>0</v>
      </c>
      <c r="AS22" s="45">
        <f t="shared" si="50"/>
        <v>0</v>
      </c>
      <c r="AT22" s="90"/>
      <c r="AU22" s="45">
        <f t="shared" si="50"/>
        <v>0</v>
      </c>
      <c r="AV22" s="45">
        <f t="shared" si="50"/>
        <v>0</v>
      </c>
      <c r="AW22" s="45">
        <f t="shared" si="50"/>
        <v>0</v>
      </c>
      <c r="AX22" s="90"/>
      <c r="AY22" s="45">
        <f t="shared" si="50"/>
        <v>10</v>
      </c>
      <c r="AZ22" s="45">
        <f t="shared" si="50"/>
        <v>0</v>
      </c>
      <c r="BA22" s="45">
        <f t="shared" si="50"/>
        <v>37</v>
      </c>
      <c r="BB22" s="90"/>
      <c r="BC22" s="45">
        <f t="shared" ref="BC22:BI22" si="51">BC27</f>
        <v>0</v>
      </c>
      <c r="BD22" s="45">
        <f t="shared" si="51"/>
        <v>0</v>
      </c>
      <c r="BE22" s="45">
        <f t="shared" si="51"/>
        <v>0</v>
      </c>
      <c r="BF22" s="90"/>
      <c r="BG22" s="45">
        <f t="shared" si="51"/>
        <v>0</v>
      </c>
      <c r="BH22" s="45">
        <f t="shared" si="51"/>
        <v>0</v>
      </c>
      <c r="BI22" s="45">
        <f t="shared" si="51"/>
        <v>0</v>
      </c>
      <c r="BJ22" s="90"/>
      <c r="BK22" s="45">
        <f t="shared" ref="BK22:BU22" si="52">BK27</f>
        <v>0</v>
      </c>
      <c r="BL22" s="45">
        <f t="shared" si="52"/>
        <v>0</v>
      </c>
      <c r="BM22" s="45">
        <f t="shared" si="52"/>
        <v>0</v>
      </c>
      <c r="BN22" s="90"/>
      <c r="BO22" s="45">
        <f t="shared" si="52"/>
        <v>115</v>
      </c>
      <c r="BP22" s="45">
        <f t="shared" si="52"/>
        <v>23</v>
      </c>
      <c r="BQ22" s="45">
        <f t="shared" si="52"/>
        <v>359</v>
      </c>
      <c r="BR22" s="90"/>
      <c r="BS22" s="45">
        <f t="shared" si="52"/>
        <v>115</v>
      </c>
      <c r="BT22" s="45">
        <f t="shared" si="52"/>
        <v>21</v>
      </c>
      <c r="BU22" s="45">
        <f t="shared" si="52"/>
        <v>360</v>
      </c>
      <c r="BV22" s="90"/>
      <c r="BW22" s="45">
        <f t="shared" ref="BW22:CC22" si="53">BW27</f>
        <v>4</v>
      </c>
      <c r="BX22" s="45">
        <f t="shared" si="53"/>
        <v>0</v>
      </c>
      <c r="BY22" s="45">
        <f>BY27</f>
        <v>10</v>
      </c>
      <c r="BZ22" s="90"/>
      <c r="CA22" s="45">
        <f t="shared" si="53"/>
        <v>115</v>
      </c>
      <c r="CB22" s="45">
        <f t="shared" si="53"/>
        <v>21</v>
      </c>
      <c r="CC22" s="45">
        <f t="shared" si="53"/>
        <v>360</v>
      </c>
      <c r="CD22" s="90"/>
      <c r="CE22" s="45">
        <f t="shared" ref="CE22:CK22" si="54">CE27</f>
        <v>115</v>
      </c>
      <c r="CF22" s="45">
        <f t="shared" si="54"/>
        <v>21</v>
      </c>
      <c r="CG22" s="45">
        <f t="shared" si="54"/>
        <v>360</v>
      </c>
      <c r="CH22" s="90"/>
      <c r="CI22" s="45">
        <f t="shared" si="54"/>
        <v>10</v>
      </c>
      <c r="CJ22" s="45">
        <f t="shared" si="54"/>
        <v>0</v>
      </c>
      <c r="CK22" s="45">
        <f t="shared" si="54"/>
        <v>37</v>
      </c>
      <c r="CL22" s="90"/>
      <c r="CM22" s="45">
        <f>CM27</f>
        <v>0</v>
      </c>
      <c r="CN22" s="45">
        <f>CN27</f>
        <v>0</v>
      </c>
      <c r="CO22" s="45">
        <f>CO27</f>
        <v>0</v>
      </c>
      <c r="CP22" s="90"/>
      <c r="CQ22" s="45">
        <f t="shared" ref="CQ22:CS22" si="55">CQ27</f>
        <v>10</v>
      </c>
      <c r="CR22" s="45">
        <f t="shared" si="55"/>
        <v>0</v>
      </c>
      <c r="CS22" s="45">
        <f t="shared" si="55"/>
        <v>37</v>
      </c>
      <c r="CT22" s="90"/>
      <c r="CU22" s="45">
        <f t="shared" ref="CU22:CW22" si="56">CU27</f>
        <v>0</v>
      </c>
      <c r="CV22" s="45">
        <f t="shared" si="56"/>
        <v>0</v>
      </c>
      <c r="CW22" s="45">
        <f t="shared" si="56"/>
        <v>0</v>
      </c>
      <c r="CX22" s="90"/>
      <c r="CY22" s="45">
        <f t="shared" ref="CY22:DA22" si="57">CY27</f>
        <v>0</v>
      </c>
      <c r="CZ22" s="45">
        <f t="shared" si="57"/>
        <v>0</v>
      </c>
      <c r="DA22" s="45">
        <f t="shared" si="57"/>
        <v>0</v>
      </c>
      <c r="DB22" s="90"/>
      <c r="DC22" s="45">
        <f t="shared" ref="DC22:DE22" si="58">DC27</f>
        <v>0</v>
      </c>
      <c r="DD22" s="45">
        <f t="shared" si="58"/>
        <v>0</v>
      </c>
      <c r="DE22" s="45">
        <f t="shared" si="58"/>
        <v>0</v>
      </c>
      <c r="DF22" s="90"/>
      <c r="DG22" s="45">
        <f t="shared" ref="DG22:DI22" si="59">DG27</f>
        <v>0</v>
      </c>
      <c r="DH22" s="45">
        <f t="shared" si="59"/>
        <v>0</v>
      </c>
      <c r="DI22" s="45">
        <f t="shared" si="59"/>
        <v>0</v>
      </c>
      <c r="DJ22" s="90"/>
      <c r="DK22" s="45">
        <f t="shared" ref="DK22:DM22" si="60">DK27</f>
        <v>0</v>
      </c>
      <c r="DL22" s="45">
        <f t="shared" si="60"/>
        <v>0</v>
      </c>
      <c r="DM22" s="45">
        <f t="shared" si="60"/>
        <v>0</v>
      </c>
      <c r="DN22" s="90"/>
      <c r="DO22" s="47">
        <f t="shared" si="45"/>
        <v>0</v>
      </c>
      <c r="DP22" s="47">
        <f t="shared" si="45"/>
        <v>0</v>
      </c>
      <c r="DQ22" s="47">
        <f t="shared" si="45"/>
        <v>0</v>
      </c>
      <c r="DR22" s="47">
        <v>5</v>
      </c>
      <c r="DS22" s="47">
        <v>1</v>
      </c>
      <c r="DT22" s="47">
        <v>61</v>
      </c>
    </row>
    <row r="23" spans="1:124" ht="13.5" customHeight="1" thickBot="1" x14ac:dyDescent="0.3">
      <c r="A23" s="199">
        <v>8</v>
      </c>
      <c r="B23" s="44" t="s">
        <v>99</v>
      </c>
      <c r="C23" s="49"/>
      <c r="D23" s="49"/>
      <c r="E23" s="84"/>
      <c r="F23" s="90"/>
      <c r="G23" s="87"/>
      <c r="H23" s="49"/>
      <c r="I23" s="49"/>
      <c r="J23" s="90"/>
      <c r="K23" s="49"/>
      <c r="L23" s="49"/>
      <c r="M23" s="49"/>
      <c r="N23" s="90"/>
      <c r="O23" s="49"/>
      <c r="P23" s="49"/>
      <c r="Q23" s="49"/>
      <c r="R23" s="90"/>
      <c r="S23" s="49"/>
      <c r="T23" s="49"/>
      <c r="U23" s="49"/>
      <c r="V23" s="90"/>
      <c r="W23" s="49"/>
      <c r="X23" s="49"/>
      <c r="Y23" s="49"/>
      <c r="Z23" s="90"/>
      <c r="AA23" s="49"/>
      <c r="AB23" s="49"/>
      <c r="AC23" s="49"/>
      <c r="AD23" s="90"/>
      <c r="AE23" s="49"/>
      <c r="AF23" s="49"/>
      <c r="AG23" s="49"/>
      <c r="AH23" s="90"/>
      <c r="AI23" s="49"/>
      <c r="AJ23" s="49"/>
      <c r="AK23" s="49"/>
      <c r="AL23" s="90"/>
      <c r="AM23" s="49"/>
      <c r="AN23" s="49"/>
      <c r="AO23" s="49"/>
      <c r="AP23" s="90"/>
      <c r="AQ23" s="49"/>
      <c r="AR23" s="49"/>
      <c r="AS23" s="49"/>
      <c r="AT23" s="90"/>
      <c r="AU23" s="49"/>
      <c r="AV23" s="49"/>
      <c r="AW23" s="49"/>
      <c r="AX23" s="90"/>
      <c r="AY23" s="49"/>
      <c r="AZ23" s="49"/>
      <c r="BA23" s="49"/>
      <c r="BB23" s="90"/>
      <c r="BC23" s="49"/>
      <c r="BD23" s="49"/>
      <c r="BE23" s="49"/>
      <c r="BF23" s="90"/>
      <c r="BG23" s="49"/>
      <c r="BH23" s="49"/>
      <c r="BI23" s="49"/>
      <c r="BJ23" s="90"/>
      <c r="BK23" s="49"/>
      <c r="BL23" s="49"/>
      <c r="BM23" s="49"/>
      <c r="BN23" s="90"/>
      <c r="BO23" s="49"/>
      <c r="BP23" s="49"/>
      <c r="BQ23" s="49"/>
      <c r="BR23" s="90"/>
      <c r="BS23" s="49"/>
      <c r="BT23" s="49"/>
      <c r="BU23" s="49"/>
      <c r="BV23" s="90"/>
      <c r="BW23" s="49"/>
      <c r="BX23" s="49"/>
      <c r="BY23" s="49"/>
      <c r="BZ23" s="90"/>
      <c r="CA23" s="49"/>
      <c r="CB23" s="49"/>
      <c r="CC23" s="49"/>
      <c r="CD23" s="90"/>
      <c r="CE23" s="49"/>
      <c r="CF23" s="49"/>
      <c r="CG23" s="49"/>
      <c r="CH23" s="90"/>
      <c r="CI23" s="49"/>
      <c r="CJ23" s="49"/>
      <c r="CK23" s="49"/>
      <c r="CL23" s="90"/>
      <c r="CM23" s="49"/>
      <c r="CN23" s="49"/>
      <c r="CO23" s="49"/>
      <c r="CP23" s="90"/>
      <c r="CQ23" s="49"/>
      <c r="CR23" s="49"/>
      <c r="CS23" s="49"/>
      <c r="CT23" s="90"/>
      <c r="CU23" s="49"/>
      <c r="CV23" s="49"/>
      <c r="CW23" s="49"/>
      <c r="CX23" s="90"/>
      <c r="CY23" s="49"/>
      <c r="CZ23" s="49"/>
      <c r="DA23" s="49"/>
      <c r="DB23" s="90"/>
      <c r="DC23" s="49"/>
      <c r="DD23" s="49"/>
      <c r="DE23" s="49"/>
      <c r="DF23" s="90"/>
      <c r="DG23" s="49"/>
      <c r="DH23" s="49"/>
      <c r="DI23" s="49"/>
      <c r="DJ23" s="90"/>
      <c r="DK23" s="49"/>
      <c r="DL23" s="49"/>
      <c r="DM23" s="49"/>
      <c r="DN23" s="90"/>
      <c r="DO23" s="50"/>
      <c r="DP23" s="50"/>
      <c r="DQ23" s="50"/>
      <c r="DR23" s="47"/>
      <c r="DS23" s="47"/>
      <c r="DT23" s="47"/>
    </row>
    <row r="24" spans="1:124" ht="13.5" customHeight="1" thickBot="1" x14ac:dyDescent="0.3">
      <c r="A24" s="200"/>
      <c r="B24" s="48" t="s">
        <v>303</v>
      </c>
      <c r="C24" s="49">
        <v>0</v>
      </c>
      <c r="D24" s="49">
        <v>0</v>
      </c>
      <c r="E24" s="84">
        <v>0</v>
      </c>
      <c r="F24" s="90"/>
      <c r="G24" s="87">
        <v>0</v>
      </c>
      <c r="H24" s="49">
        <v>0</v>
      </c>
      <c r="I24" s="49">
        <v>0</v>
      </c>
      <c r="J24" s="90"/>
      <c r="K24" s="49">
        <v>0</v>
      </c>
      <c r="L24" s="49">
        <v>0</v>
      </c>
      <c r="M24" s="49">
        <v>0</v>
      </c>
      <c r="N24" s="90"/>
      <c r="O24" s="49">
        <v>0</v>
      </c>
      <c r="P24" s="49">
        <v>0</v>
      </c>
      <c r="Q24" s="49">
        <v>0</v>
      </c>
      <c r="R24" s="90"/>
      <c r="S24" s="49">
        <v>0</v>
      </c>
      <c r="T24" s="49">
        <v>0</v>
      </c>
      <c r="U24" s="49">
        <v>0</v>
      </c>
      <c r="V24" s="90"/>
      <c r="W24" s="49">
        <v>0</v>
      </c>
      <c r="X24" s="49">
        <v>0</v>
      </c>
      <c r="Y24" s="49">
        <v>0</v>
      </c>
      <c r="Z24" s="90"/>
      <c r="AA24" s="49">
        <v>0</v>
      </c>
      <c r="AB24" s="49">
        <v>0</v>
      </c>
      <c r="AC24" s="49">
        <v>0</v>
      </c>
      <c r="AD24" s="90"/>
      <c r="AE24" s="49">
        <v>0</v>
      </c>
      <c r="AF24" s="49">
        <v>0</v>
      </c>
      <c r="AG24" s="49">
        <v>0</v>
      </c>
      <c r="AH24" s="90"/>
      <c r="AI24" s="49">
        <v>0</v>
      </c>
      <c r="AJ24" s="49">
        <v>0</v>
      </c>
      <c r="AK24" s="49">
        <v>0</v>
      </c>
      <c r="AL24" s="90"/>
      <c r="AM24" s="49">
        <v>0</v>
      </c>
      <c r="AN24" s="49">
        <v>0</v>
      </c>
      <c r="AO24" s="49">
        <v>6</v>
      </c>
      <c r="AP24" s="90"/>
      <c r="AQ24" s="49">
        <v>0</v>
      </c>
      <c r="AR24" s="49">
        <v>0</v>
      </c>
      <c r="AS24" s="49">
        <v>0</v>
      </c>
      <c r="AT24" s="90"/>
      <c r="AU24" s="49">
        <v>0</v>
      </c>
      <c r="AV24" s="49">
        <v>0</v>
      </c>
      <c r="AW24" s="49">
        <v>6</v>
      </c>
      <c r="AX24" s="90"/>
      <c r="AY24" s="49">
        <v>0</v>
      </c>
      <c r="AZ24" s="49">
        <v>0</v>
      </c>
      <c r="BA24" s="49">
        <v>0</v>
      </c>
      <c r="BB24" s="90"/>
      <c r="BC24" s="49">
        <v>0</v>
      </c>
      <c r="BD24" s="49">
        <v>0</v>
      </c>
      <c r="BE24" s="49">
        <v>0</v>
      </c>
      <c r="BF24" s="90"/>
      <c r="BG24" s="49">
        <v>0</v>
      </c>
      <c r="BH24" s="49">
        <v>0</v>
      </c>
      <c r="BI24" s="49">
        <v>0</v>
      </c>
      <c r="BJ24" s="90"/>
      <c r="BK24" s="49">
        <v>0</v>
      </c>
      <c r="BL24" s="49">
        <v>0</v>
      </c>
      <c r="BM24" s="49">
        <v>0</v>
      </c>
      <c r="BN24" s="90"/>
      <c r="BO24" s="49">
        <v>0</v>
      </c>
      <c r="BP24" s="49">
        <v>0</v>
      </c>
      <c r="BQ24" s="49">
        <v>0</v>
      </c>
      <c r="BR24" s="90"/>
      <c r="BS24" s="49">
        <v>0</v>
      </c>
      <c r="BT24" s="49">
        <v>0</v>
      </c>
      <c r="BU24" s="49">
        <v>0</v>
      </c>
      <c r="BV24" s="90"/>
      <c r="BW24" s="49">
        <v>0</v>
      </c>
      <c r="BX24" s="49">
        <v>0</v>
      </c>
      <c r="BY24" s="49">
        <v>6</v>
      </c>
      <c r="BZ24" s="90"/>
      <c r="CA24" s="49">
        <v>0</v>
      </c>
      <c r="CB24" s="49">
        <v>0</v>
      </c>
      <c r="CC24" s="49">
        <v>0</v>
      </c>
      <c r="CD24" s="90"/>
      <c r="CE24" s="49">
        <v>0</v>
      </c>
      <c r="CF24" s="49">
        <v>0</v>
      </c>
      <c r="CG24" s="49">
        <v>0</v>
      </c>
      <c r="CH24" s="90"/>
      <c r="CI24" s="49">
        <v>0</v>
      </c>
      <c r="CJ24" s="49">
        <v>0</v>
      </c>
      <c r="CK24" s="49">
        <v>0</v>
      </c>
      <c r="CL24" s="90"/>
      <c r="CM24" s="49">
        <v>0</v>
      </c>
      <c r="CN24" s="49">
        <v>0</v>
      </c>
      <c r="CO24" s="49">
        <v>0</v>
      </c>
      <c r="CP24" s="90"/>
      <c r="CQ24" s="49">
        <v>0</v>
      </c>
      <c r="CR24" s="49">
        <v>0</v>
      </c>
      <c r="CS24" s="49">
        <v>0</v>
      </c>
      <c r="CT24" s="90"/>
      <c r="CU24" s="49">
        <v>0</v>
      </c>
      <c r="CV24" s="49">
        <v>0</v>
      </c>
      <c r="CW24" s="49">
        <v>6</v>
      </c>
      <c r="CX24" s="90"/>
      <c r="CY24" s="49">
        <v>0</v>
      </c>
      <c r="CZ24" s="49">
        <v>0</v>
      </c>
      <c r="DA24" s="49">
        <v>0</v>
      </c>
      <c r="DB24" s="90"/>
      <c r="DC24" s="49">
        <v>0</v>
      </c>
      <c r="DD24" s="49">
        <v>0</v>
      </c>
      <c r="DE24" s="49">
        <v>0</v>
      </c>
      <c r="DF24" s="90"/>
      <c r="DG24" s="49">
        <v>0</v>
      </c>
      <c r="DH24" s="49">
        <v>0</v>
      </c>
      <c r="DI24" s="49">
        <v>0</v>
      </c>
      <c r="DJ24" s="90"/>
      <c r="DK24" s="49">
        <v>0</v>
      </c>
      <c r="DL24" s="49">
        <v>0</v>
      </c>
      <c r="DM24" s="49">
        <v>0</v>
      </c>
      <c r="DN24" s="90"/>
      <c r="DO24" s="50">
        <f t="shared" ref="DO24:DQ28" si="61">CU24+CY24+DC24+DG24+DK24</f>
        <v>0</v>
      </c>
      <c r="DP24" s="50">
        <f t="shared" si="61"/>
        <v>0</v>
      </c>
      <c r="DQ24" s="50">
        <f t="shared" si="61"/>
        <v>6</v>
      </c>
      <c r="DR24" s="47">
        <v>0</v>
      </c>
      <c r="DS24" s="47">
        <v>0</v>
      </c>
      <c r="DT24" s="47">
        <v>10</v>
      </c>
    </row>
    <row r="25" spans="1:124" ht="13.5" customHeight="1" thickBot="1" x14ac:dyDescent="0.3">
      <c r="A25" s="200"/>
      <c r="B25" s="48" t="s">
        <v>304</v>
      </c>
      <c r="C25" s="49">
        <v>0</v>
      </c>
      <c r="D25" s="49">
        <v>0</v>
      </c>
      <c r="E25" s="84">
        <v>0</v>
      </c>
      <c r="F25" s="90"/>
      <c r="G25" s="87">
        <v>0</v>
      </c>
      <c r="H25" s="49">
        <v>0</v>
      </c>
      <c r="I25" s="49">
        <v>0</v>
      </c>
      <c r="J25" s="90"/>
      <c r="K25" s="49">
        <v>0</v>
      </c>
      <c r="L25" s="49">
        <v>0</v>
      </c>
      <c r="M25" s="49">
        <v>0</v>
      </c>
      <c r="N25" s="90"/>
      <c r="O25" s="49">
        <v>0</v>
      </c>
      <c r="P25" s="49">
        <v>0</v>
      </c>
      <c r="Q25" s="49">
        <v>0</v>
      </c>
      <c r="R25" s="90"/>
      <c r="S25" s="49">
        <v>0</v>
      </c>
      <c r="T25" s="49">
        <v>0</v>
      </c>
      <c r="U25" s="49">
        <v>0</v>
      </c>
      <c r="V25" s="90"/>
      <c r="W25" s="49">
        <v>0</v>
      </c>
      <c r="X25" s="49">
        <v>0</v>
      </c>
      <c r="Y25" s="49">
        <v>0</v>
      </c>
      <c r="Z25" s="90"/>
      <c r="AA25" s="49">
        <v>0</v>
      </c>
      <c r="AB25" s="49">
        <v>0</v>
      </c>
      <c r="AC25" s="49">
        <v>0</v>
      </c>
      <c r="AD25" s="90"/>
      <c r="AE25" s="49">
        <v>0</v>
      </c>
      <c r="AF25" s="49">
        <v>0</v>
      </c>
      <c r="AG25" s="49">
        <v>0</v>
      </c>
      <c r="AH25" s="90"/>
      <c r="AI25" s="49">
        <v>0</v>
      </c>
      <c r="AJ25" s="49">
        <v>0</v>
      </c>
      <c r="AK25" s="49">
        <v>0</v>
      </c>
      <c r="AL25" s="90"/>
      <c r="AM25" s="49">
        <v>0</v>
      </c>
      <c r="AN25" s="49">
        <v>0</v>
      </c>
      <c r="AO25" s="49">
        <v>0</v>
      </c>
      <c r="AP25" s="90"/>
      <c r="AQ25" s="49">
        <v>0</v>
      </c>
      <c r="AR25" s="49">
        <v>0</v>
      </c>
      <c r="AS25" s="49">
        <v>0</v>
      </c>
      <c r="AT25" s="90"/>
      <c r="AU25" s="49">
        <v>0</v>
      </c>
      <c r="AV25" s="49">
        <v>0</v>
      </c>
      <c r="AW25" s="49">
        <v>5</v>
      </c>
      <c r="AX25" s="90"/>
      <c r="AY25" s="49">
        <v>0</v>
      </c>
      <c r="AZ25" s="49">
        <v>0</v>
      </c>
      <c r="BA25" s="49">
        <v>0</v>
      </c>
      <c r="BB25" s="90"/>
      <c r="BC25" s="49">
        <v>0</v>
      </c>
      <c r="BD25" s="49">
        <v>0</v>
      </c>
      <c r="BE25" s="49">
        <v>0</v>
      </c>
      <c r="BF25" s="90"/>
      <c r="BG25" s="49">
        <v>0</v>
      </c>
      <c r="BH25" s="49">
        <v>0</v>
      </c>
      <c r="BI25" s="49">
        <v>0</v>
      </c>
      <c r="BJ25" s="90"/>
      <c r="BK25" s="49">
        <v>0</v>
      </c>
      <c r="BL25" s="49">
        <v>0</v>
      </c>
      <c r="BM25" s="49">
        <v>0</v>
      </c>
      <c r="BN25" s="90"/>
      <c r="BO25" s="49">
        <v>0</v>
      </c>
      <c r="BP25" s="49">
        <v>0</v>
      </c>
      <c r="BQ25" s="49">
        <v>0</v>
      </c>
      <c r="BR25" s="90"/>
      <c r="BS25" s="49">
        <v>0</v>
      </c>
      <c r="BT25" s="49">
        <v>0</v>
      </c>
      <c r="BU25" s="49">
        <v>0</v>
      </c>
      <c r="BV25" s="90"/>
      <c r="BW25" s="49">
        <v>0</v>
      </c>
      <c r="BX25" s="49">
        <v>0</v>
      </c>
      <c r="BY25" s="49">
        <v>5</v>
      </c>
      <c r="BZ25" s="90"/>
      <c r="CA25" s="49">
        <v>0</v>
      </c>
      <c r="CB25" s="49">
        <v>0</v>
      </c>
      <c r="CC25" s="49">
        <v>0</v>
      </c>
      <c r="CD25" s="90"/>
      <c r="CE25" s="49">
        <v>0</v>
      </c>
      <c r="CF25" s="49">
        <v>0</v>
      </c>
      <c r="CG25" s="49">
        <v>0</v>
      </c>
      <c r="CH25" s="90"/>
      <c r="CI25" s="49">
        <v>0</v>
      </c>
      <c r="CJ25" s="49">
        <v>0</v>
      </c>
      <c r="CK25" s="49">
        <v>0</v>
      </c>
      <c r="CL25" s="90"/>
      <c r="CM25" s="49">
        <v>0</v>
      </c>
      <c r="CN25" s="49">
        <v>0</v>
      </c>
      <c r="CO25" s="49">
        <v>0</v>
      </c>
      <c r="CP25" s="90"/>
      <c r="CQ25" s="49">
        <v>0</v>
      </c>
      <c r="CR25" s="49">
        <v>0</v>
      </c>
      <c r="CS25" s="49">
        <v>0</v>
      </c>
      <c r="CT25" s="90"/>
      <c r="CU25" s="49">
        <v>0</v>
      </c>
      <c r="CV25" s="49">
        <v>0</v>
      </c>
      <c r="CW25" s="49">
        <v>5</v>
      </c>
      <c r="CX25" s="90"/>
      <c r="CY25" s="49">
        <v>0</v>
      </c>
      <c r="CZ25" s="49">
        <v>0</v>
      </c>
      <c r="DA25" s="49">
        <v>0</v>
      </c>
      <c r="DB25" s="90"/>
      <c r="DC25" s="49">
        <v>0</v>
      </c>
      <c r="DD25" s="49">
        <v>0</v>
      </c>
      <c r="DE25" s="49">
        <v>0</v>
      </c>
      <c r="DF25" s="90"/>
      <c r="DG25" s="49">
        <v>0</v>
      </c>
      <c r="DH25" s="49">
        <v>0</v>
      </c>
      <c r="DI25" s="49">
        <v>0</v>
      </c>
      <c r="DJ25" s="90"/>
      <c r="DK25" s="49">
        <v>0</v>
      </c>
      <c r="DL25" s="49">
        <v>0</v>
      </c>
      <c r="DM25" s="49">
        <v>0</v>
      </c>
      <c r="DN25" s="90"/>
      <c r="DO25" s="50">
        <f t="shared" si="61"/>
        <v>0</v>
      </c>
      <c r="DP25" s="50">
        <f t="shared" si="61"/>
        <v>0</v>
      </c>
      <c r="DQ25" s="50">
        <f t="shared" si="61"/>
        <v>5</v>
      </c>
      <c r="DR25" s="47">
        <v>0</v>
      </c>
      <c r="DS25" s="47">
        <v>0</v>
      </c>
      <c r="DT25" s="47">
        <v>9</v>
      </c>
    </row>
    <row r="26" spans="1:124" ht="13.5" customHeight="1" thickBot="1" x14ac:dyDescent="0.3">
      <c r="A26" s="201"/>
      <c r="B26" s="54" t="s">
        <v>305</v>
      </c>
      <c r="C26" s="49">
        <v>0</v>
      </c>
      <c r="D26" s="49">
        <v>0</v>
      </c>
      <c r="E26" s="84">
        <v>0</v>
      </c>
      <c r="F26" s="90"/>
      <c r="G26" s="87">
        <v>0</v>
      </c>
      <c r="H26" s="49">
        <v>0</v>
      </c>
      <c r="I26" s="49">
        <v>0</v>
      </c>
      <c r="J26" s="90"/>
      <c r="K26" s="49">
        <v>0</v>
      </c>
      <c r="L26" s="49">
        <v>0</v>
      </c>
      <c r="M26" s="49">
        <v>0</v>
      </c>
      <c r="N26" s="90"/>
      <c r="O26" s="49">
        <v>0</v>
      </c>
      <c r="P26" s="49">
        <v>0</v>
      </c>
      <c r="Q26" s="49">
        <v>0</v>
      </c>
      <c r="R26" s="90"/>
      <c r="S26" s="49">
        <v>0</v>
      </c>
      <c r="T26" s="49">
        <v>0</v>
      </c>
      <c r="U26" s="49">
        <v>0</v>
      </c>
      <c r="V26" s="90"/>
      <c r="W26" s="49">
        <v>0</v>
      </c>
      <c r="X26" s="49">
        <v>0</v>
      </c>
      <c r="Y26" s="49">
        <v>0</v>
      </c>
      <c r="Z26" s="90"/>
      <c r="AA26" s="49">
        <v>0</v>
      </c>
      <c r="AB26" s="49">
        <v>0</v>
      </c>
      <c r="AC26" s="49">
        <v>0</v>
      </c>
      <c r="AD26" s="90"/>
      <c r="AE26" s="49">
        <v>0</v>
      </c>
      <c r="AF26" s="49">
        <v>0</v>
      </c>
      <c r="AG26" s="49">
        <v>0</v>
      </c>
      <c r="AH26" s="90"/>
      <c r="AI26" s="49">
        <v>0</v>
      </c>
      <c r="AJ26" s="49">
        <v>0</v>
      </c>
      <c r="AK26" s="49">
        <v>0</v>
      </c>
      <c r="AL26" s="90"/>
      <c r="AM26" s="49">
        <v>0</v>
      </c>
      <c r="AN26" s="49">
        <v>0</v>
      </c>
      <c r="AO26" s="49">
        <v>0</v>
      </c>
      <c r="AP26" s="90"/>
      <c r="AQ26" s="49">
        <v>0</v>
      </c>
      <c r="AR26" s="49">
        <v>0</v>
      </c>
      <c r="AS26" s="49">
        <v>0</v>
      </c>
      <c r="AT26" s="90"/>
      <c r="AU26" s="49">
        <v>2</v>
      </c>
      <c r="AV26" s="49">
        <v>0</v>
      </c>
      <c r="AW26" s="49">
        <v>0</v>
      </c>
      <c r="AX26" s="90"/>
      <c r="AY26" s="49">
        <v>0</v>
      </c>
      <c r="AZ26" s="49">
        <v>0</v>
      </c>
      <c r="BA26" s="49">
        <v>0</v>
      </c>
      <c r="BB26" s="90"/>
      <c r="BC26" s="49">
        <v>0</v>
      </c>
      <c r="BD26" s="49">
        <v>0</v>
      </c>
      <c r="BE26" s="49">
        <v>0</v>
      </c>
      <c r="BF26" s="90"/>
      <c r="BG26" s="49">
        <v>0</v>
      </c>
      <c r="BH26" s="49">
        <v>0</v>
      </c>
      <c r="BI26" s="49">
        <v>0</v>
      </c>
      <c r="BJ26" s="90"/>
      <c r="BK26" s="49">
        <v>0</v>
      </c>
      <c r="BL26" s="49">
        <v>0</v>
      </c>
      <c r="BM26" s="49">
        <v>0</v>
      </c>
      <c r="BN26" s="90"/>
      <c r="BO26" s="49">
        <v>0</v>
      </c>
      <c r="BP26" s="49">
        <v>0</v>
      </c>
      <c r="BQ26" s="49">
        <v>0</v>
      </c>
      <c r="BR26" s="90"/>
      <c r="BS26" s="49">
        <v>0</v>
      </c>
      <c r="BT26" s="49">
        <v>0</v>
      </c>
      <c r="BU26" s="49">
        <v>0</v>
      </c>
      <c r="BV26" s="90"/>
      <c r="BW26" s="49">
        <v>2</v>
      </c>
      <c r="BX26" s="49">
        <v>0</v>
      </c>
      <c r="BY26" s="49">
        <v>0</v>
      </c>
      <c r="BZ26" s="90"/>
      <c r="CA26" s="49">
        <v>0</v>
      </c>
      <c r="CB26" s="49">
        <v>0</v>
      </c>
      <c r="CC26" s="49">
        <v>0</v>
      </c>
      <c r="CD26" s="90"/>
      <c r="CE26" s="49">
        <v>0</v>
      </c>
      <c r="CF26" s="49">
        <v>0</v>
      </c>
      <c r="CG26" s="49">
        <v>0</v>
      </c>
      <c r="CH26" s="90"/>
      <c r="CI26" s="49">
        <v>0</v>
      </c>
      <c r="CJ26" s="49">
        <v>0</v>
      </c>
      <c r="CK26" s="49">
        <v>0</v>
      </c>
      <c r="CL26" s="90"/>
      <c r="CM26" s="49">
        <v>0</v>
      </c>
      <c r="CN26" s="49">
        <v>0</v>
      </c>
      <c r="CO26" s="49">
        <v>0</v>
      </c>
      <c r="CP26" s="90"/>
      <c r="CQ26" s="49">
        <v>0</v>
      </c>
      <c r="CR26" s="49">
        <v>0</v>
      </c>
      <c r="CS26" s="49">
        <v>0</v>
      </c>
      <c r="CT26" s="90"/>
      <c r="CU26" s="49">
        <v>2</v>
      </c>
      <c r="CV26" s="49">
        <v>0</v>
      </c>
      <c r="CW26" s="49">
        <v>0</v>
      </c>
      <c r="CX26" s="90"/>
      <c r="CY26" s="49">
        <v>0</v>
      </c>
      <c r="CZ26" s="49">
        <v>0</v>
      </c>
      <c r="DA26" s="49">
        <v>0</v>
      </c>
      <c r="DB26" s="90"/>
      <c r="DC26" s="49">
        <v>0</v>
      </c>
      <c r="DD26" s="49">
        <v>0</v>
      </c>
      <c r="DE26" s="49">
        <v>0</v>
      </c>
      <c r="DF26" s="90"/>
      <c r="DG26" s="49">
        <v>2</v>
      </c>
      <c r="DH26" s="49">
        <v>0</v>
      </c>
      <c r="DI26" s="49">
        <v>0</v>
      </c>
      <c r="DJ26" s="90"/>
      <c r="DK26" s="49">
        <v>0</v>
      </c>
      <c r="DL26" s="49">
        <v>0</v>
      </c>
      <c r="DM26" s="49">
        <v>0</v>
      </c>
      <c r="DN26" s="90"/>
      <c r="DO26" s="50">
        <f t="shared" si="61"/>
        <v>4</v>
      </c>
      <c r="DP26" s="50">
        <f t="shared" si="61"/>
        <v>0</v>
      </c>
      <c r="DQ26" s="50">
        <f t="shared" si="61"/>
        <v>0</v>
      </c>
      <c r="DR26" s="47">
        <v>5</v>
      </c>
      <c r="DS26" s="47">
        <v>0</v>
      </c>
      <c r="DT26" s="47">
        <v>0</v>
      </c>
    </row>
    <row r="27" spans="1:124" ht="13.5" customHeight="1" thickBot="1" x14ac:dyDescent="0.3">
      <c r="A27" s="199">
        <v>9</v>
      </c>
      <c r="B27" s="70" t="s">
        <v>103</v>
      </c>
      <c r="C27" s="45">
        <f t="shared" ref="C27:Q27" si="62">SUM(C28:C29)</f>
        <v>159</v>
      </c>
      <c r="D27" s="45">
        <f t="shared" si="62"/>
        <v>10</v>
      </c>
      <c r="E27" s="85">
        <f t="shared" si="62"/>
        <v>713</v>
      </c>
      <c r="F27" s="90"/>
      <c r="G27" s="46">
        <f t="shared" si="62"/>
        <v>0</v>
      </c>
      <c r="H27" s="45">
        <f t="shared" si="62"/>
        <v>0</v>
      </c>
      <c r="I27" s="45">
        <f t="shared" si="62"/>
        <v>0</v>
      </c>
      <c r="J27" s="90"/>
      <c r="K27" s="45">
        <f t="shared" si="62"/>
        <v>138</v>
      </c>
      <c r="L27" s="45">
        <f t="shared" si="62"/>
        <v>29</v>
      </c>
      <c r="M27" s="45">
        <f t="shared" si="62"/>
        <v>278</v>
      </c>
      <c r="N27" s="90"/>
      <c r="O27" s="45">
        <f t="shared" si="62"/>
        <v>57</v>
      </c>
      <c r="P27" s="45">
        <f t="shared" si="62"/>
        <v>10</v>
      </c>
      <c r="Q27" s="45">
        <f t="shared" si="62"/>
        <v>323</v>
      </c>
      <c r="R27" s="90"/>
      <c r="S27" s="45">
        <f t="shared" ref="S27:Y27" si="63">SUM(S28:S29)</f>
        <v>34</v>
      </c>
      <c r="T27" s="45">
        <f t="shared" si="63"/>
        <v>12</v>
      </c>
      <c r="U27" s="45">
        <f t="shared" si="63"/>
        <v>123</v>
      </c>
      <c r="V27" s="90"/>
      <c r="W27" s="45">
        <f t="shared" si="63"/>
        <v>0</v>
      </c>
      <c r="X27" s="45">
        <f t="shared" si="63"/>
        <v>0</v>
      </c>
      <c r="Y27" s="45">
        <f t="shared" si="63"/>
        <v>0</v>
      </c>
      <c r="Z27" s="90"/>
      <c r="AA27" s="45">
        <f t="shared" ref="AA27:AG27" si="64">SUM(AA28:AA29)</f>
        <v>0</v>
      </c>
      <c r="AB27" s="45">
        <f t="shared" si="64"/>
        <v>0</v>
      </c>
      <c r="AC27" s="45">
        <f t="shared" si="64"/>
        <v>0</v>
      </c>
      <c r="AD27" s="90"/>
      <c r="AE27" s="45">
        <f t="shared" si="64"/>
        <v>0</v>
      </c>
      <c r="AF27" s="45">
        <f t="shared" si="64"/>
        <v>0</v>
      </c>
      <c r="AG27" s="45">
        <f t="shared" si="64"/>
        <v>0</v>
      </c>
      <c r="AH27" s="90"/>
      <c r="AI27" s="45">
        <f t="shared" ref="AI27:AO27" si="65">SUM(AI28:AI29)</f>
        <v>0</v>
      </c>
      <c r="AJ27" s="45">
        <f t="shared" si="65"/>
        <v>0</v>
      </c>
      <c r="AK27" s="45">
        <f t="shared" si="65"/>
        <v>0</v>
      </c>
      <c r="AL27" s="90"/>
      <c r="AM27" s="45">
        <f t="shared" si="65"/>
        <v>3</v>
      </c>
      <c r="AN27" s="45">
        <f t="shared" si="65"/>
        <v>1</v>
      </c>
      <c r="AO27" s="45">
        <f t="shared" si="65"/>
        <v>34</v>
      </c>
      <c r="AP27" s="90"/>
      <c r="AQ27" s="45">
        <f t="shared" ref="AQ27:BA27" si="66">SUM(AQ28:AQ29)</f>
        <v>0</v>
      </c>
      <c r="AR27" s="45">
        <f t="shared" si="66"/>
        <v>0</v>
      </c>
      <c r="AS27" s="45">
        <f t="shared" si="66"/>
        <v>0</v>
      </c>
      <c r="AT27" s="90"/>
      <c r="AU27" s="45">
        <f t="shared" si="66"/>
        <v>0</v>
      </c>
      <c r="AV27" s="45">
        <f t="shared" si="66"/>
        <v>0</v>
      </c>
      <c r="AW27" s="45">
        <f t="shared" si="66"/>
        <v>0</v>
      </c>
      <c r="AX27" s="90"/>
      <c r="AY27" s="45">
        <f t="shared" si="66"/>
        <v>10</v>
      </c>
      <c r="AZ27" s="45">
        <f t="shared" si="66"/>
        <v>0</v>
      </c>
      <c r="BA27" s="45">
        <f t="shared" si="66"/>
        <v>37</v>
      </c>
      <c r="BB27" s="90"/>
      <c r="BC27" s="45">
        <f t="shared" ref="BC27:BI27" si="67">SUM(BC28:BC29)</f>
        <v>0</v>
      </c>
      <c r="BD27" s="45">
        <f t="shared" si="67"/>
        <v>0</v>
      </c>
      <c r="BE27" s="45">
        <f t="shared" si="67"/>
        <v>0</v>
      </c>
      <c r="BF27" s="90"/>
      <c r="BG27" s="45">
        <f t="shared" si="67"/>
        <v>0</v>
      </c>
      <c r="BH27" s="45">
        <f t="shared" si="67"/>
        <v>0</v>
      </c>
      <c r="BI27" s="45">
        <f t="shared" si="67"/>
        <v>0</v>
      </c>
      <c r="BJ27" s="90"/>
      <c r="BK27" s="45">
        <f t="shared" ref="BK27:BU27" si="68">SUM(BK28:BK29)</f>
        <v>0</v>
      </c>
      <c r="BL27" s="45">
        <f t="shared" si="68"/>
        <v>0</v>
      </c>
      <c r="BM27" s="45">
        <f t="shared" si="68"/>
        <v>0</v>
      </c>
      <c r="BN27" s="90"/>
      <c r="BO27" s="45">
        <f t="shared" si="68"/>
        <v>115</v>
      </c>
      <c r="BP27" s="45">
        <f t="shared" si="68"/>
        <v>23</v>
      </c>
      <c r="BQ27" s="45">
        <f t="shared" si="68"/>
        <v>359</v>
      </c>
      <c r="BR27" s="90"/>
      <c r="BS27" s="45">
        <f t="shared" si="68"/>
        <v>115</v>
      </c>
      <c r="BT27" s="45">
        <f t="shared" si="68"/>
        <v>21</v>
      </c>
      <c r="BU27" s="45">
        <f t="shared" si="68"/>
        <v>360</v>
      </c>
      <c r="BV27" s="90"/>
      <c r="BW27" s="45">
        <f t="shared" ref="BW27:CC27" si="69">SUM(BW28:BW29)</f>
        <v>4</v>
      </c>
      <c r="BX27" s="45">
        <f t="shared" si="69"/>
        <v>0</v>
      </c>
      <c r="BY27" s="45">
        <f>SUM(BY28:BY29)</f>
        <v>10</v>
      </c>
      <c r="BZ27" s="90"/>
      <c r="CA27" s="45">
        <f t="shared" si="69"/>
        <v>115</v>
      </c>
      <c r="CB27" s="45">
        <f t="shared" si="69"/>
        <v>21</v>
      </c>
      <c r="CC27" s="45">
        <f t="shared" si="69"/>
        <v>360</v>
      </c>
      <c r="CD27" s="90"/>
      <c r="CE27" s="45">
        <f t="shared" ref="CE27:CK27" si="70">SUM(CE28:CE29)</f>
        <v>115</v>
      </c>
      <c r="CF27" s="45">
        <f t="shared" si="70"/>
        <v>21</v>
      </c>
      <c r="CG27" s="45">
        <f t="shared" si="70"/>
        <v>360</v>
      </c>
      <c r="CH27" s="90"/>
      <c r="CI27" s="45">
        <f t="shared" si="70"/>
        <v>10</v>
      </c>
      <c r="CJ27" s="45">
        <f t="shared" si="70"/>
        <v>0</v>
      </c>
      <c r="CK27" s="45">
        <f t="shared" si="70"/>
        <v>37</v>
      </c>
      <c r="CL27" s="90"/>
      <c r="CM27" s="45">
        <f>SUM(CM28:CM29)</f>
        <v>0</v>
      </c>
      <c r="CN27" s="45">
        <f>SUM(CN28:CN29)</f>
        <v>0</v>
      </c>
      <c r="CO27" s="45">
        <f>SUM(CO28:CO29)</f>
        <v>0</v>
      </c>
      <c r="CP27" s="90"/>
      <c r="CQ27" s="45">
        <f t="shared" ref="CQ27:CS27" si="71">SUM(CQ28:CQ29)</f>
        <v>10</v>
      </c>
      <c r="CR27" s="45">
        <f t="shared" si="71"/>
        <v>0</v>
      </c>
      <c r="CS27" s="45">
        <f t="shared" si="71"/>
        <v>37</v>
      </c>
      <c r="CT27" s="90"/>
      <c r="CU27" s="45">
        <f t="shared" ref="CU27:CW27" si="72">SUM(CU28:CU29)</f>
        <v>0</v>
      </c>
      <c r="CV27" s="45">
        <f t="shared" si="72"/>
        <v>0</v>
      </c>
      <c r="CW27" s="45">
        <f t="shared" si="72"/>
        <v>0</v>
      </c>
      <c r="CX27" s="90"/>
      <c r="CY27" s="45">
        <f t="shared" ref="CY27:DA27" si="73">SUM(CY28:CY29)</f>
        <v>0</v>
      </c>
      <c r="CZ27" s="45">
        <f t="shared" si="73"/>
        <v>0</v>
      </c>
      <c r="DA27" s="45">
        <f t="shared" si="73"/>
        <v>0</v>
      </c>
      <c r="DB27" s="90"/>
      <c r="DC27" s="45">
        <f t="shared" ref="DC27:DE27" si="74">SUM(DC28:DC29)</f>
        <v>0</v>
      </c>
      <c r="DD27" s="45">
        <f t="shared" si="74"/>
        <v>0</v>
      </c>
      <c r="DE27" s="45">
        <f t="shared" si="74"/>
        <v>0</v>
      </c>
      <c r="DF27" s="90"/>
      <c r="DG27" s="45">
        <f t="shared" ref="DG27:DI27" si="75">SUM(DG28:DG29)</f>
        <v>0</v>
      </c>
      <c r="DH27" s="45">
        <f t="shared" si="75"/>
        <v>0</v>
      </c>
      <c r="DI27" s="45">
        <f t="shared" si="75"/>
        <v>0</v>
      </c>
      <c r="DJ27" s="90"/>
      <c r="DK27" s="45">
        <f t="shared" ref="DK27:DM27" si="76">SUM(DK28:DK29)</f>
        <v>0</v>
      </c>
      <c r="DL27" s="45">
        <f t="shared" si="76"/>
        <v>0</v>
      </c>
      <c r="DM27" s="45">
        <f t="shared" si="76"/>
        <v>0</v>
      </c>
      <c r="DN27" s="90"/>
      <c r="DO27" s="50">
        <f t="shared" si="61"/>
        <v>0</v>
      </c>
      <c r="DP27" s="50">
        <f t="shared" si="61"/>
        <v>0</v>
      </c>
      <c r="DQ27" s="50">
        <f t="shared" si="61"/>
        <v>0</v>
      </c>
      <c r="DR27" s="47">
        <v>5</v>
      </c>
      <c r="DS27" s="47">
        <v>1</v>
      </c>
      <c r="DT27" s="47">
        <v>61</v>
      </c>
    </row>
    <row r="28" spans="1:124" ht="13.5" customHeight="1" thickBot="1" x14ac:dyDescent="0.3">
      <c r="A28" s="200"/>
      <c r="B28" s="71" t="s">
        <v>104</v>
      </c>
      <c r="C28" s="49">
        <v>34</v>
      </c>
      <c r="D28" s="49">
        <v>0</v>
      </c>
      <c r="E28" s="84">
        <v>34</v>
      </c>
      <c r="F28" s="90"/>
      <c r="G28" s="87">
        <v>0</v>
      </c>
      <c r="H28" s="49">
        <v>0</v>
      </c>
      <c r="I28" s="49">
        <v>0</v>
      </c>
      <c r="J28" s="90"/>
      <c r="K28" s="49">
        <v>95</v>
      </c>
      <c r="L28" s="49">
        <v>0</v>
      </c>
      <c r="M28" s="49">
        <v>6</v>
      </c>
      <c r="N28" s="90"/>
      <c r="O28" s="49">
        <v>26</v>
      </c>
      <c r="P28" s="49">
        <v>0</v>
      </c>
      <c r="Q28" s="49">
        <v>12</v>
      </c>
      <c r="R28" s="90"/>
      <c r="S28" s="49">
        <v>0</v>
      </c>
      <c r="T28" s="49">
        <v>0</v>
      </c>
      <c r="U28" s="49">
        <v>1</v>
      </c>
      <c r="V28" s="90"/>
      <c r="W28" s="49">
        <v>0</v>
      </c>
      <c r="X28" s="49">
        <v>0</v>
      </c>
      <c r="Y28" s="49">
        <v>0</v>
      </c>
      <c r="Z28" s="90"/>
      <c r="AA28" s="49">
        <v>0</v>
      </c>
      <c r="AB28" s="49">
        <v>0</v>
      </c>
      <c r="AC28" s="49">
        <v>0</v>
      </c>
      <c r="AD28" s="90"/>
      <c r="AE28" s="49">
        <v>0</v>
      </c>
      <c r="AF28" s="49">
        <v>0</v>
      </c>
      <c r="AG28" s="49">
        <v>0</v>
      </c>
      <c r="AH28" s="90"/>
      <c r="AI28" s="49">
        <v>0</v>
      </c>
      <c r="AJ28" s="49">
        <v>0</v>
      </c>
      <c r="AK28" s="49">
        <v>0</v>
      </c>
      <c r="AL28" s="90"/>
      <c r="AM28" s="49">
        <v>0</v>
      </c>
      <c r="AN28" s="49">
        <v>0</v>
      </c>
      <c r="AO28" s="49">
        <v>2</v>
      </c>
      <c r="AP28" s="90"/>
      <c r="AQ28" s="49">
        <v>0</v>
      </c>
      <c r="AR28" s="49">
        <v>0</v>
      </c>
      <c r="AS28" s="49">
        <v>0</v>
      </c>
      <c r="AT28" s="90"/>
      <c r="AU28" s="49">
        <v>0</v>
      </c>
      <c r="AV28" s="49">
        <v>0</v>
      </c>
      <c r="AW28" s="49">
        <v>0</v>
      </c>
      <c r="AX28" s="90"/>
      <c r="AY28" s="49">
        <v>0</v>
      </c>
      <c r="AZ28" s="49">
        <v>0</v>
      </c>
      <c r="BA28" s="49">
        <v>8</v>
      </c>
      <c r="BB28" s="90"/>
      <c r="BC28" s="49">
        <v>0</v>
      </c>
      <c r="BD28" s="49">
        <v>0</v>
      </c>
      <c r="BE28" s="49">
        <v>0</v>
      </c>
      <c r="BF28" s="90"/>
      <c r="BG28" s="49">
        <v>0</v>
      </c>
      <c r="BH28" s="49">
        <v>0</v>
      </c>
      <c r="BI28" s="49">
        <v>0</v>
      </c>
      <c r="BJ28" s="90"/>
      <c r="BK28" s="49">
        <v>0</v>
      </c>
      <c r="BL28" s="49">
        <v>0</v>
      </c>
      <c r="BM28" s="49">
        <v>0</v>
      </c>
      <c r="BN28" s="90"/>
      <c r="BO28" s="49">
        <v>64</v>
      </c>
      <c r="BP28" s="49">
        <v>0</v>
      </c>
      <c r="BQ28" s="49">
        <v>6</v>
      </c>
      <c r="BR28" s="90"/>
      <c r="BS28" s="49">
        <v>64</v>
      </c>
      <c r="BT28" s="49">
        <v>0</v>
      </c>
      <c r="BU28" s="49">
        <v>6</v>
      </c>
      <c r="BV28" s="90"/>
      <c r="BW28" s="49">
        <v>0</v>
      </c>
      <c r="BX28" s="49">
        <v>0</v>
      </c>
      <c r="BY28" s="49">
        <v>5</v>
      </c>
      <c r="BZ28" s="90"/>
      <c r="CA28" s="49">
        <v>64</v>
      </c>
      <c r="CB28" s="49">
        <v>0</v>
      </c>
      <c r="CC28" s="49">
        <v>6</v>
      </c>
      <c r="CD28" s="90"/>
      <c r="CE28" s="49">
        <v>64</v>
      </c>
      <c r="CF28" s="49">
        <v>0</v>
      </c>
      <c r="CG28" s="49">
        <v>6</v>
      </c>
      <c r="CH28" s="90"/>
      <c r="CI28" s="49">
        <v>0</v>
      </c>
      <c r="CJ28" s="49">
        <v>0</v>
      </c>
      <c r="CK28" s="49">
        <v>10</v>
      </c>
      <c r="CL28" s="90"/>
      <c r="CM28" s="49">
        <v>0</v>
      </c>
      <c r="CN28" s="49">
        <v>0</v>
      </c>
      <c r="CO28" s="49">
        <v>0</v>
      </c>
      <c r="CP28" s="90"/>
      <c r="CQ28" s="49">
        <v>0</v>
      </c>
      <c r="CR28" s="49">
        <v>0</v>
      </c>
      <c r="CS28" s="49">
        <v>10</v>
      </c>
      <c r="CT28" s="90"/>
      <c r="CU28" s="49">
        <v>0</v>
      </c>
      <c r="CV28" s="49">
        <v>0</v>
      </c>
      <c r="CW28" s="49">
        <v>0</v>
      </c>
      <c r="CX28" s="90"/>
      <c r="CY28" s="49">
        <v>0</v>
      </c>
      <c r="CZ28" s="49">
        <v>0</v>
      </c>
      <c r="DA28" s="49">
        <v>0</v>
      </c>
      <c r="DB28" s="90"/>
      <c r="DC28" s="49">
        <v>0</v>
      </c>
      <c r="DD28" s="49">
        <v>0</v>
      </c>
      <c r="DE28" s="49">
        <v>0</v>
      </c>
      <c r="DF28" s="90"/>
      <c r="DG28" s="49">
        <v>0</v>
      </c>
      <c r="DH28" s="49">
        <v>0</v>
      </c>
      <c r="DI28" s="49">
        <v>0</v>
      </c>
      <c r="DJ28" s="90"/>
      <c r="DK28" s="49">
        <v>0</v>
      </c>
      <c r="DL28" s="49">
        <v>0</v>
      </c>
      <c r="DM28" s="49">
        <v>0</v>
      </c>
      <c r="DN28" s="90"/>
      <c r="DO28" s="50">
        <f t="shared" si="61"/>
        <v>0</v>
      </c>
      <c r="DP28" s="50">
        <f t="shared" si="61"/>
        <v>0</v>
      </c>
      <c r="DQ28" s="50">
        <f t="shared" si="61"/>
        <v>0</v>
      </c>
      <c r="DR28" s="47">
        <v>0</v>
      </c>
      <c r="DS28" s="47">
        <v>0</v>
      </c>
      <c r="DT28" s="47">
        <v>29</v>
      </c>
    </row>
    <row r="29" spans="1:124" ht="13.5" customHeight="1" thickBot="1" x14ac:dyDescent="0.3">
      <c r="A29" s="201"/>
      <c r="B29" s="71" t="s">
        <v>105</v>
      </c>
      <c r="C29" s="49">
        <v>125</v>
      </c>
      <c r="D29" s="49">
        <v>10</v>
      </c>
      <c r="E29" s="84">
        <v>679</v>
      </c>
      <c r="F29" s="90"/>
      <c r="G29" s="87">
        <v>0</v>
      </c>
      <c r="H29" s="49">
        <v>0</v>
      </c>
      <c r="I29" s="49">
        <v>0</v>
      </c>
      <c r="J29" s="90"/>
      <c r="K29" s="49">
        <v>43</v>
      </c>
      <c r="L29" s="49">
        <v>29</v>
      </c>
      <c r="M29" s="49">
        <v>272</v>
      </c>
      <c r="N29" s="90"/>
      <c r="O29" s="49">
        <v>31</v>
      </c>
      <c r="P29" s="49">
        <v>10</v>
      </c>
      <c r="Q29" s="49">
        <v>311</v>
      </c>
      <c r="R29" s="90"/>
      <c r="S29" s="49">
        <v>34</v>
      </c>
      <c r="T29" s="49">
        <v>12</v>
      </c>
      <c r="U29" s="49">
        <v>122</v>
      </c>
      <c r="V29" s="90"/>
      <c r="W29" s="49">
        <v>0</v>
      </c>
      <c r="X29" s="49">
        <v>0</v>
      </c>
      <c r="Y29" s="49">
        <v>0</v>
      </c>
      <c r="Z29" s="90"/>
      <c r="AA29" s="49">
        <v>0</v>
      </c>
      <c r="AB29" s="49">
        <v>0</v>
      </c>
      <c r="AC29" s="49">
        <v>0</v>
      </c>
      <c r="AD29" s="90"/>
      <c r="AE29" s="49">
        <v>0</v>
      </c>
      <c r="AF29" s="49">
        <v>0</v>
      </c>
      <c r="AG29" s="49">
        <v>0</v>
      </c>
      <c r="AH29" s="90"/>
      <c r="AI29" s="49">
        <v>0</v>
      </c>
      <c r="AJ29" s="49">
        <v>0</v>
      </c>
      <c r="AK29" s="49">
        <v>0</v>
      </c>
      <c r="AL29" s="90"/>
      <c r="AM29" s="49">
        <v>3</v>
      </c>
      <c r="AN29" s="49">
        <v>1</v>
      </c>
      <c r="AO29" s="49">
        <v>32</v>
      </c>
      <c r="AP29" s="90"/>
      <c r="AQ29" s="49">
        <v>0</v>
      </c>
      <c r="AR29" s="49">
        <v>0</v>
      </c>
      <c r="AS29" s="49">
        <v>0</v>
      </c>
      <c r="AT29" s="90"/>
      <c r="AU29" s="49">
        <v>0</v>
      </c>
      <c r="AV29" s="49">
        <v>0</v>
      </c>
      <c r="AW29" s="49">
        <v>0</v>
      </c>
      <c r="AX29" s="90"/>
      <c r="AY29" s="49">
        <v>10</v>
      </c>
      <c r="AZ29" s="49">
        <v>0</v>
      </c>
      <c r="BA29" s="49">
        <v>29</v>
      </c>
      <c r="BB29" s="90"/>
      <c r="BC29" s="49">
        <v>0</v>
      </c>
      <c r="BD29" s="49">
        <v>0</v>
      </c>
      <c r="BE29" s="49">
        <v>0</v>
      </c>
      <c r="BF29" s="90"/>
      <c r="BG29" s="49">
        <v>0</v>
      </c>
      <c r="BH29" s="49">
        <v>0</v>
      </c>
      <c r="BI29" s="49">
        <v>0</v>
      </c>
      <c r="BJ29" s="90"/>
      <c r="BK29" s="49">
        <v>0</v>
      </c>
      <c r="BL29" s="49">
        <v>0</v>
      </c>
      <c r="BM29" s="49">
        <v>0</v>
      </c>
      <c r="BN29" s="90"/>
      <c r="BO29" s="49">
        <v>51</v>
      </c>
      <c r="BP29" s="49">
        <v>23</v>
      </c>
      <c r="BQ29" s="49">
        <v>353</v>
      </c>
      <c r="BR29" s="90"/>
      <c r="BS29" s="49">
        <v>51</v>
      </c>
      <c r="BT29" s="49">
        <v>21</v>
      </c>
      <c r="BU29" s="49">
        <v>354</v>
      </c>
      <c r="BV29" s="90"/>
      <c r="BW29" s="49">
        <v>4</v>
      </c>
      <c r="BX29" s="49">
        <v>0</v>
      </c>
      <c r="BY29" s="49">
        <v>5</v>
      </c>
      <c r="BZ29" s="90"/>
      <c r="CA29" s="49">
        <v>51</v>
      </c>
      <c r="CB29" s="49">
        <v>21</v>
      </c>
      <c r="CC29" s="49">
        <v>354</v>
      </c>
      <c r="CD29" s="90"/>
      <c r="CE29" s="49">
        <v>51</v>
      </c>
      <c r="CF29" s="49">
        <v>21</v>
      </c>
      <c r="CG29" s="49">
        <v>354</v>
      </c>
      <c r="CH29" s="90"/>
      <c r="CI29" s="49">
        <v>10</v>
      </c>
      <c r="CJ29" s="49">
        <v>0</v>
      </c>
      <c r="CK29" s="49">
        <v>27</v>
      </c>
      <c r="CL29" s="90"/>
      <c r="CM29" s="49">
        <v>0</v>
      </c>
      <c r="CN29" s="49">
        <v>0</v>
      </c>
      <c r="CO29" s="49">
        <v>0</v>
      </c>
      <c r="CP29" s="90"/>
      <c r="CQ29" s="49">
        <v>10</v>
      </c>
      <c r="CR29" s="49">
        <v>0</v>
      </c>
      <c r="CS29" s="49">
        <v>27</v>
      </c>
      <c r="CT29" s="90"/>
      <c r="CU29" s="49">
        <v>0</v>
      </c>
      <c r="CV29" s="49">
        <v>0</v>
      </c>
      <c r="CW29" s="49">
        <v>0</v>
      </c>
      <c r="CX29" s="90"/>
      <c r="CY29" s="49">
        <v>0</v>
      </c>
      <c r="CZ29" s="49">
        <v>0</v>
      </c>
      <c r="DA29" s="49">
        <v>0</v>
      </c>
      <c r="DB29" s="90"/>
      <c r="DC29" s="49">
        <v>0</v>
      </c>
      <c r="DD29" s="49">
        <v>0</v>
      </c>
      <c r="DE29" s="49">
        <v>0</v>
      </c>
      <c r="DF29" s="90"/>
      <c r="DG29" s="49">
        <v>0</v>
      </c>
      <c r="DH29" s="49">
        <v>0</v>
      </c>
      <c r="DI29" s="49">
        <v>0</v>
      </c>
      <c r="DJ29" s="90"/>
      <c r="DK29" s="49">
        <v>0</v>
      </c>
      <c r="DL29" s="49">
        <v>0</v>
      </c>
      <c r="DM29" s="49">
        <v>0</v>
      </c>
      <c r="DN29" s="90"/>
      <c r="DO29" s="50">
        <f>CU29+CY29+DG29+DG29+DK29</f>
        <v>0</v>
      </c>
      <c r="DP29" s="50">
        <f>CV29+CZ29+DD29+DH29+DL29</f>
        <v>0</v>
      </c>
      <c r="DQ29" s="50">
        <f>CW29+DA29+DE29+DI29+DM29</f>
        <v>0</v>
      </c>
      <c r="DR29" s="47">
        <v>5</v>
      </c>
      <c r="DS29" s="47">
        <v>1</v>
      </c>
      <c r="DT29" s="47">
        <v>32</v>
      </c>
    </row>
    <row r="30" spans="1:124" ht="13.5" customHeight="1" thickBot="1" x14ac:dyDescent="0.3">
      <c r="A30" s="202">
        <v>10</v>
      </c>
      <c r="B30" s="72" t="s">
        <v>106</v>
      </c>
      <c r="C30" s="45">
        <v>34</v>
      </c>
      <c r="D30" s="45">
        <v>0</v>
      </c>
      <c r="E30" s="85">
        <v>34</v>
      </c>
      <c r="F30" s="90"/>
      <c r="G30" s="46">
        <v>0</v>
      </c>
      <c r="H30" s="45">
        <v>0</v>
      </c>
      <c r="I30" s="45">
        <v>0</v>
      </c>
      <c r="J30" s="90"/>
      <c r="K30" s="45">
        <v>95</v>
      </c>
      <c r="L30" s="45">
        <v>0</v>
      </c>
      <c r="M30" s="45">
        <v>6</v>
      </c>
      <c r="N30" s="90"/>
      <c r="O30" s="49">
        <v>26</v>
      </c>
      <c r="P30" s="49">
        <v>0</v>
      </c>
      <c r="Q30" s="45">
        <v>12</v>
      </c>
      <c r="R30" s="90"/>
      <c r="S30" s="49">
        <v>0</v>
      </c>
      <c r="T30" s="49">
        <v>0</v>
      </c>
      <c r="U30" s="45">
        <v>1</v>
      </c>
      <c r="V30" s="90"/>
      <c r="W30" s="49">
        <v>0</v>
      </c>
      <c r="X30" s="49">
        <v>0</v>
      </c>
      <c r="Y30" s="45">
        <v>0</v>
      </c>
      <c r="Z30" s="90"/>
      <c r="AA30" s="49">
        <v>0</v>
      </c>
      <c r="AB30" s="49">
        <v>0</v>
      </c>
      <c r="AC30" s="45">
        <v>0</v>
      </c>
      <c r="AD30" s="90"/>
      <c r="AE30" s="49">
        <v>0</v>
      </c>
      <c r="AF30" s="49">
        <v>0</v>
      </c>
      <c r="AG30" s="45">
        <v>0</v>
      </c>
      <c r="AH30" s="90"/>
      <c r="AI30" s="49">
        <v>0</v>
      </c>
      <c r="AJ30" s="49">
        <v>0</v>
      </c>
      <c r="AK30" s="45">
        <v>0</v>
      </c>
      <c r="AL30" s="90"/>
      <c r="AM30" s="49">
        <v>0</v>
      </c>
      <c r="AN30" s="49">
        <v>0</v>
      </c>
      <c r="AO30" s="45">
        <v>7</v>
      </c>
      <c r="AP30" s="90"/>
      <c r="AQ30" s="49">
        <v>0</v>
      </c>
      <c r="AR30" s="49">
        <v>0</v>
      </c>
      <c r="AS30" s="45">
        <v>0</v>
      </c>
      <c r="AT30" s="90"/>
      <c r="AU30" s="49">
        <v>0</v>
      </c>
      <c r="AV30" s="49">
        <v>0</v>
      </c>
      <c r="AW30" s="45">
        <v>0</v>
      </c>
      <c r="AX30" s="90"/>
      <c r="AY30" s="49">
        <v>0</v>
      </c>
      <c r="AZ30" s="49">
        <v>0</v>
      </c>
      <c r="BA30" s="45">
        <v>19</v>
      </c>
      <c r="BB30" s="90"/>
      <c r="BC30" s="49">
        <v>0</v>
      </c>
      <c r="BD30" s="49">
        <v>0</v>
      </c>
      <c r="BE30" s="45">
        <v>0</v>
      </c>
      <c r="BF30" s="90"/>
      <c r="BG30" s="49">
        <v>0</v>
      </c>
      <c r="BH30" s="49">
        <v>0</v>
      </c>
      <c r="BI30" s="45">
        <v>0</v>
      </c>
      <c r="BJ30" s="90"/>
      <c r="BK30" s="49">
        <v>0</v>
      </c>
      <c r="BL30" s="49">
        <v>0</v>
      </c>
      <c r="BM30" s="45">
        <v>0</v>
      </c>
      <c r="BN30" s="90"/>
      <c r="BO30" s="49">
        <v>64</v>
      </c>
      <c r="BP30" s="49">
        <v>0</v>
      </c>
      <c r="BQ30" s="45">
        <v>6</v>
      </c>
      <c r="BR30" s="90"/>
      <c r="BS30" s="49">
        <v>64</v>
      </c>
      <c r="BT30" s="49">
        <v>0</v>
      </c>
      <c r="BU30" s="45">
        <v>6</v>
      </c>
      <c r="BV30" s="90"/>
      <c r="BW30" s="49">
        <v>1</v>
      </c>
      <c r="BX30" s="49">
        <v>0</v>
      </c>
      <c r="BY30" s="45">
        <v>7</v>
      </c>
      <c r="BZ30" s="90"/>
      <c r="CA30" s="49">
        <v>64</v>
      </c>
      <c r="CB30" s="49">
        <v>0</v>
      </c>
      <c r="CC30" s="45">
        <v>6</v>
      </c>
      <c r="CD30" s="90"/>
      <c r="CE30" s="49">
        <v>64</v>
      </c>
      <c r="CF30" s="49">
        <v>0</v>
      </c>
      <c r="CG30" s="45">
        <v>6</v>
      </c>
      <c r="CH30" s="90"/>
      <c r="CI30" s="49">
        <v>0</v>
      </c>
      <c r="CJ30" s="49">
        <v>0</v>
      </c>
      <c r="CK30" s="45">
        <v>26</v>
      </c>
      <c r="CL30" s="90"/>
      <c r="CM30" s="49">
        <v>0</v>
      </c>
      <c r="CN30" s="49">
        <v>0</v>
      </c>
      <c r="CO30" s="45">
        <v>0</v>
      </c>
      <c r="CP30" s="90"/>
      <c r="CQ30" s="49">
        <v>0</v>
      </c>
      <c r="CR30" s="49">
        <v>0</v>
      </c>
      <c r="CS30" s="45">
        <v>26</v>
      </c>
      <c r="CT30" s="90"/>
      <c r="CU30" s="49">
        <v>0</v>
      </c>
      <c r="CV30" s="49">
        <v>0</v>
      </c>
      <c r="CW30" s="45">
        <v>0</v>
      </c>
      <c r="CX30" s="90"/>
      <c r="CY30" s="49">
        <v>0</v>
      </c>
      <c r="CZ30" s="49">
        <v>0</v>
      </c>
      <c r="DA30" s="45">
        <v>0</v>
      </c>
      <c r="DB30" s="90"/>
      <c r="DC30" s="49">
        <v>0</v>
      </c>
      <c r="DD30" s="49">
        <v>0</v>
      </c>
      <c r="DE30" s="45">
        <v>0</v>
      </c>
      <c r="DF30" s="90"/>
      <c r="DG30" s="49">
        <v>0</v>
      </c>
      <c r="DH30" s="49">
        <v>0</v>
      </c>
      <c r="DI30" s="45">
        <v>0</v>
      </c>
      <c r="DJ30" s="90"/>
      <c r="DK30" s="49">
        <v>0</v>
      </c>
      <c r="DL30" s="49">
        <v>0</v>
      </c>
      <c r="DM30" s="45">
        <v>0</v>
      </c>
      <c r="DN30" s="90"/>
      <c r="DO30" s="50">
        <f>CU30+CY30+DC30+DG30+DK30</f>
        <v>0</v>
      </c>
      <c r="DP30" s="50">
        <f>CV30+CZ30+DD30+DH30+DL30</f>
        <v>0</v>
      </c>
      <c r="DQ30" s="50">
        <f>CW30+DA30+DE30+DI30+DM30</f>
        <v>0</v>
      </c>
      <c r="DR30" s="47">
        <v>41</v>
      </c>
      <c r="DS30" s="47">
        <v>42</v>
      </c>
      <c r="DT30" s="47">
        <v>177</v>
      </c>
    </row>
    <row r="31" spans="1:124" ht="13.5" customHeight="1" thickBot="1" x14ac:dyDescent="0.3">
      <c r="A31" s="203"/>
      <c r="B31" s="55" t="s">
        <v>107</v>
      </c>
      <c r="C31" s="56">
        <f t="shared" ref="C31:I31" si="77">(C30-C28)/C30</f>
        <v>0</v>
      </c>
      <c r="D31" s="56" t="e">
        <f t="shared" si="77"/>
        <v>#DIV/0!</v>
      </c>
      <c r="E31" s="86">
        <f t="shared" si="77"/>
        <v>0</v>
      </c>
      <c r="F31" s="90"/>
      <c r="G31" s="88" t="e">
        <f t="shared" si="77"/>
        <v>#DIV/0!</v>
      </c>
      <c r="H31" s="56" t="e">
        <f t="shared" si="77"/>
        <v>#DIV/0!</v>
      </c>
      <c r="I31" s="56" t="e">
        <f t="shared" si="77"/>
        <v>#DIV/0!</v>
      </c>
      <c r="J31" s="90"/>
      <c r="K31" s="56" t="s">
        <v>108</v>
      </c>
      <c r="L31" s="56" t="s">
        <v>108</v>
      </c>
      <c r="M31" s="56">
        <f>(M30-M28)/M30</f>
        <v>0</v>
      </c>
      <c r="N31" s="90"/>
      <c r="O31" s="56">
        <f>(O30-O28)/O30</f>
        <v>0</v>
      </c>
      <c r="P31" s="56" t="e">
        <f>(P30-P28)/P30</f>
        <v>#DIV/0!</v>
      </c>
      <c r="Q31" s="56">
        <f>(Q30-Q28)/Q30</f>
        <v>0</v>
      </c>
      <c r="R31" s="90"/>
      <c r="S31" s="56" t="e">
        <f t="shared" ref="S31:Y31" si="78">(S30-S28)/S30</f>
        <v>#DIV/0!</v>
      </c>
      <c r="T31" s="56" t="e">
        <f t="shared" si="78"/>
        <v>#DIV/0!</v>
      </c>
      <c r="U31" s="56">
        <f t="shared" si="78"/>
        <v>0</v>
      </c>
      <c r="V31" s="90"/>
      <c r="W31" s="56" t="e">
        <f t="shared" si="78"/>
        <v>#DIV/0!</v>
      </c>
      <c r="X31" s="56" t="e">
        <f t="shared" si="78"/>
        <v>#DIV/0!</v>
      </c>
      <c r="Y31" s="56" t="e">
        <f t="shared" si="78"/>
        <v>#DIV/0!</v>
      </c>
      <c r="Z31" s="90"/>
      <c r="AA31" s="56" t="e">
        <f t="shared" ref="AA31:AG31" si="79">(AA30-AA28)/AA30</f>
        <v>#DIV/0!</v>
      </c>
      <c r="AB31" s="56" t="e">
        <f t="shared" si="79"/>
        <v>#DIV/0!</v>
      </c>
      <c r="AC31" s="56" t="e">
        <f t="shared" si="79"/>
        <v>#DIV/0!</v>
      </c>
      <c r="AD31" s="90"/>
      <c r="AE31" s="56" t="e">
        <f t="shared" si="79"/>
        <v>#DIV/0!</v>
      </c>
      <c r="AF31" s="56" t="e">
        <f t="shared" si="79"/>
        <v>#DIV/0!</v>
      </c>
      <c r="AG31" s="56" t="e">
        <f t="shared" si="79"/>
        <v>#DIV/0!</v>
      </c>
      <c r="AH31" s="90"/>
      <c r="AI31" s="56" t="e">
        <f t="shared" ref="AI31:AO31" si="80">(AI30-AI28)/AI30</f>
        <v>#DIV/0!</v>
      </c>
      <c r="AJ31" s="56" t="e">
        <f t="shared" si="80"/>
        <v>#DIV/0!</v>
      </c>
      <c r="AK31" s="56" t="e">
        <f t="shared" si="80"/>
        <v>#DIV/0!</v>
      </c>
      <c r="AL31" s="90"/>
      <c r="AM31" s="56" t="e">
        <f t="shared" si="80"/>
        <v>#DIV/0!</v>
      </c>
      <c r="AN31" s="56" t="e">
        <f t="shared" si="80"/>
        <v>#DIV/0!</v>
      </c>
      <c r="AO31" s="56">
        <f t="shared" si="80"/>
        <v>0.7142857142857143</v>
      </c>
      <c r="AP31" s="90"/>
      <c r="AQ31" s="56" t="e">
        <f t="shared" ref="AQ31:BA31" si="81">(AQ30-AQ28)/AQ30</f>
        <v>#DIV/0!</v>
      </c>
      <c r="AR31" s="56" t="e">
        <f t="shared" si="81"/>
        <v>#DIV/0!</v>
      </c>
      <c r="AS31" s="56" t="e">
        <f t="shared" si="81"/>
        <v>#DIV/0!</v>
      </c>
      <c r="AT31" s="90"/>
      <c r="AU31" s="56" t="e">
        <f t="shared" si="81"/>
        <v>#DIV/0!</v>
      </c>
      <c r="AV31" s="56" t="e">
        <f t="shared" si="81"/>
        <v>#DIV/0!</v>
      </c>
      <c r="AW31" s="56" t="e">
        <f t="shared" si="81"/>
        <v>#DIV/0!</v>
      </c>
      <c r="AX31" s="90"/>
      <c r="AY31" s="56" t="e">
        <f t="shared" si="81"/>
        <v>#DIV/0!</v>
      </c>
      <c r="AZ31" s="56" t="e">
        <f t="shared" si="81"/>
        <v>#DIV/0!</v>
      </c>
      <c r="BA31" s="56">
        <f t="shared" si="81"/>
        <v>0.57894736842105265</v>
      </c>
      <c r="BB31" s="90"/>
      <c r="BC31" s="56" t="e">
        <f t="shared" ref="BC31:BI31" si="82">(BC30-BC28)/BC30</f>
        <v>#DIV/0!</v>
      </c>
      <c r="BD31" s="56" t="e">
        <f t="shared" si="82"/>
        <v>#DIV/0!</v>
      </c>
      <c r="BE31" s="56" t="e">
        <f t="shared" si="82"/>
        <v>#DIV/0!</v>
      </c>
      <c r="BF31" s="90"/>
      <c r="BG31" s="56" t="e">
        <f t="shared" si="82"/>
        <v>#DIV/0!</v>
      </c>
      <c r="BH31" s="56" t="e">
        <f t="shared" si="82"/>
        <v>#DIV/0!</v>
      </c>
      <c r="BI31" s="56" t="e">
        <f t="shared" si="82"/>
        <v>#DIV/0!</v>
      </c>
      <c r="BJ31" s="90"/>
      <c r="BK31" s="56" t="e">
        <f t="shared" ref="BK31:BU31" si="83">(BK30-BK28)/BK30</f>
        <v>#DIV/0!</v>
      </c>
      <c r="BL31" s="56" t="e">
        <f t="shared" si="83"/>
        <v>#DIV/0!</v>
      </c>
      <c r="BM31" s="56" t="e">
        <f t="shared" si="83"/>
        <v>#DIV/0!</v>
      </c>
      <c r="BN31" s="90"/>
      <c r="BO31" s="56">
        <f t="shared" si="83"/>
        <v>0</v>
      </c>
      <c r="BP31" s="56" t="e">
        <f t="shared" si="83"/>
        <v>#DIV/0!</v>
      </c>
      <c r="BQ31" s="56">
        <f t="shared" si="83"/>
        <v>0</v>
      </c>
      <c r="BR31" s="90"/>
      <c r="BS31" s="56">
        <f t="shared" si="83"/>
        <v>0</v>
      </c>
      <c r="BT31" s="56" t="e">
        <f t="shared" si="83"/>
        <v>#DIV/0!</v>
      </c>
      <c r="BU31" s="56">
        <f t="shared" si="83"/>
        <v>0</v>
      </c>
      <c r="BV31" s="90"/>
      <c r="BW31" s="56">
        <f t="shared" ref="BW31:CC31" si="84">(BW30-BW28)/BW30</f>
        <v>1</v>
      </c>
      <c r="BX31" s="56" t="e">
        <f t="shared" si="84"/>
        <v>#DIV/0!</v>
      </c>
      <c r="BY31" s="56">
        <f t="shared" si="84"/>
        <v>0.2857142857142857</v>
      </c>
      <c r="BZ31" s="90"/>
      <c r="CA31" s="56">
        <f t="shared" si="84"/>
        <v>0</v>
      </c>
      <c r="CB31" s="56" t="e">
        <f t="shared" si="84"/>
        <v>#DIV/0!</v>
      </c>
      <c r="CC31" s="56">
        <f t="shared" si="84"/>
        <v>0</v>
      </c>
      <c r="CD31" s="90"/>
      <c r="CE31" s="56">
        <f t="shared" ref="CE31:CK31" si="85">(CE30-CE28)/CE30</f>
        <v>0</v>
      </c>
      <c r="CF31" s="56" t="e">
        <f t="shared" si="85"/>
        <v>#DIV/0!</v>
      </c>
      <c r="CG31" s="56">
        <f t="shared" si="85"/>
        <v>0</v>
      </c>
      <c r="CH31" s="90"/>
      <c r="CI31" s="56" t="e">
        <f t="shared" si="85"/>
        <v>#DIV/0!</v>
      </c>
      <c r="CJ31" s="56" t="e">
        <f t="shared" si="85"/>
        <v>#DIV/0!</v>
      </c>
      <c r="CK31" s="56">
        <f t="shared" si="85"/>
        <v>0.61538461538461542</v>
      </c>
      <c r="CL31" s="90"/>
      <c r="CM31" s="56" t="e">
        <f>(CM30-CM28)/CM30</f>
        <v>#DIV/0!</v>
      </c>
      <c r="CN31" s="56" t="e">
        <f>(CN30-CN28)/CN30</f>
        <v>#DIV/0!</v>
      </c>
      <c r="CO31" s="56" t="e">
        <f>(CO30-CO28)/CO30</f>
        <v>#DIV/0!</v>
      </c>
      <c r="CP31" s="90"/>
      <c r="CQ31" s="56" t="e">
        <f t="shared" ref="CQ31:CS31" si="86">(CQ30-CQ28)/CQ30</f>
        <v>#DIV/0!</v>
      </c>
      <c r="CR31" s="56" t="e">
        <f t="shared" si="86"/>
        <v>#DIV/0!</v>
      </c>
      <c r="CS31" s="56">
        <f t="shared" si="86"/>
        <v>0.61538461538461542</v>
      </c>
      <c r="CT31" s="90"/>
      <c r="CU31" s="56" t="e">
        <f t="shared" ref="CU31:CW31" si="87">(CU30-CU28)/CU30</f>
        <v>#DIV/0!</v>
      </c>
      <c r="CV31" s="56" t="e">
        <f t="shared" si="87"/>
        <v>#DIV/0!</v>
      </c>
      <c r="CW31" s="56" t="e">
        <f t="shared" si="87"/>
        <v>#DIV/0!</v>
      </c>
      <c r="CX31" s="90"/>
      <c r="CY31" s="56" t="e">
        <f t="shared" ref="CY31:DA31" si="88">(CY30-CY28)/CY30</f>
        <v>#DIV/0!</v>
      </c>
      <c r="CZ31" s="56" t="e">
        <f t="shared" si="88"/>
        <v>#DIV/0!</v>
      </c>
      <c r="DA31" s="56" t="e">
        <f t="shared" si="88"/>
        <v>#DIV/0!</v>
      </c>
      <c r="DB31" s="90"/>
      <c r="DC31" s="56" t="e">
        <f t="shared" ref="DC31:DE31" si="89">(DC30-DC28)/DC30</f>
        <v>#DIV/0!</v>
      </c>
      <c r="DD31" s="56" t="e">
        <f t="shared" si="89"/>
        <v>#DIV/0!</v>
      </c>
      <c r="DE31" s="56" t="e">
        <f t="shared" si="89"/>
        <v>#DIV/0!</v>
      </c>
      <c r="DF31" s="90"/>
      <c r="DG31" s="56" t="e">
        <f t="shared" ref="DG31:DI31" si="90">(DG30-DG28)/DG30</f>
        <v>#DIV/0!</v>
      </c>
      <c r="DH31" s="56" t="e">
        <f t="shared" si="90"/>
        <v>#DIV/0!</v>
      </c>
      <c r="DI31" s="56" t="e">
        <f t="shared" si="90"/>
        <v>#DIV/0!</v>
      </c>
      <c r="DJ31" s="90"/>
      <c r="DK31" s="56" t="e">
        <f t="shared" ref="DK31:DM31" si="91">(DK30-DK28)/DK30</f>
        <v>#DIV/0!</v>
      </c>
      <c r="DL31" s="56" t="e">
        <f t="shared" si="91"/>
        <v>#DIV/0!</v>
      </c>
      <c r="DM31" s="56" t="e">
        <f t="shared" si="91"/>
        <v>#DIV/0!</v>
      </c>
      <c r="DN31" s="90"/>
      <c r="DO31" s="57" t="e">
        <f t="shared" ref="DO31:DQ33" si="92">AVERAGE(CU31,CY31,DC31,DG31,DK31)</f>
        <v>#DIV/0!</v>
      </c>
      <c r="DP31" s="57" t="e">
        <f t="shared" si="92"/>
        <v>#DIV/0!</v>
      </c>
      <c r="DQ31" s="57" t="e">
        <f t="shared" si="92"/>
        <v>#DIV/0!</v>
      </c>
      <c r="DR31" s="43">
        <v>1</v>
      </c>
      <c r="DS31" s="43" t="e">
        <v>#DIV/0!</v>
      </c>
      <c r="DT31" s="43">
        <v>0.546875</v>
      </c>
    </row>
    <row r="32" spans="1:124" ht="13.5" customHeight="1" thickBot="1" x14ac:dyDescent="0.3">
      <c r="A32" s="204"/>
      <c r="B32" s="58" t="s">
        <v>109</v>
      </c>
      <c r="C32" s="56">
        <f t="shared" ref="C32:Q32" si="93">(C9-C28)/C9</f>
        <v>0.88741721854304634</v>
      </c>
      <c r="D32" s="56">
        <f t="shared" si="93"/>
        <v>1</v>
      </c>
      <c r="E32" s="86">
        <f t="shared" si="93"/>
        <v>0.94985250737463123</v>
      </c>
      <c r="F32" s="90"/>
      <c r="G32" s="88" t="e">
        <f t="shared" si="93"/>
        <v>#DIV/0!</v>
      </c>
      <c r="H32" s="56" t="e">
        <f t="shared" si="93"/>
        <v>#DIV/0!</v>
      </c>
      <c r="I32" s="56" t="e">
        <f t="shared" si="93"/>
        <v>#DIV/0!</v>
      </c>
      <c r="J32" s="90"/>
      <c r="K32" s="56">
        <f t="shared" si="93"/>
        <v>0.65454545454545454</v>
      </c>
      <c r="L32" s="56">
        <f t="shared" si="93"/>
        <v>1</v>
      </c>
      <c r="M32" s="56">
        <f t="shared" si="93"/>
        <v>0.97818181818181815</v>
      </c>
      <c r="N32" s="90"/>
      <c r="O32" s="56">
        <f t="shared" si="93"/>
        <v>0.75471698113207553</v>
      </c>
      <c r="P32" s="56">
        <f t="shared" si="93"/>
        <v>1</v>
      </c>
      <c r="Q32" s="56">
        <f t="shared" si="93"/>
        <v>0.95833333333333337</v>
      </c>
      <c r="R32" s="90"/>
      <c r="S32" s="56">
        <f t="shared" ref="S32:Y32" si="94">(S9-S28)/S9</f>
        <v>1</v>
      </c>
      <c r="T32" s="56">
        <f t="shared" si="94"/>
        <v>1</v>
      </c>
      <c r="U32" s="56">
        <f t="shared" si="94"/>
        <v>0.98611111111111116</v>
      </c>
      <c r="V32" s="90"/>
      <c r="W32" s="56" t="e">
        <f t="shared" si="94"/>
        <v>#DIV/0!</v>
      </c>
      <c r="X32" s="56" t="e">
        <f t="shared" si="94"/>
        <v>#DIV/0!</v>
      </c>
      <c r="Y32" s="56" t="e">
        <f t="shared" si="94"/>
        <v>#DIV/0!</v>
      </c>
      <c r="Z32" s="90"/>
      <c r="AA32" s="56" t="e">
        <f t="shared" ref="AA32:AG32" si="95">(AA9-AA28)/AA9</f>
        <v>#DIV/0!</v>
      </c>
      <c r="AB32" s="56" t="e">
        <f t="shared" si="95"/>
        <v>#DIV/0!</v>
      </c>
      <c r="AC32" s="56" t="e">
        <f t="shared" si="95"/>
        <v>#DIV/0!</v>
      </c>
      <c r="AD32" s="90"/>
      <c r="AE32" s="56" t="e">
        <f t="shared" si="95"/>
        <v>#DIV/0!</v>
      </c>
      <c r="AF32" s="56" t="e">
        <f t="shared" si="95"/>
        <v>#DIV/0!</v>
      </c>
      <c r="AG32" s="56" t="e">
        <f t="shared" si="95"/>
        <v>#DIV/0!</v>
      </c>
      <c r="AH32" s="90"/>
      <c r="AI32" s="56" t="e">
        <f t="shared" ref="AI32:AO32" si="96">(AI9-AI28)/AI9</f>
        <v>#DIV/0!</v>
      </c>
      <c r="AJ32" s="56" t="e">
        <f t="shared" si="96"/>
        <v>#DIV/0!</v>
      </c>
      <c r="AK32" s="56" t="e">
        <f t="shared" si="96"/>
        <v>#DIV/0!</v>
      </c>
      <c r="AL32" s="90"/>
      <c r="AM32" s="56">
        <f t="shared" si="96"/>
        <v>1</v>
      </c>
      <c r="AN32" s="56">
        <f t="shared" si="96"/>
        <v>1</v>
      </c>
      <c r="AO32" s="56">
        <f t="shared" si="96"/>
        <v>0.98734177215189878</v>
      </c>
      <c r="AP32" s="90"/>
      <c r="AQ32" s="56" t="e">
        <f t="shared" ref="AQ32:BA32" si="97">(AQ9-AQ28)/AQ9</f>
        <v>#DIV/0!</v>
      </c>
      <c r="AR32" s="56" t="e">
        <f t="shared" si="97"/>
        <v>#DIV/0!</v>
      </c>
      <c r="AS32" s="56" t="e">
        <f t="shared" si="97"/>
        <v>#DIV/0!</v>
      </c>
      <c r="AT32" s="90"/>
      <c r="AU32" s="56" t="e">
        <f t="shared" si="97"/>
        <v>#DIV/0!</v>
      </c>
      <c r="AV32" s="56" t="e">
        <f t="shared" si="97"/>
        <v>#DIV/0!</v>
      </c>
      <c r="AW32" s="56" t="e">
        <f t="shared" si="97"/>
        <v>#DIV/0!</v>
      </c>
      <c r="AX32" s="90"/>
      <c r="AY32" s="56">
        <f t="shared" si="97"/>
        <v>1</v>
      </c>
      <c r="AZ32" s="56">
        <f t="shared" si="97"/>
        <v>1</v>
      </c>
      <c r="BA32" s="56">
        <f t="shared" si="97"/>
        <v>0.94936708860759489</v>
      </c>
      <c r="BB32" s="90"/>
      <c r="BC32" s="56" t="e">
        <f t="shared" ref="BC32:BI32" si="98">(BC9-BC28)/BC9</f>
        <v>#DIV/0!</v>
      </c>
      <c r="BD32" s="56" t="e">
        <f t="shared" si="98"/>
        <v>#DIV/0!</v>
      </c>
      <c r="BE32" s="56" t="e">
        <f t="shared" si="98"/>
        <v>#DIV/0!</v>
      </c>
      <c r="BF32" s="90"/>
      <c r="BG32" s="56" t="e">
        <f t="shared" si="98"/>
        <v>#DIV/0!</v>
      </c>
      <c r="BH32" s="56" t="e">
        <f t="shared" si="98"/>
        <v>#DIV/0!</v>
      </c>
      <c r="BI32" s="56" t="e">
        <f t="shared" si="98"/>
        <v>#DIV/0!</v>
      </c>
      <c r="BJ32" s="90"/>
      <c r="BK32" s="56" t="e">
        <f t="shared" ref="BK32:BU32" si="99">(BK9-BK28)/BK9</f>
        <v>#DIV/0!</v>
      </c>
      <c r="BL32" s="56" t="e">
        <f t="shared" si="99"/>
        <v>#DIV/0!</v>
      </c>
      <c r="BM32" s="56" t="e">
        <f t="shared" si="99"/>
        <v>#DIV/0!</v>
      </c>
      <c r="BN32" s="90"/>
      <c r="BO32" s="56">
        <f t="shared" si="99"/>
        <v>0.7168141592920354</v>
      </c>
      <c r="BP32" s="56">
        <f t="shared" si="99"/>
        <v>1</v>
      </c>
      <c r="BQ32" s="56">
        <f t="shared" si="99"/>
        <v>0.98275862068965514</v>
      </c>
      <c r="BR32" s="90"/>
      <c r="BS32" s="56">
        <f t="shared" si="99"/>
        <v>0.7168141592920354</v>
      </c>
      <c r="BT32" s="56">
        <f t="shared" si="99"/>
        <v>1</v>
      </c>
      <c r="BU32" s="56">
        <f t="shared" si="99"/>
        <v>0.98280802292263614</v>
      </c>
      <c r="BV32" s="90"/>
      <c r="BW32" s="56">
        <f t="shared" ref="BW32:CC32" si="100">(BW9-BW28)/BW9</f>
        <v>1</v>
      </c>
      <c r="BX32" s="56">
        <f t="shared" si="100"/>
        <v>1</v>
      </c>
      <c r="BY32" s="56">
        <f t="shared" si="100"/>
        <v>0.97975708502024295</v>
      </c>
      <c r="BZ32" s="90"/>
      <c r="CA32" s="56">
        <f t="shared" si="100"/>
        <v>0.7168141592920354</v>
      </c>
      <c r="CB32" s="56">
        <f t="shared" si="100"/>
        <v>1</v>
      </c>
      <c r="CC32" s="56">
        <f t="shared" si="100"/>
        <v>0.98300283286118983</v>
      </c>
      <c r="CD32" s="90"/>
      <c r="CE32" s="56">
        <f t="shared" ref="CE32:CK32" si="101">(CE9-CE28)/CE9</f>
        <v>0.7168141592920354</v>
      </c>
      <c r="CF32" s="56">
        <f t="shared" si="101"/>
        <v>1</v>
      </c>
      <c r="CG32" s="56">
        <f t="shared" si="101"/>
        <v>0.98280802292263614</v>
      </c>
      <c r="CH32" s="90"/>
      <c r="CI32" s="56">
        <f t="shared" si="101"/>
        <v>1</v>
      </c>
      <c r="CJ32" s="56">
        <f t="shared" si="101"/>
        <v>1</v>
      </c>
      <c r="CK32" s="56">
        <f t="shared" si="101"/>
        <v>0.93670886075949367</v>
      </c>
      <c r="CL32" s="90"/>
      <c r="CM32" s="56" t="e">
        <f>(CM9-CM28)/CM9</f>
        <v>#DIV/0!</v>
      </c>
      <c r="CN32" s="56" t="e">
        <f>(CN9-CN28)/CN9</f>
        <v>#DIV/0!</v>
      </c>
      <c r="CO32" s="56" t="e">
        <f>(CO9-CO28)/CO9</f>
        <v>#DIV/0!</v>
      </c>
      <c r="CP32" s="90"/>
      <c r="CQ32" s="56">
        <f t="shared" ref="CQ32:CS32" si="102">(CQ9-CQ28)/CQ9</f>
        <v>1</v>
      </c>
      <c r="CR32" s="56">
        <f t="shared" si="102"/>
        <v>1</v>
      </c>
      <c r="CS32" s="56">
        <f t="shared" si="102"/>
        <v>0.93670886075949367</v>
      </c>
      <c r="CT32" s="90"/>
      <c r="CU32" s="56" t="e">
        <f t="shared" ref="CU32:CW32" si="103">(CU9-CU28)/CU9</f>
        <v>#DIV/0!</v>
      </c>
      <c r="CV32" s="56" t="e">
        <f t="shared" si="103"/>
        <v>#DIV/0!</v>
      </c>
      <c r="CW32" s="56" t="e">
        <f t="shared" si="103"/>
        <v>#DIV/0!</v>
      </c>
      <c r="CX32" s="90"/>
      <c r="CY32" s="56" t="e">
        <f t="shared" ref="CY32:DA32" si="104">(CY9-CY28)/CY9</f>
        <v>#DIV/0!</v>
      </c>
      <c r="CZ32" s="56" t="e">
        <f t="shared" si="104"/>
        <v>#DIV/0!</v>
      </c>
      <c r="DA32" s="56" t="e">
        <f t="shared" si="104"/>
        <v>#DIV/0!</v>
      </c>
      <c r="DB32" s="90"/>
      <c r="DC32" s="56" t="e">
        <f t="shared" ref="DC32:DE32" si="105">(DC9-DC28)/DC9</f>
        <v>#DIV/0!</v>
      </c>
      <c r="DD32" s="56" t="e">
        <f t="shared" si="105"/>
        <v>#DIV/0!</v>
      </c>
      <c r="DE32" s="56" t="e">
        <f t="shared" si="105"/>
        <v>#DIV/0!</v>
      </c>
      <c r="DF32" s="90"/>
      <c r="DG32" s="56" t="e">
        <f t="shared" ref="DG32:DI32" si="106">(DG9-DG28)/DG9</f>
        <v>#DIV/0!</v>
      </c>
      <c r="DH32" s="56" t="e">
        <f t="shared" si="106"/>
        <v>#DIV/0!</v>
      </c>
      <c r="DI32" s="56" t="e">
        <f t="shared" si="106"/>
        <v>#DIV/0!</v>
      </c>
      <c r="DJ32" s="90"/>
      <c r="DK32" s="56" t="e">
        <f t="shared" ref="DK32:DM32" si="107">(DK9-DK28)/DK9</f>
        <v>#DIV/0!</v>
      </c>
      <c r="DL32" s="56" t="e">
        <f t="shared" si="107"/>
        <v>#DIV/0!</v>
      </c>
      <c r="DM32" s="56" t="e">
        <f t="shared" si="107"/>
        <v>#DIV/0!</v>
      </c>
      <c r="DN32" s="90"/>
      <c r="DO32" s="57" t="e">
        <f t="shared" si="92"/>
        <v>#DIV/0!</v>
      </c>
      <c r="DP32" s="57" t="e">
        <f t="shared" si="92"/>
        <v>#DIV/0!</v>
      </c>
      <c r="DQ32" s="57" t="e">
        <f t="shared" si="92"/>
        <v>#DIV/0!</v>
      </c>
      <c r="DR32" s="43">
        <v>1</v>
      </c>
      <c r="DS32" s="43">
        <v>1</v>
      </c>
      <c r="DT32" s="43">
        <v>0.97534013605442182</v>
      </c>
    </row>
    <row r="33" spans="1:124" ht="13.5" customHeight="1" thickBot="1" x14ac:dyDescent="0.3">
      <c r="A33" s="59">
        <v>11</v>
      </c>
      <c r="B33" s="60" t="s">
        <v>110</v>
      </c>
      <c r="C33" s="42">
        <f>C11/C9</f>
        <v>2.9801324503311258E-2</v>
      </c>
      <c r="D33" s="42">
        <f>D11/D9</f>
        <v>0</v>
      </c>
      <c r="E33" s="79">
        <f>E18/E9</f>
        <v>4.8672566371681415E-2</v>
      </c>
      <c r="F33" s="90"/>
      <c r="G33" s="80" t="e">
        <f>G11/G9</f>
        <v>#DIV/0!</v>
      </c>
      <c r="H33" s="42" t="e">
        <f>H11/H9</f>
        <v>#DIV/0!</v>
      </c>
      <c r="I33" s="42" t="e">
        <f>I18/I9</f>
        <v>#DIV/0!</v>
      </c>
      <c r="J33" s="90"/>
      <c r="K33" s="42">
        <f>K11/K9</f>
        <v>4.7272727272727272E-2</v>
      </c>
      <c r="L33" s="42">
        <f>L11/L9</f>
        <v>0.125</v>
      </c>
      <c r="M33" s="42">
        <f>M18/M9</f>
        <v>0.13818181818181818</v>
      </c>
      <c r="N33" s="90"/>
      <c r="O33" s="42">
        <f>O11/O9</f>
        <v>4.716981132075472E-2</v>
      </c>
      <c r="P33" s="42">
        <f>P11/P9</f>
        <v>0</v>
      </c>
      <c r="Q33" s="42">
        <f>Q18/Q9</f>
        <v>9.375E-2</v>
      </c>
      <c r="R33" s="90"/>
      <c r="S33" s="42">
        <f>S11/S9</f>
        <v>0</v>
      </c>
      <c r="T33" s="42">
        <f>T11/T9</f>
        <v>0</v>
      </c>
      <c r="U33" s="42">
        <f>U18/U9</f>
        <v>4.1666666666666664E-2</v>
      </c>
      <c r="V33" s="90"/>
      <c r="W33" s="42" t="e">
        <f>W11/W9</f>
        <v>#DIV/0!</v>
      </c>
      <c r="X33" s="42" t="e">
        <f>X11/X9</f>
        <v>#DIV/0!</v>
      </c>
      <c r="Y33" s="42" t="e">
        <f>Y18/Y9</f>
        <v>#DIV/0!</v>
      </c>
      <c r="Z33" s="90"/>
      <c r="AA33" s="42" t="e">
        <f>AA11/AA9</f>
        <v>#DIV/0!</v>
      </c>
      <c r="AB33" s="42" t="e">
        <f>AB11/AB9</f>
        <v>#DIV/0!</v>
      </c>
      <c r="AC33" s="42" t="e">
        <f>AC18/AC9</f>
        <v>#DIV/0!</v>
      </c>
      <c r="AD33" s="90"/>
      <c r="AE33" s="42" t="e">
        <f>AE11/AE9</f>
        <v>#DIV/0!</v>
      </c>
      <c r="AF33" s="42" t="e">
        <f>AF11/AF9</f>
        <v>#DIV/0!</v>
      </c>
      <c r="AG33" s="42" t="e">
        <f>AG18/AG9</f>
        <v>#DIV/0!</v>
      </c>
      <c r="AH33" s="90"/>
      <c r="AI33" s="42" t="e">
        <f>AI11/AI9</f>
        <v>#DIV/0!</v>
      </c>
      <c r="AJ33" s="42" t="e">
        <f>AJ11/AJ9</f>
        <v>#DIV/0!</v>
      </c>
      <c r="AK33" s="42" t="e">
        <f>AK18/AK9</f>
        <v>#DIV/0!</v>
      </c>
      <c r="AL33" s="90"/>
      <c r="AM33" s="42">
        <f>AM11/AM9</f>
        <v>7.7669902912621352E-2</v>
      </c>
      <c r="AN33" s="42">
        <f>AN11/AN9</f>
        <v>7.1428571428571425E-2</v>
      </c>
      <c r="AO33" s="42">
        <f>AO18/AO9</f>
        <v>6.3291139240506333E-2</v>
      </c>
      <c r="AP33" s="90"/>
      <c r="AQ33" s="42" t="e">
        <f>AQ11/AQ9</f>
        <v>#DIV/0!</v>
      </c>
      <c r="AR33" s="42" t="e">
        <f>AR11/AR9</f>
        <v>#DIV/0!</v>
      </c>
      <c r="AS33" s="42" t="e">
        <f>AS18/AS9</f>
        <v>#DIV/0!</v>
      </c>
      <c r="AT33" s="90"/>
      <c r="AU33" s="42" t="e">
        <f>AU11/AU9</f>
        <v>#DIV/0!</v>
      </c>
      <c r="AV33" s="42" t="e">
        <f>AV11/AV9</f>
        <v>#DIV/0!</v>
      </c>
      <c r="AW33" s="42" t="e">
        <f>AW18/AW9</f>
        <v>#DIV/0!</v>
      </c>
      <c r="AX33" s="90"/>
      <c r="AY33" s="42">
        <f>AY11/AY9</f>
        <v>5.5555555555555552E-2</v>
      </c>
      <c r="AZ33" s="42">
        <f>AZ11/AZ9</f>
        <v>0</v>
      </c>
      <c r="BA33" s="42">
        <f>BA18/BA9</f>
        <v>0.10759493670886076</v>
      </c>
      <c r="BB33" s="90"/>
      <c r="BC33" s="42" t="e">
        <f>BC11/BC9</f>
        <v>#DIV/0!</v>
      </c>
      <c r="BD33" s="42" t="e">
        <f>BD11/BD9</f>
        <v>#DIV/0!</v>
      </c>
      <c r="BE33" s="42" t="e">
        <f>BE18/BE9</f>
        <v>#DIV/0!</v>
      </c>
      <c r="BF33" s="90"/>
      <c r="BG33" s="42" t="e">
        <f>BG11/BG9</f>
        <v>#DIV/0!</v>
      </c>
      <c r="BH33" s="42" t="e">
        <f>BH11/BH9</f>
        <v>#DIV/0!</v>
      </c>
      <c r="BI33" s="42" t="e">
        <f>BI18/BI9</f>
        <v>#DIV/0!</v>
      </c>
      <c r="BJ33" s="90"/>
      <c r="BK33" s="42" t="e">
        <f>BK11/BK9</f>
        <v>#DIV/0!</v>
      </c>
      <c r="BL33" s="42" t="e">
        <f>BL11/BL9</f>
        <v>#DIV/0!</v>
      </c>
      <c r="BM33" s="42" t="e">
        <f>BM18/BM9</f>
        <v>#DIV/0!</v>
      </c>
      <c r="BN33" s="90"/>
      <c r="BO33" s="42">
        <f>BO11/BO9</f>
        <v>7.9646017699115043E-2</v>
      </c>
      <c r="BP33" s="42">
        <f>BP11/BP9</f>
        <v>0.2</v>
      </c>
      <c r="BQ33" s="42">
        <f>BQ18/BQ9</f>
        <v>4.8850574712643681E-2</v>
      </c>
      <c r="BR33" s="90"/>
      <c r="BS33" s="42">
        <f>BS11/BS9</f>
        <v>7.9646017699115043E-2</v>
      </c>
      <c r="BT33" s="42">
        <f>BT11/BT9</f>
        <v>0.18367346938775511</v>
      </c>
      <c r="BU33" s="42">
        <f>BU18/BU9</f>
        <v>4.8710601719197708E-2</v>
      </c>
      <c r="BV33" s="90"/>
      <c r="BW33" s="42">
        <f>BW11/BW9</f>
        <v>4.4247787610619468E-2</v>
      </c>
      <c r="BX33" s="42">
        <f>BX11/BX9</f>
        <v>0</v>
      </c>
      <c r="BY33" s="42">
        <f>BY18/BY9</f>
        <v>4.048582995951417E-2</v>
      </c>
      <c r="BZ33" s="90"/>
      <c r="CA33" s="42">
        <f>CA11/CA9</f>
        <v>7.9646017699115043E-2</v>
      </c>
      <c r="CB33" s="42">
        <f>CB11/CB9</f>
        <v>0.18367346938775511</v>
      </c>
      <c r="CC33" s="42">
        <f>CC18/CC9</f>
        <v>4.8158640226628892E-2</v>
      </c>
      <c r="CD33" s="90"/>
      <c r="CE33" s="42">
        <f>CE11/CE9</f>
        <v>7.9646017699115043E-2</v>
      </c>
      <c r="CF33" s="42">
        <f>CF11/CF9</f>
        <v>0.18367346938775511</v>
      </c>
      <c r="CG33" s="42">
        <f>CG18/CG9</f>
        <v>4.8710601719197708E-2</v>
      </c>
      <c r="CH33" s="90"/>
      <c r="CI33" s="42">
        <f>CI11/CI9</f>
        <v>5.5555555555555552E-2</v>
      </c>
      <c r="CJ33" s="42">
        <f>CJ11/CJ9</f>
        <v>0</v>
      </c>
      <c r="CK33" s="42">
        <f>CK18/CK9</f>
        <v>0.10759493670886076</v>
      </c>
      <c r="CL33" s="90"/>
      <c r="CM33" s="42" t="e">
        <f>CM11/CM9</f>
        <v>#DIV/0!</v>
      </c>
      <c r="CN33" s="42" t="e">
        <f>CN11/CN9</f>
        <v>#DIV/0!</v>
      </c>
      <c r="CO33" s="42" t="e">
        <f>CO18/CO9</f>
        <v>#DIV/0!</v>
      </c>
      <c r="CP33" s="90"/>
      <c r="CQ33" s="42">
        <f>CQ11/CQ9</f>
        <v>5.5555555555555552E-2</v>
      </c>
      <c r="CR33" s="42">
        <f>CR11/CR9</f>
        <v>0</v>
      </c>
      <c r="CS33" s="42">
        <f>CS18/CS9</f>
        <v>0.10759493670886076</v>
      </c>
      <c r="CT33" s="90"/>
      <c r="CU33" s="42" t="e">
        <f>CU11/CU9</f>
        <v>#DIV/0!</v>
      </c>
      <c r="CV33" s="42" t="e">
        <f>CV11/CV9</f>
        <v>#DIV/0!</v>
      </c>
      <c r="CW33" s="42" t="e">
        <f>CW18/CW9</f>
        <v>#DIV/0!</v>
      </c>
      <c r="CX33" s="90"/>
      <c r="CY33" s="42" t="e">
        <f>CY11/CY9</f>
        <v>#DIV/0!</v>
      </c>
      <c r="CZ33" s="42" t="e">
        <f>CZ11/CZ9</f>
        <v>#DIV/0!</v>
      </c>
      <c r="DA33" s="42" t="e">
        <f>DA18/DA9</f>
        <v>#DIV/0!</v>
      </c>
      <c r="DB33" s="90"/>
      <c r="DC33" s="42" t="e">
        <f>DC11/DC9</f>
        <v>#DIV/0!</v>
      </c>
      <c r="DD33" s="42" t="e">
        <f>DD11/DD9</f>
        <v>#DIV/0!</v>
      </c>
      <c r="DE33" s="42" t="e">
        <f>DE18/DE9</f>
        <v>#DIV/0!</v>
      </c>
      <c r="DF33" s="90"/>
      <c r="DG33" s="42" t="e">
        <f>DG11/DG9</f>
        <v>#DIV/0!</v>
      </c>
      <c r="DH33" s="42" t="e">
        <f>DH11/DH9</f>
        <v>#DIV/0!</v>
      </c>
      <c r="DI33" s="42" t="e">
        <f>DI18/DI9</f>
        <v>#DIV/0!</v>
      </c>
      <c r="DJ33" s="90"/>
      <c r="DK33" s="42" t="e">
        <f>DK11/DK9</f>
        <v>#DIV/0!</v>
      </c>
      <c r="DL33" s="42" t="e">
        <f>DL11/DL9</f>
        <v>#DIV/0!</v>
      </c>
      <c r="DM33" s="42" t="e">
        <f>DM18/DM9</f>
        <v>#DIV/0!</v>
      </c>
      <c r="DN33" s="90"/>
      <c r="DO33" s="57" t="e">
        <f t="shared" si="92"/>
        <v>#DIV/0!</v>
      </c>
      <c r="DP33" s="57" t="e">
        <f t="shared" si="92"/>
        <v>#DIV/0!</v>
      </c>
      <c r="DQ33" s="57" t="e">
        <f t="shared" si="92"/>
        <v>#DIV/0!</v>
      </c>
      <c r="DR33" s="43">
        <v>4.8328123177451832E-2</v>
      </c>
      <c r="DS33" s="43">
        <v>8.4219858156028365E-2</v>
      </c>
      <c r="DT33" s="43">
        <v>9.0241396319591452E-2</v>
      </c>
    </row>
    <row r="34" spans="1:124" ht="13.5" customHeight="1" thickBot="1" x14ac:dyDescent="0.3">
      <c r="A34" s="38">
        <v>12</v>
      </c>
      <c r="B34" s="41" t="s">
        <v>111</v>
      </c>
      <c r="C34" s="45">
        <v>0</v>
      </c>
      <c r="D34" s="45">
        <v>0</v>
      </c>
      <c r="E34" s="85">
        <v>0</v>
      </c>
      <c r="F34" s="90"/>
      <c r="G34" s="46">
        <v>0</v>
      </c>
      <c r="H34" s="45">
        <v>0</v>
      </c>
      <c r="I34" s="45">
        <v>0</v>
      </c>
      <c r="J34" s="90"/>
      <c r="K34" s="45">
        <v>0</v>
      </c>
      <c r="L34" s="45">
        <v>0</v>
      </c>
      <c r="M34" s="45">
        <v>0</v>
      </c>
      <c r="N34" s="90"/>
      <c r="O34" s="45">
        <v>0</v>
      </c>
      <c r="P34" s="45">
        <v>0</v>
      </c>
      <c r="Q34" s="45">
        <v>0</v>
      </c>
      <c r="R34" s="90"/>
      <c r="S34" s="45">
        <v>0</v>
      </c>
      <c r="T34" s="45">
        <v>0</v>
      </c>
      <c r="U34" s="45">
        <v>0</v>
      </c>
      <c r="V34" s="90"/>
      <c r="W34" s="45">
        <v>0</v>
      </c>
      <c r="X34" s="45">
        <v>0</v>
      </c>
      <c r="Y34" s="45">
        <v>0</v>
      </c>
      <c r="Z34" s="90"/>
      <c r="AA34" s="45">
        <v>0</v>
      </c>
      <c r="AB34" s="45">
        <v>0</v>
      </c>
      <c r="AC34" s="45">
        <v>0</v>
      </c>
      <c r="AD34" s="90"/>
      <c r="AE34" s="45">
        <v>0</v>
      </c>
      <c r="AF34" s="45">
        <v>0</v>
      </c>
      <c r="AG34" s="45">
        <v>0</v>
      </c>
      <c r="AH34" s="90"/>
      <c r="AI34" s="45">
        <v>0</v>
      </c>
      <c r="AJ34" s="45">
        <v>0</v>
      </c>
      <c r="AK34" s="45">
        <v>0</v>
      </c>
      <c r="AL34" s="90"/>
      <c r="AM34" s="45">
        <v>0</v>
      </c>
      <c r="AN34" s="45">
        <v>0</v>
      </c>
      <c r="AO34" s="45">
        <v>0</v>
      </c>
      <c r="AP34" s="90"/>
      <c r="AQ34" s="45">
        <v>0</v>
      </c>
      <c r="AR34" s="45">
        <v>0</v>
      </c>
      <c r="AS34" s="45">
        <v>0</v>
      </c>
      <c r="AT34" s="90"/>
      <c r="AU34" s="45">
        <v>0</v>
      </c>
      <c r="AV34" s="45">
        <v>0</v>
      </c>
      <c r="AW34" s="45">
        <v>0</v>
      </c>
      <c r="AX34" s="90"/>
      <c r="AY34" s="45">
        <v>0</v>
      </c>
      <c r="AZ34" s="45">
        <v>0</v>
      </c>
      <c r="BA34" s="45">
        <v>0</v>
      </c>
      <c r="BB34" s="90"/>
      <c r="BC34" s="45">
        <v>0</v>
      </c>
      <c r="BD34" s="45">
        <v>0</v>
      </c>
      <c r="BE34" s="45">
        <v>0</v>
      </c>
      <c r="BF34" s="90"/>
      <c r="BG34" s="45">
        <v>0</v>
      </c>
      <c r="BH34" s="45">
        <v>0</v>
      </c>
      <c r="BI34" s="45">
        <v>0</v>
      </c>
      <c r="BJ34" s="90"/>
      <c r="BK34" s="45">
        <v>0</v>
      </c>
      <c r="BL34" s="45">
        <v>0</v>
      </c>
      <c r="BM34" s="45">
        <v>0</v>
      </c>
      <c r="BN34" s="90"/>
      <c r="BO34" s="45">
        <v>0</v>
      </c>
      <c r="BP34" s="45">
        <v>0</v>
      </c>
      <c r="BQ34" s="45">
        <v>0</v>
      </c>
      <c r="BR34" s="90"/>
      <c r="BS34" s="45">
        <v>0</v>
      </c>
      <c r="BT34" s="45">
        <v>0</v>
      </c>
      <c r="BU34" s="45">
        <v>0</v>
      </c>
      <c r="BV34" s="90"/>
      <c r="BW34" s="45">
        <v>0</v>
      </c>
      <c r="BX34" s="45">
        <v>0</v>
      </c>
      <c r="BY34" s="45">
        <v>0</v>
      </c>
      <c r="BZ34" s="90"/>
      <c r="CA34" s="45">
        <v>0</v>
      </c>
      <c r="CB34" s="45">
        <v>0</v>
      </c>
      <c r="CC34" s="45">
        <v>0</v>
      </c>
      <c r="CD34" s="90"/>
      <c r="CE34" s="45">
        <v>0</v>
      </c>
      <c r="CF34" s="45">
        <v>0</v>
      </c>
      <c r="CG34" s="45">
        <v>0</v>
      </c>
      <c r="CH34" s="90"/>
      <c r="CI34" s="45">
        <v>0</v>
      </c>
      <c r="CJ34" s="45">
        <v>0</v>
      </c>
      <c r="CK34" s="45">
        <v>0</v>
      </c>
      <c r="CL34" s="90"/>
      <c r="CM34" s="45">
        <v>0</v>
      </c>
      <c r="CN34" s="45">
        <v>0</v>
      </c>
      <c r="CO34" s="45">
        <v>0</v>
      </c>
      <c r="CP34" s="90"/>
      <c r="CQ34" s="45">
        <v>0</v>
      </c>
      <c r="CR34" s="45">
        <v>0</v>
      </c>
      <c r="CS34" s="45">
        <v>0</v>
      </c>
      <c r="CT34" s="90"/>
      <c r="CU34" s="45">
        <v>0</v>
      </c>
      <c r="CV34" s="45">
        <v>0</v>
      </c>
      <c r="CW34" s="45">
        <v>0</v>
      </c>
      <c r="CX34" s="90"/>
      <c r="CY34" s="45">
        <v>0</v>
      </c>
      <c r="CZ34" s="45">
        <v>0</v>
      </c>
      <c r="DA34" s="45">
        <v>0</v>
      </c>
      <c r="DB34" s="90"/>
      <c r="DC34" s="45">
        <v>0</v>
      </c>
      <c r="DD34" s="45">
        <v>0</v>
      </c>
      <c r="DE34" s="45">
        <v>0</v>
      </c>
      <c r="DF34" s="90"/>
      <c r="DG34" s="45">
        <v>0</v>
      </c>
      <c r="DH34" s="45">
        <v>0</v>
      </c>
      <c r="DI34" s="45">
        <v>0</v>
      </c>
      <c r="DJ34" s="90"/>
      <c r="DK34" s="45">
        <v>0</v>
      </c>
      <c r="DL34" s="45">
        <v>0</v>
      </c>
      <c r="DM34" s="45">
        <v>0</v>
      </c>
      <c r="DN34" s="90"/>
      <c r="DO34" s="47">
        <v>0</v>
      </c>
      <c r="DP34" s="47">
        <v>0</v>
      </c>
      <c r="DQ34" s="47">
        <v>0</v>
      </c>
      <c r="DR34" s="47">
        <v>0</v>
      </c>
      <c r="DS34" s="47">
        <v>0</v>
      </c>
      <c r="DT34" s="47">
        <v>0</v>
      </c>
    </row>
    <row r="35" spans="1:124" ht="13.5" customHeight="1" thickBot="1" x14ac:dyDescent="0.3">
      <c r="A35" s="61">
        <v>13</v>
      </c>
      <c r="B35" s="62" t="s">
        <v>112</v>
      </c>
      <c r="C35" s="45">
        <v>19</v>
      </c>
      <c r="D35" s="45">
        <v>10</v>
      </c>
      <c r="E35" s="85">
        <v>0</v>
      </c>
      <c r="F35" s="91"/>
      <c r="G35" s="46">
        <v>34</v>
      </c>
      <c r="H35" s="45">
        <v>8</v>
      </c>
      <c r="I35" s="45">
        <v>0</v>
      </c>
      <c r="J35" s="91"/>
      <c r="K35" s="45">
        <v>57</v>
      </c>
      <c r="L35" s="45">
        <v>0</v>
      </c>
      <c r="M35" s="45">
        <v>0</v>
      </c>
      <c r="N35" s="91"/>
      <c r="O35" s="45">
        <v>47</v>
      </c>
      <c r="P35" s="45">
        <v>0</v>
      </c>
      <c r="Q35" s="45">
        <v>0</v>
      </c>
      <c r="R35" s="91"/>
      <c r="S35" s="45">
        <v>47</v>
      </c>
      <c r="T35" s="45">
        <v>0</v>
      </c>
      <c r="U35" s="45">
        <v>0</v>
      </c>
      <c r="V35" s="91"/>
      <c r="W35" s="45">
        <v>47</v>
      </c>
      <c r="X35" s="45">
        <v>0</v>
      </c>
      <c r="Y35" s="45">
        <v>0</v>
      </c>
      <c r="Z35" s="91"/>
      <c r="AA35" s="45">
        <v>47</v>
      </c>
      <c r="AB35" s="45">
        <v>0</v>
      </c>
      <c r="AC35" s="45">
        <v>0</v>
      </c>
      <c r="AD35" s="91"/>
      <c r="AE35" s="45">
        <v>47</v>
      </c>
      <c r="AF35" s="45">
        <v>0</v>
      </c>
      <c r="AG35" s="45">
        <v>0</v>
      </c>
      <c r="AH35" s="91"/>
      <c r="AI35" s="45">
        <v>47</v>
      </c>
      <c r="AJ35" s="45">
        <v>0</v>
      </c>
      <c r="AK35" s="45">
        <v>0</v>
      </c>
      <c r="AL35" s="91"/>
      <c r="AM35" s="45">
        <v>47</v>
      </c>
      <c r="AN35" s="45">
        <v>0</v>
      </c>
      <c r="AO35" s="45">
        <v>0</v>
      </c>
      <c r="AP35" s="91"/>
      <c r="AQ35" s="45">
        <v>47</v>
      </c>
      <c r="AR35" s="45">
        <v>0</v>
      </c>
      <c r="AS35" s="45">
        <v>0</v>
      </c>
      <c r="AT35" s="91"/>
      <c r="AU35" s="45">
        <v>47</v>
      </c>
      <c r="AV35" s="45">
        <v>0</v>
      </c>
      <c r="AW35" s="45">
        <v>0</v>
      </c>
      <c r="AX35" s="91"/>
      <c r="AY35" s="45">
        <v>47</v>
      </c>
      <c r="AZ35" s="45">
        <v>0</v>
      </c>
      <c r="BA35" s="45">
        <v>0</v>
      </c>
      <c r="BB35" s="91"/>
      <c r="BC35" s="45">
        <v>47</v>
      </c>
      <c r="BD35" s="45">
        <v>0</v>
      </c>
      <c r="BE35" s="45">
        <v>0</v>
      </c>
      <c r="BF35" s="91"/>
      <c r="BG35" s="45">
        <v>47</v>
      </c>
      <c r="BH35" s="45">
        <v>0</v>
      </c>
      <c r="BI35" s="45">
        <v>0</v>
      </c>
      <c r="BJ35" s="91"/>
      <c r="BK35" s="45">
        <v>47</v>
      </c>
      <c r="BL35" s="45">
        <v>0</v>
      </c>
      <c r="BM35" s="45">
        <v>0</v>
      </c>
      <c r="BN35" s="91"/>
      <c r="BO35" s="45">
        <v>47</v>
      </c>
      <c r="BP35" s="45">
        <v>0</v>
      </c>
      <c r="BQ35" s="45">
        <v>0</v>
      </c>
      <c r="BR35" s="91"/>
      <c r="BS35" s="45">
        <v>47</v>
      </c>
      <c r="BT35" s="45">
        <v>0</v>
      </c>
      <c r="BU35" s="45">
        <v>0</v>
      </c>
      <c r="BV35" s="91"/>
      <c r="BW35" s="45">
        <v>47</v>
      </c>
      <c r="BX35" s="45">
        <v>0</v>
      </c>
      <c r="BY35" s="45">
        <v>0</v>
      </c>
      <c r="BZ35" s="91"/>
      <c r="CA35" s="45">
        <v>47</v>
      </c>
      <c r="CB35" s="45">
        <v>0</v>
      </c>
      <c r="CC35" s="45">
        <v>0</v>
      </c>
      <c r="CD35" s="91"/>
      <c r="CE35" s="45">
        <v>47</v>
      </c>
      <c r="CF35" s="45">
        <v>0</v>
      </c>
      <c r="CG35" s="45">
        <v>0</v>
      </c>
      <c r="CH35" s="91"/>
      <c r="CI35" s="45">
        <v>47</v>
      </c>
      <c r="CJ35" s="45">
        <v>0</v>
      </c>
      <c r="CK35" s="45">
        <v>0</v>
      </c>
      <c r="CL35" s="91"/>
      <c r="CM35" s="45">
        <v>47</v>
      </c>
      <c r="CN35" s="45">
        <v>0</v>
      </c>
      <c r="CO35" s="45">
        <v>0</v>
      </c>
      <c r="CP35" s="91"/>
      <c r="CQ35" s="45">
        <v>47</v>
      </c>
      <c r="CR35" s="45">
        <v>0</v>
      </c>
      <c r="CS35" s="45">
        <v>0</v>
      </c>
      <c r="CT35" s="91"/>
      <c r="CU35" s="45">
        <v>47</v>
      </c>
      <c r="CV35" s="45">
        <v>0</v>
      </c>
      <c r="CW35" s="45">
        <v>0</v>
      </c>
      <c r="CX35" s="91"/>
      <c r="CY35" s="45">
        <v>47</v>
      </c>
      <c r="CZ35" s="45">
        <v>0</v>
      </c>
      <c r="DA35" s="45">
        <v>0</v>
      </c>
      <c r="DB35" s="91"/>
      <c r="DC35" s="45">
        <v>47</v>
      </c>
      <c r="DD35" s="45">
        <v>0</v>
      </c>
      <c r="DE35" s="45">
        <v>0</v>
      </c>
      <c r="DF35" s="91"/>
      <c r="DG35" s="45">
        <v>47</v>
      </c>
      <c r="DH35" s="45">
        <v>0</v>
      </c>
      <c r="DI35" s="45">
        <v>0</v>
      </c>
      <c r="DJ35" s="91"/>
      <c r="DK35" s="45">
        <v>47</v>
      </c>
      <c r="DL35" s="45">
        <v>0</v>
      </c>
      <c r="DM35" s="45">
        <v>0</v>
      </c>
      <c r="DN35" s="91"/>
      <c r="DO35" s="45">
        <f>C35+G35+K35+O35+AQ35</f>
        <v>204</v>
      </c>
      <c r="DP35" s="45">
        <f>D35+H35+L35+P35+T35</f>
        <v>18</v>
      </c>
      <c r="DQ35" s="45">
        <f>E35+I35+M35+Q35+U35</f>
        <v>0</v>
      </c>
      <c r="DR35" s="47">
        <v>407</v>
      </c>
      <c r="DS35" s="47">
        <v>27</v>
      </c>
      <c r="DT35" s="47">
        <v>0</v>
      </c>
    </row>
    <row r="36" spans="1:124" ht="13.5" customHeight="1" thickBot="1" x14ac:dyDescent="0.3">
      <c r="A36" s="63"/>
      <c r="B36" s="63"/>
      <c r="C36" s="64"/>
      <c r="D36" s="64"/>
      <c r="E36" s="64"/>
      <c r="F36" s="64"/>
      <c r="G36" s="64"/>
      <c r="H36" s="64"/>
      <c r="I36" s="64"/>
      <c r="J36" s="64"/>
      <c r="K36" s="63"/>
      <c r="L36" s="63"/>
      <c r="M36" s="63"/>
      <c r="N36" s="63"/>
      <c r="O36" s="64"/>
      <c r="P36" s="64"/>
      <c r="Q36" s="64"/>
      <c r="R36" s="65"/>
      <c r="S36" s="64"/>
      <c r="T36" s="64"/>
      <c r="U36" s="64"/>
      <c r="V36" s="64"/>
      <c r="W36" s="64"/>
      <c r="X36" s="64"/>
      <c r="Y36" s="64"/>
      <c r="Z36" s="65"/>
      <c r="AA36" s="64"/>
      <c r="AB36" s="64"/>
      <c r="AC36" s="64"/>
      <c r="AD36" s="64"/>
      <c r="AE36" s="64"/>
      <c r="AF36" s="64"/>
      <c r="AG36" s="64"/>
      <c r="AH36" s="65"/>
      <c r="AI36" s="64"/>
      <c r="AJ36" s="64"/>
      <c r="AK36" s="64"/>
      <c r="AL36" s="64"/>
      <c r="AM36" s="64"/>
      <c r="AN36" s="64"/>
      <c r="AO36" s="64"/>
      <c r="AP36" s="65"/>
      <c r="AQ36" s="64"/>
      <c r="AR36" s="64"/>
      <c r="AS36" s="64"/>
      <c r="AT36" s="64"/>
      <c r="AU36" s="64"/>
      <c r="AV36" s="64"/>
      <c r="AW36" s="64"/>
      <c r="AX36" s="64"/>
      <c r="AY36" s="64"/>
      <c r="AZ36" s="64"/>
      <c r="BA36" s="64"/>
      <c r="BB36" s="65"/>
      <c r="BC36" s="64"/>
      <c r="BD36" s="64"/>
      <c r="BE36" s="64"/>
      <c r="BF36" s="64"/>
      <c r="BG36" s="64"/>
      <c r="BH36" s="64"/>
      <c r="BI36" s="64"/>
      <c r="BJ36" s="65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5"/>
      <c r="BW36" s="64"/>
      <c r="BX36" s="64"/>
      <c r="BY36" s="64"/>
      <c r="BZ36" s="64"/>
      <c r="CA36" s="64"/>
      <c r="CB36" s="64"/>
      <c r="CC36" s="64"/>
      <c r="CD36" s="65"/>
      <c r="CE36" s="64"/>
      <c r="CF36" s="64"/>
      <c r="CG36" s="64"/>
      <c r="CH36" s="64"/>
      <c r="CI36" s="64"/>
      <c r="CJ36" s="64"/>
      <c r="CK36" s="64"/>
      <c r="CL36" s="65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5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3"/>
      <c r="DP36" s="63"/>
      <c r="DQ36" s="63"/>
      <c r="DR36" s="63"/>
      <c r="DS36" s="63"/>
      <c r="DT36" s="63"/>
    </row>
    <row r="37" spans="1:124" ht="13.5" customHeight="1" thickBot="1" x14ac:dyDescent="0.3">
      <c r="A37" s="63"/>
      <c r="B37" s="66" t="s">
        <v>113</v>
      </c>
      <c r="C37" s="67"/>
      <c r="D37" s="67"/>
      <c r="E37" s="67"/>
      <c r="F37" s="67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5"/>
      <c r="S37" s="63"/>
      <c r="T37" s="63"/>
      <c r="U37" s="63"/>
      <c r="V37" s="63"/>
      <c r="W37" s="63"/>
      <c r="X37" s="63"/>
      <c r="Y37" s="63"/>
      <c r="Z37" s="65"/>
      <c r="AA37" s="63"/>
      <c r="AB37" s="63"/>
      <c r="AC37" s="63"/>
      <c r="AD37" s="63"/>
      <c r="AE37" s="63"/>
      <c r="AF37" s="63"/>
      <c r="AG37" s="63"/>
      <c r="AH37" s="65"/>
      <c r="AI37" s="63"/>
      <c r="AJ37" s="63"/>
      <c r="AK37" s="63"/>
      <c r="AL37" s="63"/>
      <c r="AM37" s="63"/>
      <c r="AN37" s="63"/>
      <c r="AO37" s="63"/>
      <c r="AP37" s="65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5"/>
      <c r="BC37" s="63"/>
      <c r="BD37" s="63"/>
      <c r="BE37" s="63"/>
      <c r="BF37" s="63"/>
      <c r="BG37" s="63"/>
      <c r="BH37" s="63"/>
      <c r="BI37" s="63"/>
      <c r="BJ37" s="65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5"/>
      <c r="BW37" s="63"/>
      <c r="BX37" s="63"/>
      <c r="BY37" s="63"/>
      <c r="BZ37" s="63"/>
      <c r="CA37" s="63"/>
      <c r="CB37" s="63"/>
      <c r="CC37" s="63"/>
      <c r="CD37" s="65"/>
      <c r="CE37" s="63"/>
      <c r="CF37" s="63"/>
      <c r="CG37" s="63"/>
      <c r="CH37" s="63"/>
      <c r="CI37" s="63"/>
      <c r="CJ37" s="63"/>
      <c r="CK37" s="63"/>
      <c r="CL37" s="65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5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</row>
    <row r="38" spans="1:124" ht="13.5" customHeight="1" thickBot="1" x14ac:dyDescent="0.3">
      <c r="A38" s="63"/>
      <c r="B38" s="68" t="s">
        <v>114</v>
      </c>
      <c r="C38" s="67"/>
      <c r="D38" s="67"/>
      <c r="E38" s="67"/>
      <c r="F38" s="67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9"/>
      <c r="S38" s="63"/>
      <c r="T38" s="63"/>
      <c r="U38" s="63"/>
      <c r="V38" s="63"/>
      <c r="W38" s="63"/>
      <c r="X38" s="63"/>
      <c r="Y38" s="63"/>
      <c r="Z38" s="69"/>
      <c r="AA38" s="63"/>
      <c r="AB38" s="63"/>
      <c r="AC38" s="63"/>
      <c r="AD38" s="63"/>
      <c r="AE38" s="63"/>
      <c r="AF38" s="63"/>
      <c r="AG38" s="63"/>
      <c r="AH38" s="69"/>
      <c r="AI38" s="63"/>
      <c r="AJ38" s="63"/>
      <c r="AK38" s="63"/>
      <c r="AL38" s="63"/>
      <c r="AM38" s="63"/>
      <c r="AN38" s="63"/>
      <c r="AO38" s="63"/>
      <c r="AP38" s="69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9"/>
      <c r="BC38" s="63"/>
      <c r="BD38" s="63"/>
      <c r="BE38" s="63"/>
      <c r="BF38" s="63"/>
      <c r="BG38" s="63"/>
      <c r="BH38" s="63"/>
      <c r="BI38" s="63"/>
      <c r="BJ38" s="69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9"/>
      <c r="BW38" s="63"/>
      <c r="BX38" s="63"/>
      <c r="BY38" s="63"/>
      <c r="BZ38" s="63"/>
      <c r="CA38" s="63"/>
      <c r="CB38" s="63"/>
      <c r="CC38" s="63"/>
      <c r="CD38" s="69"/>
      <c r="CE38" s="63"/>
      <c r="CF38" s="63"/>
      <c r="CG38" s="63"/>
      <c r="CH38" s="63"/>
      <c r="CI38" s="63"/>
      <c r="CJ38" s="63"/>
      <c r="CK38" s="63"/>
      <c r="CL38" s="69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9"/>
      <c r="CY38" s="63"/>
      <c r="CZ38" s="63"/>
      <c r="DA38" s="63"/>
      <c r="DB38" s="63"/>
      <c r="DC38" s="63"/>
      <c r="DD38" s="63"/>
      <c r="DE38" s="63"/>
      <c r="DF38" s="63"/>
      <c r="DG38" s="63"/>
      <c r="DH38" s="63"/>
      <c r="DI38" s="63"/>
      <c r="DJ38" s="63"/>
      <c r="DK38" s="63"/>
      <c r="DL38" s="63"/>
      <c r="DM38" s="63"/>
      <c r="DN38" s="63"/>
      <c r="DO38" s="63"/>
      <c r="DP38" s="63"/>
      <c r="DQ38" s="63"/>
      <c r="DR38" s="63"/>
      <c r="DS38" s="63"/>
      <c r="DT38" s="63"/>
    </row>
  </sheetData>
  <mergeCells count="100">
    <mergeCell ref="DG2:DI2"/>
    <mergeCell ref="DG4:DI4"/>
    <mergeCell ref="DG5:DI5"/>
    <mergeCell ref="DK2:DM2"/>
    <mergeCell ref="DK4:DM4"/>
    <mergeCell ref="DK5:DM5"/>
    <mergeCell ref="CY4:DA4"/>
    <mergeCell ref="CY5:DA5"/>
    <mergeCell ref="DC2:DE2"/>
    <mergeCell ref="DC4:DE4"/>
    <mergeCell ref="DC5:DE5"/>
    <mergeCell ref="CI5:CK5"/>
    <mergeCell ref="CM5:CO5"/>
    <mergeCell ref="CI2:CK2"/>
    <mergeCell ref="CM2:CO2"/>
    <mergeCell ref="CI4:CK4"/>
    <mergeCell ref="CM4:CO4"/>
    <mergeCell ref="CQ4:CS4"/>
    <mergeCell ref="CQ5:CS5"/>
    <mergeCell ref="CU2:CW2"/>
    <mergeCell ref="CU4:CW4"/>
    <mergeCell ref="CU5:CW5"/>
    <mergeCell ref="BW5:BY5"/>
    <mergeCell ref="CA5:CC5"/>
    <mergeCell ref="CE5:CG5"/>
    <mergeCell ref="BW4:BY4"/>
    <mergeCell ref="CA4:CC4"/>
    <mergeCell ref="CE4:CG4"/>
    <mergeCell ref="BO4:BQ4"/>
    <mergeCell ref="BS4:BU4"/>
    <mergeCell ref="BO5:BQ5"/>
    <mergeCell ref="BS5:BU5"/>
    <mergeCell ref="BG2:BI2"/>
    <mergeCell ref="BK2:BM2"/>
    <mergeCell ref="BK4:BM4"/>
    <mergeCell ref="BK5:BM5"/>
    <mergeCell ref="AQ5:AS5"/>
    <mergeCell ref="AU5:AW5"/>
    <mergeCell ref="AY5:BA5"/>
    <mergeCell ref="BC5:BE5"/>
    <mergeCell ref="BG5:BI5"/>
    <mergeCell ref="AQ4:AS4"/>
    <mergeCell ref="AU4:AW4"/>
    <mergeCell ref="AY4:BA4"/>
    <mergeCell ref="BC4:BE4"/>
    <mergeCell ref="BG4:BI4"/>
    <mergeCell ref="AE5:AG5"/>
    <mergeCell ref="AI5:AK5"/>
    <mergeCell ref="AM5:AO5"/>
    <mergeCell ref="AI2:AK2"/>
    <mergeCell ref="AM2:AO2"/>
    <mergeCell ref="AE4:AG4"/>
    <mergeCell ref="AI4:AK4"/>
    <mergeCell ref="AM4:AO4"/>
    <mergeCell ref="S4:U4"/>
    <mergeCell ref="S5:U5"/>
    <mergeCell ref="W4:Y4"/>
    <mergeCell ref="AA4:AC4"/>
    <mergeCell ref="W5:Y5"/>
    <mergeCell ref="AA5:AC5"/>
    <mergeCell ref="A9:A21"/>
    <mergeCell ref="A23:A26"/>
    <mergeCell ref="A27:A29"/>
    <mergeCell ref="A30:A32"/>
    <mergeCell ref="DR4:DT4"/>
    <mergeCell ref="C5:E5"/>
    <mergeCell ref="G5:I5"/>
    <mergeCell ref="K5:M5"/>
    <mergeCell ref="O5:Q5"/>
    <mergeCell ref="DO5:DQ5"/>
    <mergeCell ref="DR5:DT5"/>
    <mergeCell ref="C4:E4"/>
    <mergeCell ref="G4:I4"/>
    <mergeCell ref="K4:M4"/>
    <mergeCell ref="O4:Q4"/>
    <mergeCell ref="DO4:DQ4"/>
    <mergeCell ref="BC2:BE2"/>
    <mergeCell ref="BW2:BY2"/>
    <mergeCell ref="CA2:CC2"/>
    <mergeCell ref="CQ2:CS2"/>
    <mergeCell ref="CY2:DA2"/>
    <mergeCell ref="CE2:CG2"/>
    <mergeCell ref="BO2:BQ2"/>
    <mergeCell ref="BS2:BU2"/>
    <mergeCell ref="A1:DT1"/>
    <mergeCell ref="A2:A3"/>
    <mergeCell ref="B2:B3"/>
    <mergeCell ref="C2:E2"/>
    <mergeCell ref="G2:I2"/>
    <mergeCell ref="K2:M2"/>
    <mergeCell ref="O2:Q2"/>
    <mergeCell ref="DO2:DQ2"/>
    <mergeCell ref="DR2:DT2"/>
    <mergeCell ref="S2:U2"/>
    <mergeCell ref="AE2:AG2"/>
    <mergeCell ref="W2:Y2"/>
    <mergeCell ref="AA2:AC2"/>
    <mergeCell ref="AQ2:AS2"/>
    <mergeCell ref="AU2:AW2"/>
    <mergeCell ref="AY2:BA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ColWidth="8.7109375" defaultRowHeight="13.5" customHeight="1" x14ac:dyDescent="0.25"/>
  <cols>
    <col min="1" max="1" width="7.85546875" bestFit="1" customWidth="1"/>
    <col min="2" max="2" width="6" bestFit="1" customWidth="1"/>
    <col min="3" max="3" width="10.140625" bestFit="1" customWidth="1"/>
    <col min="4" max="4" width="8.28515625" customWidth="1"/>
    <col min="5" max="5" width="11.140625" customWidth="1"/>
    <col min="6" max="6" width="7.28515625" bestFit="1" customWidth="1"/>
    <col min="7" max="7" width="31.28515625" customWidth="1"/>
    <col min="9" max="9" width="9.42578125" customWidth="1"/>
    <col min="10" max="10" width="12.140625" bestFit="1" customWidth="1"/>
    <col min="11" max="11" width="5.85546875" bestFit="1" customWidth="1"/>
    <col min="12" max="12" width="8.7109375" bestFit="1" customWidth="1"/>
    <col min="13" max="13" width="3.85546875" bestFit="1" customWidth="1"/>
    <col min="14" max="14" width="10.85546875" bestFit="1" customWidth="1"/>
    <col min="15" max="15" width="9.85546875" bestFit="1" customWidth="1"/>
    <col min="16" max="16" width="24.140625" bestFit="1" customWidth="1"/>
    <col min="17" max="17" width="10.140625" bestFit="1" customWidth="1"/>
    <col min="18" max="18" width="15" bestFit="1" customWidth="1"/>
    <col min="19" max="19" width="11.5703125" bestFit="1" customWidth="1"/>
    <col min="20" max="20" width="9.7109375" bestFit="1" customWidth="1"/>
    <col min="21" max="21" width="4.140625" bestFit="1" customWidth="1"/>
    <col min="22" max="22" width="15.42578125" bestFit="1" customWidth="1"/>
    <col min="23" max="23" width="7.85546875" bestFit="1" customWidth="1"/>
    <col min="25" max="25" width="7.42578125" bestFit="1" customWidth="1"/>
  </cols>
  <sheetData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45"/>
  <sheetViews>
    <sheetView workbookViewId="0"/>
  </sheetViews>
  <sheetFormatPr defaultColWidth="16" defaultRowHeight="13.5" customHeight="1" x14ac:dyDescent="0.25"/>
  <cols>
    <col min="1" max="1" width="9.85546875" bestFit="1" customWidth="1"/>
    <col min="2" max="2" width="15.42578125" bestFit="1" customWidth="1"/>
    <col min="3" max="3" width="10" bestFit="1" customWidth="1"/>
    <col min="4" max="4" width="8.7109375" bestFit="1" customWidth="1"/>
    <col min="5" max="5" width="10.7109375" bestFit="1" customWidth="1"/>
    <col min="6" max="6" width="37.5703125" bestFit="1" customWidth="1"/>
    <col min="7" max="7" width="50.5703125" bestFit="1" customWidth="1"/>
    <col min="8" max="8" width="16.28515625" bestFit="1" customWidth="1"/>
    <col min="9" max="9" width="4.5703125" bestFit="1" customWidth="1"/>
    <col min="10" max="10" width="10.85546875" bestFit="1" customWidth="1"/>
    <col min="11" max="11" width="10" bestFit="1" customWidth="1"/>
    <col min="12" max="12" width="9.5703125" bestFit="1" customWidth="1"/>
    <col min="13" max="13" width="11.7109375" bestFit="1" customWidth="1"/>
    <col min="14" max="14" width="11.28515625" bestFit="1" customWidth="1"/>
    <col min="15" max="15" width="16.140625" bestFit="1" customWidth="1"/>
    <col min="16" max="16" width="9.85546875" bestFit="1" customWidth="1"/>
    <col min="17" max="17" width="10.5703125" bestFit="1" customWidth="1"/>
    <col min="18" max="18" width="8.140625" bestFit="1" customWidth="1"/>
  </cols>
  <sheetData>
    <row r="1" spans="1:18" ht="13.5" customHeight="1" x14ac:dyDescent="0.25">
      <c r="A1" s="163" t="s">
        <v>120</v>
      </c>
      <c r="B1" s="163" t="s">
        <v>293</v>
      </c>
      <c r="C1" s="163" t="s">
        <v>294</v>
      </c>
      <c r="D1" s="163" t="s">
        <v>309</v>
      </c>
      <c r="E1" s="163" t="s">
        <v>295</v>
      </c>
      <c r="F1" s="163" t="s">
        <v>296</v>
      </c>
      <c r="G1" s="163" t="s">
        <v>310</v>
      </c>
      <c r="H1" s="163" t="s">
        <v>297</v>
      </c>
      <c r="I1" s="163" t="s">
        <v>298</v>
      </c>
      <c r="J1" s="163" t="s">
        <v>299</v>
      </c>
      <c r="K1" s="163" t="s">
        <v>123</v>
      </c>
      <c r="L1" s="163" t="s">
        <v>300</v>
      </c>
      <c r="M1" s="163" t="s">
        <v>301</v>
      </c>
      <c r="N1" s="163" t="s">
        <v>311</v>
      </c>
      <c r="O1" s="163" t="s">
        <v>312</v>
      </c>
      <c r="P1" s="163" t="s">
        <v>124</v>
      </c>
      <c r="Q1" s="163" t="s">
        <v>313</v>
      </c>
      <c r="R1" s="163" t="s">
        <v>302</v>
      </c>
    </row>
    <row r="2" spans="1:18" ht="13.5" customHeight="1" x14ac:dyDescent="0.25">
      <c r="A2" s="164" t="s">
        <v>314</v>
      </c>
      <c r="B2" s="164" t="s">
        <v>315</v>
      </c>
      <c r="C2" s="164" t="s">
        <v>316</v>
      </c>
      <c r="D2" s="164" t="s">
        <v>317</v>
      </c>
      <c r="E2" s="164" t="s">
        <v>318</v>
      </c>
      <c r="F2" s="164" t="s">
        <v>319</v>
      </c>
      <c r="G2" s="164" t="s">
        <v>320</v>
      </c>
      <c r="H2" s="164" t="s">
        <v>321</v>
      </c>
      <c r="I2" s="164" t="s">
        <v>322</v>
      </c>
      <c r="J2" s="165">
        <v>30000000</v>
      </c>
      <c r="K2" s="166">
        <v>105.62</v>
      </c>
      <c r="L2" s="164" t="s">
        <v>323</v>
      </c>
      <c r="M2" s="165">
        <v>31686000</v>
      </c>
      <c r="N2" s="165">
        <v>0</v>
      </c>
      <c r="O2" s="165">
        <v>31686000</v>
      </c>
      <c r="P2" s="164" t="s">
        <v>324</v>
      </c>
      <c r="Q2" s="164" t="s">
        <v>325</v>
      </c>
      <c r="R2" s="164" t="s">
        <v>326</v>
      </c>
    </row>
    <row r="3" spans="1:18" ht="13.5" customHeight="1" x14ac:dyDescent="0.25">
      <c r="A3" s="164" t="s">
        <v>314</v>
      </c>
      <c r="B3" s="164" t="s">
        <v>327</v>
      </c>
      <c r="C3" s="164" t="s">
        <v>316</v>
      </c>
      <c r="D3" s="164" t="s">
        <v>317</v>
      </c>
      <c r="E3" s="164" t="s">
        <v>318</v>
      </c>
      <c r="F3" s="164" t="s">
        <v>328</v>
      </c>
      <c r="G3" s="164" t="s">
        <v>329</v>
      </c>
      <c r="H3" s="164" t="s">
        <v>330</v>
      </c>
      <c r="I3" s="164" t="s">
        <v>322</v>
      </c>
      <c r="J3" s="165">
        <v>100000000</v>
      </c>
      <c r="K3" s="166">
        <v>101.77</v>
      </c>
      <c r="L3" s="164" t="s">
        <v>331</v>
      </c>
      <c r="M3" s="166">
        <v>101770000</v>
      </c>
      <c r="N3" s="166">
        <v>2723000</v>
      </c>
      <c r="O3" s="166">
        <v>104493000</v>
      </c>
      <c r="P3" s="164" t="s">
        <v>332</v>
      </c>
      <c r="Q3" s="164" t="s">
        <v>325</v>
      </c>
      <c r="R3" s="164" t="s">
        <v>326</v>
      </c>
    </row>
    <row r="4" spans="1:18" ht="13.5" customHeight="1" x14ac:dyDescent="0.25">
      <c r="A4" s="164" t="s">
        <v>314</v>
      </c>
      <c r="B4" s="164" t="s">
        <v>333</v>
      </c>
      <c r="C4" s="164" t="s">
        <v>316</v>
      </c>
      <c r="D4" s="164" t="s">
        <v>317</v>
      </c>
      <c r="E4" s="164" t="s">
        <v>318</v>
      </c>
      <c r="F4" s="164" t="s">
        <v>334</v>
      </c>
      <c r="G4" s="164" t="s">
        <v>335</v>
      </c>
      <c r="H4" s="164" t="s">
        <v>336</v>
      </c>
      <c r="I4" s="164" t="s">
        <v>322</v>
      </c>
      <c r="J4" s="165">
        <v>90000000</v>
      </c>
      <c r="K4" s="167">
        <v>96.796875</v>
      </c>
      <c r="L4" s="164" t="s">
        <v>337</v>
      </c>
      <c r="M4" s="166">
        <v>87117187.5</v>
      </c>
      <c r="N4" s="166">
        <v>90000</v>
      </c>
      <c r="O4" s="166">
        <v>87207187.5</v>
      </c>
      <c r="P4" s="164" t="s">
        <v>338</v>
      </c>
      <c r="Q4" s="164" t="s">
        <v>325</v>
      </c>
      <c r="R4" s="164" t="s">
        <v>326</v>
      </c>
    </row>
    <row r="5" spans="1:18" ht="13.5" customHeight="1" x14ac:dyDescent="0.25">
      <c r="A5" s="164" t="s">
        <v>314</v>
      </c>
      <c r="B5" s="164" t="s">
        <v>339</v>
      </c>
      <c r="C5" s="164" t="s">
        <v>316</v>
      </c>
      <c r="D5" s="164" t="s">
        <v>317</v>
      </c>
      <c r="E5" s="164" t="s">
        <v>318</v>
      </c>
      <c r="F5" s="164" t="s">
        <v>334</v>
      </c>
      <c r="G5" s="164" t="s">
        <v>340</v>
      </c>
      <c r="H5" s="164" t="s">
        <v>341</v>
      </c>
      <c r="I5" s="164" t="s">
        <v>342</v>
      </c>
      <c r="J5" s="165">
        <v>200000000</v>
      </c>
      <c r="K5" s="168">
        <v>99.71875</v>
      </c>
      <c r="L5" s="164" t="s">
        <v>337</v>
      </c>
      <c r="M5" s="166">
        <v>199437500</v>
      </c>
      <c r="N5" s="166">
        <v>233333.33</v>
      </c>
      <c r="O5" s="166">
        <v>199670833.33000001</v>
      </c>
      <c r="P5" s="164" t="s">
        <v>338</v>
      </c>
      <c r="Q5" s="164" t="s">
        <v>325</v>
      </c>
      <c r="R5" s="164" t="s">
        <v>326</v>
      </c>
    </row>
    <row r="6" spans="1:18" ht="13.5" customHeight="1" x14ac:dyDescent="0.25">
      <c r="A6" s="164" t="s">
        <v>314</v>
      </c>
      <c r="B6" s="164" t="s">
        <v>343</v>
      </c>
      <c r="C6" s="164" t="s">
        <v>316</v>
      </c>
      <c r="D6" s="164" t="s">
        <v>344</v>
      </c>
      <c r="E6" s="164" t="s">
        <v>318</v>
      </c>
      <c r="F6" s="164" t="s">
        <v>334</v>
      </c>
      <c r="G6" s="164" t="s">
        <v>345</v>
      </c>
      <c r="H6" s="164" t="s">
        <v>346</v>
      </c>
      <c r="I6" s="164" t="s">
        <v>342</v>
      </c>
      <c r="J6" s="165">
        <v>25000000</v>
      </c>
      <c r="K6" s="169">
        <v>102.3203125</v>
      </c>
      <c r="L6" s="164" t="s">
        <v>337</v>
      </c>
      <c r="M6" s="166">
        <v>25580078.129999999</v>
      </c>
      <c r="N6" s="166">
        <v>33333.33</v>
      </c>
      <c r="O6" s="166">
        <v>25613411.460000001</v>
      </c>
      <c r="P6" s="164" t="s">
        <v>338</v>
      </c>
      <c r="Q6" s="164" t="s">
        <v>325</v>
      </c>
      <c r="R6" s="164" t="s">
        <v>326</v>
      </c>
    </row>
    <row r="7" spans="1:18" ht="13.5" customHeight="1" x14ac:dyDescent="0.25">
      <c r="A7" s="164" t="s">
        <v>314</v>
      </c>
      <c r="B7" s="164" t="s">
        <v>347</v>
      </c>
      <c r="C7" s="164" t="s">
        <v>316</v>
      </c>
      <c r="D7" s="164" t="s">
        <v>317</v>
      </c>
      <c r="E7" s="164" t="s">
        <v>318</v>
      </c>
      <c r="F7" s="164" t="s">
        <v>334</v>
      </c>
      <c r="G7" s="164" t="s">
        <v>345</v>
      </c>
      <c r="H7" s="164" t="s">
        <v>346</v>
      </c>
      <c r="I7" s="164" t="s">
        <v>322</v>
      </c>
      <c r="J7" s="165">
        <v>110000000</v>
      </c>
      <c r="K7" s="167">
        <v>102.328125</v>
      </c>
      <c r="L7" s="164" t="s">
        <v>337</v>
      </c>
      <c r="M7" s="166">
        <v>112560937.5</v>
      </c>
      <c r="N7" s="166">
        <v>146666.67000000001</v>
      </c>
      <c r="O7" s="166">
        <v>112707604.17</v>
      </c>
      <c r="P7" s="164" t="s">
        <v>338</v>
      </c>
      <c r="Q7" s="164" t="s">
        <v>325</v>
      </c>
      <c r="R7" s="164" t="s">
        <v>326</v>
      </c>
    </row>
    <row r="8" spans="1:18" ht="13.5" customHeight="1" x14ac:dyDescent="0.25">
      <c r="A8" s="164" t="s">
        <v>348</v>
      </c>
      <c r="B8" s="164" t="s">
        <v>349</v>
      </c>
      <c r="C8" s="164" t="s">
        <v>316</v>
      </c>
      <c r="D8" s="164" t="s">
        <v>344</v>
      </c>
      <c r="E8" s="164" t="s">
        <v>318</v>
      </c>
      <c r="F8" s="164" t="s">
        <v>350</v>
      </c>
      <c r="G8" s="164" t="s">
        <v>351</v>
      </c>
      <c r="H8" s="164" t="s">
        <v>352</v>
      </c>
      <c r="I8" s="164" t="s">
        <v>322</v>
      </c>
      <c r="J8" s="165">
        <v>30000000</v>
      </c>
      <c r="K8" s="165">
        <v>103</v>
      </c>
      <c r="L8" s="164" t="s">
        <v>353</v>
      </c>
      <c r="M8" s="166">
        <v>30900000</v>
      </c>
      <c r="N8" s="166" t="s">
        <v>315</v>
      </c>
      <c r="O8" s="166" t="s">
        <v>315</v>
      </c>
      <c r="P8" s="164" t="s">
        <v>354</v>
      </c>
      <c r="Q8" s="164" t="s">
        <v>325</v>
      </c>
      <c r="R8" s="164" t="s">
        <v>326</v>
      </c>
    </row>
    <row r="9" spans="1:18" ht="13.5" customHeight="1" x14ac:dyDescent="0.25">
      <c r="A9" s="164" t="s">
        <v>332</v>
      </c>
      <c r="B9" s="164" t="s">
        <v>355</v>
      </c>
      <c r="C9" s="164" t="s">
        <v>316</v>
      </c>
      <c r="D9" s="164" t="s">
        <v>344</v>
      </c>
      <c r="E9" s="164" t="s">
        <v>318</v>
      </c>
      <c r="F9" s="164" t="s">
        <v>356</v>
      </c>
      <c r="G9" s="164" t="s">
        <v>357</v>
      </c>
      <c r="H9" s="164" t="s">
        <v>358</v>
      </c>
      <c r="I9" s="164" t="s">
        <v>342</v>
      </c>
      <c r="J9" s="165">
        <v>9684729</v>
      </c>
      <c r="K9" s="170">
        <v>96.90234375</v>
      </c>
      <c r="L9" s="164" t="s">
        <v>337</v>
      </c>
      <c r="M9" s="166">
        <v>8382590.3499999996</v>
      </c>
      <c r="N9" s="166">
        <v>8650.56</v>
      </c>
      <c r="O9" s="166" t="s">
        <v>315</v>
      </c>
      <c r="P9" s="164" t="s">
        <v>338</v>
      </c>
      <c r="Q9" s="164" t="s">
        <v>325</v>
      </c>
      <c r="R9" s="164" t="s">
        <v>326</v>
      </c>
    </row>
    <row r="10" spans="1:18" ht="13.5" customHeight="1" x14ac:dyDescent="0.25">
      <c r="A10" s="164" t="s">
        <v>332</v>
      </c>
      <c r="B10" s="164" t="s">
        <v>359</v>
      </c>
      <c r="C10" s="164" t="s">
        <v>316</v>
      </c>
      <c r="D10" s="164" t="s">
        <v>344</v>
      </c>
      <c r="E10" s="164" t="s">
        <v>318</v>
      </c>
      <c r="F10" s="164" t="s">
        <v>356</v>
      </c>
      <c r="G10" s="164" t="s">
        <v>360</v>
      </c>
      <c r="H10" s="164" t="s">
        <v>361</v>
      </c>
      <c r="I10" s="164" t="s">
        <v>342</v>
      </c>
      <c r="J10" s="165">
        <v>16040746</v>
      </c>
      <c r="K10" s="170">
        <v>96.90234375</v>
      </c>
      <c r="L10" s="164" t="s">
        <v>337</v>
      </c>
      <c r="M10" s="166">
        <v>14013206.859999999</v>
      </c>
      <c r="N10" s="166">
        <v>14461.17</v>
      </c>
      <c r="O10" s="166" t="s">
        <v>315</v>
      </c>
      <c r="P10" s="164" t="s">
        <v>338</v>
      </c>
      <c r="Q10" s="164" t="s">
        <v>325</v>
      </c>
      <c r="R10" s="164" t="s">
        <v>326</v>
      </c>
    </row>
    <row r="11" spans="1:18" ht="13.5" customHeight="1" x14ac:dyDescent="0.25">
      <c r="A11" s="164" t="s">
        <v>332</v>
      </c>
      <c r="B11" s="164" t="s">
        <v>362</v>
      </c>
      <c r="C11" s="164" t="s">
        <v>316</v>
      </c>
      <c r="D11" s="164" t="s">
        <v>317</v>
      </c>
      <c r="E11" s="164" t="s">
        <v>318</v>
      </c>
      <c r="F11" s="164" t="s">
        <v>363</v>
      </c>
      <c r="G11" s="164" t="s">
        <v>364</v>
      </c>
      <c r="H11" s="164" t="s">
        <v>365</v>
      </c>
      <c r="I11" s="164" t="s">
        <v>342</v>
      </c>
      <c r="J11" s="165">
        <v>572000</v>
      </c>
      <c r="K11" s="167">
        <v>98.086177000000006</v>
      </c>
      <c r="L11" s="164" t="s">
        <v>337</v>
      </c>
      <c r="M11" s="166">
        <v>561052.93000000005</v>
      </c>
      <c r="N11" s="166">
        <v>853.26</v>
      </c>
      <c r="O11" s="166">
        <v>561906.18999999994</v>
      </c>
      <c r="P11" s="164" t="s">
        <v>354</v>
      </c>
      <c r="Q11" s="164" t="s">
        <v>325</v>
      </c>
      <c r="R11" s="164" t="s">
        <v>326</v>
      </c>
    </row>
    <row r="12" spans="1:18" ht="13.5" customHeight="1" x14ac:dyDescent="0.25">
      <c r="A12" s="164" t="s">
        <v>354</v>
      </c>
      <c r="B12" s="164" t="s">
        <v>366</v>
      </c>
      <c r="C12" s="164" t="s">
        <v>316</v>
      </c>
      <c r="D12" s="164" t="s">
        <v>317</v>
      </c>
      <c r="E12" s="164" t="s">
        <v>318</v>
      </c>
      <c r="F12" s="164" t="s">
        <v>367</v>
      </c>
      <c r="G12" s="164" t="s">
        <v>368</v>
      </c>
      <c r="H12" s="164" t="s">
        <v>369</v>
      </c>
      <c r="I12" s="164" t="s">
        <v>342</v>
      </c>
      <c r="J12" s="165">
        <v>5000000</v>
      </c>
      <c r="K12" s="171">
        <v>98.671000000000006</v>
      </c>
      <c r="L12" s="164" t="s">
        <v>337</v>
      </c>
      <c r="M12" s="166">
        <v>4933550</v>
      </c>
      <c r="N12" s="166">
        <v>3645.83</v>
      </c>
      <c r="O12" s="166">
        <v>4937195.83</v>
      </c>
      <c r="P12" s="164" t="s">
        <v>370</v>
      </c>
      <c r="Q12" s="164" t="s">
        <v>325</v>
      </c>
      <c r="R12" s="164" t="s">
        <v>326</v>
      </c>
    </row>
    <row r="13" spans="1:18" ht="13.5" customHeight="1" x14ac:dyDescent="0.25">
      <c r="A13" s="164" t="s">
        <v>354</v>
      </c>
      <c r="B13" s="164" t="s">
        <v>371</v>
      </c>
      <c r="C13" s="164" t="s">
        <v>316</v>
      </c>
      <c r="D13" s="164" t="s">
        <v>317</v>
      </c>
      <c r="E13" s="164" t="s">
        <v>318</v>
      </c>
      <c r="F13" s="164" t="s">
        <v>367</v>
      </c>
      <c r="G13" s="164" t="s">
        <v>372</v>
      </c>
      <c r="H13" s="164" t="s">
        <v>373</v>
      </c>
      <c r="I13" s="164" t="s">
        <v>342</v>
      </c>
      <c r="J13" s="165">
        <v>10000000</v>
      </c>
      <c r="K13" s="171">
        <v>97.453000000000003</v>
      </c>
      <c r="L13" s="164" t="s">
        <v>337</v>
      </c>
      <c r="M13" s="166">
        <v>9745300</v>
      </c>
      <c r="N13" s="166">
        <v>46615.56</v>
      </c>
      <c r="O13" s="166">
        <v>9791915.5600000005</v>
      </c>
      <c r="P13" s="164" t="s">
        <v>370</v>
      </c>
      <c r="Q13" s="164" t="s">
        <v>325</v>
      </c>
      <c r="R13" s="164" t="s">
        <v>326</v>
      </c>
    </row>
    <row r="14" spans="1:18" ht="13.5" customHeight="1" x14ac:dyDescent="0.25">
      <c r="A14" s="164" t="s">
        <v>354</v>
      </c>
      <c r="B14" s="164" t="s">
        <v>374</v>
      </c>
      <c r="C14" s="164" t="s">
        <v>316</v>
      </c>
      <c r="D14" s="164" t="s">
        <v>317</v>
      </c>
      <c r="E14" s="164" t="s">
        <v>318</v>
      </c>
      <c r="F14" s="164" t="s">
        <v>367</v>
      </c>
      <c r="G14" s="164" t="s">
        <v>375</v>
      </c>
      <c r="H14" s="164" t="s">
        <v>376</v>
      </c>
      <c r="I14" s="164" t="s">
        <v>322</v>
      </c>
      <c r="J14" s="165">
        <v>9490000</v>
      </c>
      <c r="K14" s="168">
        <v>98.78125</v>
      </c>
      <c r="L14" s="164" t="s">
        <v>337</v>
      </c>
      <c r="M14" s="166">
        <v>9374340.6300000008</v>
      </c>
      <c r="N14" s="166">
        <v>13697.58</v>
      </c>
      <c r="O14" s="166">
        <v>9388038.2100000009</v>
      </c>
      <c r="P14" s="164" t="s">
        <v>377</v>
      </c>
      <c r="Q14" s="164" t="s">
        <v>325</v>
      </c>
      <c r="R14" s="164" t="s">
        <v>326</v>
      </c>
    </row>
    <row r="15" spans="1:18" ht="13.5" customHeight="1" x14ac:dyDescent="0.25">
      <c r="A15" s="164" t="s">
        <v>354</v>
      </c>
      <c r="B15" s="164" t="s">
        <v>378</v>
      </c>
      <c r="C15" s="164" t="s">
        <v>316</v>
      </c>
      <c r="D15" s="164" t="s">
        <v>317</v>
      </c>
      <c r="E15" s="164" t="s">
        <v>318</v>
      </c>
      <c r="F15" s="164" t="s">
        <v>367</v>
      </c>
      <c r="G15" s="164" t="s">
        <v>375</v>
      </c>
      <c r="H15" s="164" t="s">
        <v>376</v>
      </c>
      <c r="I15" s="164" t="s">
        <v>322</v>
      </c>
      <c r="J15" s="165">
        <v>4610000</v>
      </c>
      <c r="K15" s="168">
        <v>99.03125</v>
      </c>
      <c r="L15" s="164" t="s">
        <v>337</v>
      </c>
      <c r="M15" s="166">
        <v>4565340.63</v>
      </c>
      <c r="N15" s="166">
        <v>6653.94</v>
      </c>
      <c r="O15" s="166">
        <v>4571994.57</v>
      </c>
      <c r="P15" s="164" t="s">
        <v>377</v>
      </c>
      <c r="Q15" s="164" t="s">
        <v>325</v>
      </c>
      <c r="R15" s="164" t="s">
        <v>326</v>
      </c>
    </row>
    <row r="16" spans="1:18" ht="13.5" customHeight="1" x14ac:dyDescent="0.25">
      <c r="A16" s="164" t="s">
        <v>354</v>
      </c>
      <c r="B16" s="164" t="s">
        <v>379</v>
      </c>
      <c r="C16" s="164" t="s">
        <v>316</v>
      </c>
      <c r="D16" s="164" t="s">
        <v>317</v>
      </c>
      <c r="E16" s="164" t="s">
        <v>318</v>
      </c>
      <c r="F16" s="164" t="s">
        <v>367</v>
      </c>
      <c r="G16" s="164" t="s">
        <v>380</v>
      </c>
      <c r="H16" s="164" t="s">
        <v>381</v>
      </c>
      <c r="I16" s="164" t="s">
        <v>322</v>
      </c>
      <c r="J16" s="165">
        <v>5000000</v>
      </c>
      <c r="K16" s="169">
        <v>100.1328125</v>
      </c>
      <c r="L16" s="164" t="s">
        <v>337</v>
      </c>
      <c r="M16" s="166">
        <v>5006640.63</v>
      </c>
      <c r="N16" s="166">
        <v>2139.9499999999998</v>
      </c>
      <c r="O16" s="166">
        <v>5008780.58</v>
      </c>
      <c r="P16" s="164" t="s">
        <v>377</v>
      </c>
      <c r="Q16" s="164" t="s">
        <v>325</v>
      </c>
      <c r="R16" s="164" t="s">
        <v>326</v>
      </c>
    </row>
    <row r="17" spans="1:18" ht="13.5" customHeight="1" x14ac:dyDescent="0.25">
      <c r="A17" s="164" t="s">
        <v>354</v>
      </c>
      <c r="B17" s="164" t="s">
        <v>382</v>
      </c>
      <c r="C17" s="164" t="s">
        <v>316</v>
      </c>
      <c r="D17" s="164" t="s">
        <v>317</v>
      </c>
      <c r="E17" s="164" t="s">
        <v>318</v>
      </c>
      <c r="F17" s="164" t="s">
        <v>383</v>
      </c>
      <c r="G17" s="164" t="s">
        <v>384</v>
      </c>
      <c r="H17" s="164" t="s">
        <v>385</v>
      </c>
      <c r="I17" s="164" t="s">
        <v>322</v>
      </c>
      <c r="J17" s="165">
        <v>26</v>
      </c>
      <c r="K17" s="165">
        <v>101750</v>
      </c>
      <c r="L17" s="164" t="s">
        <v>386</v>
      </c>
      <c r="M17" s="166">
        <v>2645500</v>
      </c>
      <c r="N17" s="166">
        <v>5525</v>
      </c>
      <c r="O17" s="166" t="s">
        <v>315</v>
      </c>
      <c r="P17" s="164" t="s">
        <v>370</v>
      </c>
      <c r="Q17" s="164" t="s">
        <v>325</v>
      </c>
      <c r="R17" s="164" t="s">
        <v>326</v>
      </c>
    </row>
    <row r="18" spans="1:18" ht="13.5" customHeight="1" x14ac:dyDescent="0.25">
      <c r="A18" s="164" t="s">
        <v>354</v>
      </c>
      <c r="B18" s="164" t="s">
        <v>387</v>
      </c>
      <c r="C18" s="164" t="s">
        <v>316</v>
      </c>
      <c r="D18" s="164" t="s">
        <v>344</v>
      </c>
      <c r="E18" s="164" t="s">
        <v>388</v>
      </c>
      <c r="F18" s="164" t="s">
        <v>356</v>
      </c>
      <c r="G18" s="164" t="s">
        <v>389</v>
      </c>
      <c r="H18" s="164" t="s">
        <v>390</v>
      </c>
      <c r="I18" s="164" t="s">
        <v>342</v>
      </c>
      <c r="J18" s="165">
        <v>99992622</v>
      </c>
      <c r="K18" s="171">
        <v>99.875</v>
      </c>
      <c r="L18" s="164" t="s">
        <v>337</v>
      </c>
      <c r="M18" s="166">
        <v>80230831.670000002</v>
      </c>
      <c r="N18" s="166">
        <v>93719.79</v>
      </c>
      <c r="O18" s="166" t="s">
        <v>315</v>
      </c>
      <c r="P18" s="164" t="s">
        <v>338</v>
      </c>
      <c r="Q18" s="164" t="s">
        <v>325</v>
      </c>
      <c r="R18" s="164" t="s">
        <v>315</v>
      </c>
    </row>
    <row r="19" spans="1:18" ht="13.5" customHeight="1" x14ac:dyDescent="0.25">
      <c r="A19" s="164" t="s">
        <v>354</v>
      </c>
      <c r="B19" s="164" t="s">
        <v>391</v>
      </c>
      <c r="C19" s="164" t="s">
        <v>316</v>
      </c>
      <c r="D19" s="164" t="s">
        <v>317</v>
      </c>
      <c r="E19" s="164" t="s">
        <v>318</v>
      </c>
      <c r="F19" s="164" t="s">
        <v>334</v>
      </c>
      <c r="G19" s="164" t="s">
        <v>392</v>
      </c>
      <c r="H19" s="164" t="s">
        <v>393</v>
      </c>
      <c r="I19" s="164" t="s">
        <v>342</v>
      </c>
      <c r="J19" s="165">
        <v>89000000</v>
      </c>
      <c r="K19" s="167">
        <v>98.484375</v>
      </c>
      <c r="L19" s="164" t="s">
        <v>337</v>
      </c>
      <c r="M19" s="166">
        <v>87651093.75</v>
      </c>
      <c r="N19" s="166">
        <v>852814.23</v>
      </c>
      <c r="O19" s="166">
        <v>88503907.980000004</v>
      </c>
      <c r="P19" s="164" t="s">
        <v>377</v>
      </c>
      <c r="Q19" s="164" t="s">
        <v>325</v>
      </c>
      <c r="R19" s="164" t="s">
        <v>326</v>
      </c>
    </row>
    <row r="20" spans="1:18" ht="13.5" customHeight="1" x14ac:dyDescent="0.25">
      <c r="A20" s="164" t="s">
        <v>377</v>
      </c>
      <c r="B20" s="164" t="s">
        <v>394</v>
      </c>
      <c r="C20" s="164" t="s">
        <v>316</v>
      </c>
      <c r="D20" s="164" t="s">
        <v>317</v>
      </c>
      <c r="E20" s="164" t="s">
        <v>318</v>
      </c>
      <c r="F20" s="164" t="s">
        <v>367</v>
      </c>
      <c r="G20" s="164" t="s">
        <v>395</v>
      </c>
      <c r="H20" s="164" t="s">
        <v>396</v>
      </c>
      <c r="I20" s="164" t="s">
        <v>322</v>
      </c>
      <c r="J20" s="165">
        <v>4550000</v>
      </c>
      <c r="K20" s="171">
        <v>100.288</v>
      </c>
      <c r="L20" s="164" t="s">
        <v>337</v>
      </c>
      <c r="M20" s="166">
        <v>4563104</v>
      </c>
      <c r="N20" s="166">
        <v>144007.5</v>
      </c>
      <c r="O20" s="166">
        <v>4707111.5</v>
      </c>
      <c r="P20" s="164" t="s">
        <v>397</v>
      </c>
      <c r="Q20" s="164" t="s">
        <v>325</v>
      </c>
      <c r="R20" s="164" t="s">
        <v>315</v>
      </c>
    </row>
    <row r="21" spans="1:18" ht="13.5" customHeight="1" x14ac:dyDescent="0.25">
      <c r="A21" s="164" t="s">
        <v>377</v>
      </c>
      <c r="B21" s="164" t="s">
        <v>398</v>
      </c>
      <c r="C21" s="164" t="s">
        <v>316</v>
      </c>
      <c r="D21" s="164" t="s">
        <v>317</v>
      </c>
      <c r="E21" s="164" t="s">
        <v>318</v>
      </c>
      <c r="F21" s="164" t="s">
        <v>367</v>
      </c>
      <c r="G21" s="164" t="s">
        <v>399</v>
      </c>
      <c r="H21" s="164" t="s">
        <v>400</v>
      </c>
      <c r="I21" s="164" t="s">
        <v>342</v>
      </c>
      <c r="J21" s="165">
        <v>3658000</v>
      </c>
      <c r="K21" s="172">
        <v>92.6875</v>
      </c>
      <c r="L21" s="164" t="s">
        <v>337</v>
      </c>
      <c r="M21" s="166">
        <v>3390508.75</v>
      </c>
      <c r="N21" s="166">
        <v>31123.31</v>
      </c>
      <c r="O21" s="166">
        <v>3421632.06</v>
      </c>
      <c r="P21" s="164" t="s">
        <v>370</v>
      </c>
      <c r="Q21" s="164" t="s">
        <v>325</v>
      </c>
      <c r="R21" s="164" t="s">
        <v>315</v>
      </c>
    </row>
    <row r="22" spans="1:18" ht="13.5" customHeight="1" x14ac:dyDescent="0.25">
      <c r="A22" s="164" t="s">
        <v>377</v>
      </c>
      <c r="B22" s="164" t="s">
        <v>401</v>
      </c>
      <c r="C22" s="164" t="s">
        <v>316</v>
      </c>
      <c r="D22" s="164" t="s">
        <v>317</v>
      </c>
      <c r="E22" s="164" t="s">
        <v>318</v>
      </c>
      <c r="F22" s="164" t="s">
        <v>350</v>
      </c>
      <c r="G22" s="164" t="s">
        <v>402</v>
      </c>
      <c r="H22" s="164" t="s">
        <v>376</v>
      </c>
      <c r="I22" s="164" t="s">
        <v>342</v>
      </c>
      <c r="J22" s="165">
        <v>2900000</v>
      </c>
      <c r="K22" s="168">
        <v>98.96875</v>
      </c>
      <c r="L22" s="164" t="s">
        <v>337</v>
      </c>
      <c r="M22" s="166">
        <v>2870093.75</v>
      </c>
      <c r="N22" s="166">
        <v>4406.08</v>
      </c>
      <c r="O22" s="166" t="s">
        <v>315</v>
      </c>
      <c r="P22" s="164" t="s">
        <v>370</v>
      </c>
      <c r="Q22" s="164" t="s">
        <v>325</v>
      </c>
      <c r="R22" s="164" t="s">
        <v>315</v>
      </c>
    </row>
    <row r="23" spans="1:18" ht="13.5" customHeight="1" x14ac:dyDescent="0.25">
      <c r="A23" s="164" t="s">
        <v>377</v>
      </c>
      <c r="B23" s="164" t="s">
        <v>403</v>
      </c>
      <c r="C23" s="164" t="s">
        <v>316</v>
      </c>
      <c r="D23" s="164" t="s">
        <v>317</v>
      </c>
      <c r="E23" s="164" t="s">
        <v>318</v>
      </c>
      <c r="F23" s="164" t="s">
        <v>404</v>
      </c>
      <c r="G23" s="164" t="s">
        <v>405</v>
      </c>
      <c r="H23" s="164" t="s">
        <v>406</v>
      </c>
      <c r="I23" s="164" t="s">
        <v>322</v>
      </c>
      <c r="J23" s="165">
        <v>20000000</v>
      </c>
      <c r="K23" s="171">
        <v>101.51300000000001</v>
      </c>
      <c r="L23" s="164" t="s">
        <v>386</v>
      </c>
      <c r="M23" s="166">
        <v>20302600</v>
      </c>
      <c r="N23" s="166">
        <v>45608</v>
      </c>
      <c r="O23" s="166" t="s">
        <v>315</v>
      </c>
      <c r="P23" s="164" t="s">
        <v>397</v>
      </c>
      <c r="Q23" s="164" t="s">
        <v>325</v>
      </c>
      <c r="R23" s="164" t="s">
        <v>315</v>
      </c>
    </row>
    <row r="24" spans="1:18" ht="13.5" customHeight="1" x14ac:dyDescent="0.25">
      <c r="A24" s="164" t="s">
        <v>377</v>
      </c>
      <c r="B24" s="164" t="s">
        <v>407</v>
      </c>
      <c r="C24" s="164" t="s">
        <v>316</v>
      </c>
      <c r="D24" s="164" t="s">
        <v>317</v>
      </c>
      <c r="E24" s="164" t="s">
        <v>318</v>
      </c>
      <c r="F24" s="164" t="s">
        <v>408</v>
      </c>
      <c r="G24" s="164" t="s">
        <v>409</v>
      </c>
      <c r="H24" s="164" t="s">
        <v>410</v>
      </c>
      <c r="I24" s="164" t="s">
        <v>342</v>
      </c>
      <c r="J24" s="165">
        <v>4424000</v>
      </c>
      <c r="K24" s="166">
        <v>94.75</v>
      </c>
      <c r="L24" s="164" t="s">
        <v>337</v>
      </c>
      <c r="M24" s="166">
        <v>4191740</v>
      </c>
      <c r="N24" s="166">
        <v>22734.44</v>
      </c>
      <c r="O24" s="166">
        <v>4214474.4400000004</v>
      </c>
      <c r="P24" s="164" t="s">
        <v>397</v>
      </c>
      <c r="Q24" s="164" t="s">
        <v>325</v>
      </c>
      <c r="R24" s="164" t="s">
        <v>315</v>
      </c>
    </row>
    <row r="25" spans="1:18" ht="13.5" customHeight="1" x14ac:dyDescent="0.25">
      <c r="A25" s="164" t="s">
        <v>377</v>
      </c>
      <c r="B25" s="164" t="s">
        <v>411</v>
      </c>
      <c r="C25" s="164" t="s">
        <v>316</v>
      </c>
      <c r="D25" s="164" t="s">
        <v>317</v>
      </c>
      <c r="E25" s="164" t="s">
        <v>318</v>
      </c>
      <c r="F25" s="164" t="s">
        <v>408</v>
      </c>
      <c r="G25" s="164" t="s">
        <v>412</v>
      </c>
      <c r="H25" s="164" t="s">
        <v>413</v>
      </c>
      <c r="I25" s="164" t="s">
        <v>342</v>
      </c>
      <c r="J25" s="165">
        <v>2730000</v>
      </c>
      <c r="K25" s="166">
        <v>93.25</v>
      </c>
      <c r="L25" s="164" t="s">
        <v>337</v>
      </c>
      <c r="M25" s="166">
        <v>2545725</v>
      </c>
      <c r="N25" s="166">
        <v>62353.96</v>
      </c>
      <c r="O25" s="166">
        <v>2608078.96</v>
      </c>
      <c r="P25" s="164" t="s">
        <v>397</v>
      </c>
      <c r="Q25" s="164" t="s">
        <v>325</v>
      </c>
      <c r="R25" s="164" t="s">
        <v>315</v>
      </c>
    </row>
    <row r="26" spans="1:18" ht="13.5" customHeight="1" x14ac:dyDescent="0.25">
      <c r="A26" s="164" t="s">
        <v>377</v>
      </c>
      <c r="B26" s="164" t="s">
        <v>414</v>
      </c>
      <c r="C26" s="164" t="s">
        <v>316</v>
      </c>
      <c r="D26" s="164" t="s">
        <v>317</v>
      </c>
      <c r="E26" s="164" t="s">
        <v>318</v>
      </c>
      <c r="F26" s="164" t="s">
        <v>415</v>
      </c>
      <c r="G26" s="164" t="s">
        <v>416</v>
      </c>
      <c r="H26" s="164" t="s">
        <v>417</v>
      </c>
      <c r="I26" s="164" t="s">
        <v>322</v>
      </c>
      <c r="J26" s="165">
        <v>5000000</v>
      </c>
      <c r="K26" s="171">
        <v>99.852999999999994</v>
      </c>
      <c r="L26" s="164" t="s">
        <v>337</v>
      </c>
      <c r="M26" s="166">
        <v>4992650</v>
      </c>
      <c r="N26" s="166">
        <v>77611.11</v>
      </c>
      <c r="O26" s="166">
        <v>5070261.1100000003</v>
      </c>
      <c r="P26" s="164" t="s">
        <v>397</v>
      </c>
      <c r="Q26" s="164" t="s">
        <v>325</v>
      </c>
      <c r="R26" s="164" t="s">
        <v>315</v>
      </c>
    </row>
    <row r="27" spans="1:18" ht="13.5" customHeight="1" x14ac:dyDescent="0.25">
      <c r="A27" s="164" t="s">
        <v>377</v>
      </c>
      <c r="B27" s="164" t="s">
        <v>418</v>
      </c>
      <c r="C27" s="164" t="s">
        <v>316</v>
      </c>
      <c r="D27" s="164" t="s">
        <v>317</v>
      </c>
      <c r="E27" s="164" t="s">
        <v>318</v>
      </c>
      <c r="F27" s="164" t="s">
        <v>415</v>
      </c>
      <c r="G27" s="164" t="s">
        <v>419</v>
      </c>
      <c r="H27" s="164" t="s">
        <v>420</v>
      </c>
      <c r="I27" s="164" t="s">
        <v>342</v>
      </c>
      <c r="J27" s="165">
        <v>4300000</v>
      </c>
      <c r="K27" s="167">
        <v>92.703125</v>
      </c>
      <c r="L27" s="164" t="s">
        <v>337</v>
      </c>
      <c r="M27" s="166">
        <v>3986234.38</v>
      </c>
      <c r="N27" s="166">
        <v>36585.64</v>
      </c>
      <c r="O27" s="166">
        <v>4022820.02</v>
      </c>
      <c r="P27" s="164" t="s">
        <v>370</v>
      </c>
      <c r="Q27" s="164" t="s">
        <v>325</v>
      </c>
      <c r="R27" s="164" t="s">
        <v>315</v>
      </c>
    </row>
    <row r="28" spans="1:18" ht="13.5" customHeight="1" x14ac:dyDescent="0.25">
      <c r="A28" s="164" t="s">
        <v>377</v>
      </c>
      <c r="B28" s="164" t="s">
        <v>421</v>
      </c>
      <c r="C28" s="164" t="s">
        <v>316</v>
      </c>
      <c r="D28" s="164" t="s">
        <v>317</v>
      </c>
      <c r="E28" s="164" t="s">
        <v>318</v>
      </c>
      <c r="F28" s="164" t="s">
        <v>422</v>
      </c>
      <c r="G28" s="164" t="s">
        <v>423</v>
      </c>
      <c r="H28" s="164" t="s">
        <v>424</v>
      </c>
      <c r="I28" s="164" t="s">
        <v>322</v>
      </c>
      <c r="J28" s="165">
        <v>8000000</v>
      </c>
      <c r="K28" s="171">
        <v>104.068</v>
      </c>
      <c r="L28" s="164" t="s">
        <v>337</v>
      </c>
      <c r="M28" s="166">
        <v>8325440</v>
      </c>
      <c r="N28" s="166">
        <v>119066.67</v>
      </c>
      <c r="O28" s="166" t="s">
        <v>315</v>
      </c>
      <c r="P28" s="164" t="s">
        <v>397</v>
      </c>
      <c r="Q28" s="164" t="s">
        <v>325</v>
      </c>
      <c r="R28" s="164" t="s">
        <v>315</v>
      </c>
    </row>
    <row r="29" spans="1:18" ht="13.5" customHeight="1" x14ac:dyDescent="0.25">
      <c r="A29" s="164" t="s">
        <v>377</v>
      </c>
      <c r="B29" s="164" t="s">
        <v>425</v>
      </c>
      <c r="C29" s="164" t="s">
        <v>316</v>
      </c>
      <c r="D29" s="164" t="s">
        <v>317</v>
      </c>
      <c r="E29" s="164" t="s">
        <v>318</v>
      </c>
      <c r="F29" s="164" t="s">
        <v>422</v>
      </c>
      <c r="G29" s="164" t="s">
        <v>423</v>
      </c>
      <c r="H29" s="164" t="s">
        <v>424</v>
      </c>
      <c r="I29" s="164" t="s">
        <v>322</v>
      </c>
      <c r="J29" s="165">
        <v>3000000</v>
      </c>
      <c r="K29" s="171">
        <v>103.70099999999999</v>
      </c>
      <c r="L29" s="164" t="s">
        <v>337</v>
      </c>
      <c r="M29" s="166">
        <v>3111030</v>
      </c>
      <c r="N29" s="166">
        <v>44650</v>
      </c>
      <c r="O29" s="166" t="s">
        <v>315</v>
      </c>
      <c r="P29" s="164" t="s">
        <v>397</v>
      </c>
      <c r="Q29" s="164" t="s">
        <v>325</v>
      </c>
      <c r="R29" s="164" t="s">
        <v>315</v>
      </c>
    </row>
    <row r="30" spans="1:18" ht="13.5" customHeight="1" x14ac:dyDescent="0.25">
      <c r="A30" s="164" t="s">
        <v>377</v>
      </c>
      <c r="B30" s="164" t="s">
        <v>426</v>
      </c>
      <c r="C30" s="164" t="s">
        <v>316</v>
      </c>
      <c r="D30" s="164" t="s">
        <v>317</v>
      </c>
      <c r="E30" s="164" t="s">
        <v>318</v>
      </c>
      <c r="F30" s="164" t="s">
        <v>422</v>
      </c>
      <c r="G30" s="164" t="s">
        <v>427</v>
      </c>
      <c r="H30" s="164" t="s">
        <v>400</v>
      </c>
      <c r="I30" s="164" t="s">
        <v>342</v>
      </c>
      <c r="J30" s="165">
        <v>6980000</v>
      </c>
      <c r="K30" s="170">
        <v>92.71484375</v>
      </c>
      <c r="L30" s="164" t="s">
        <v>337</v>
      </c>
      <c r="M30" s="166">
        <v>6471496.0899999999</v>
      </c>
      <c r="N30" s="166">
        <v>59387.85</v>
      </c>
      <c r="O30" s="166" t="s">
        <v>315</v>
      </c>
      <c r="P30" s="164" t="s">
        <v>370</v>
      </c>
      <c r="Q30" s="164" t="s">
        <v>325</v>
      </c>
      <c r="R30" s="164" t="s">
        <v>315</v>
      </c>
    </row>
    <row r="31" spans="1:18" ht="13.5" customHeight="1" x14ac:dyDescent="0.25">
      <c r="A31" s="164" t="s">
        <v>377</v>
      </c>
      <c r="B31" s="164" t="s">
        <v>428</v>
      </c>
      <c r="C31" s="164" t="s">
        <v>316</v>
      </c>
      <c r="D31" s="164" t="s">
        <v>317</v>
      </c>
      <c r="E31" s="164" t="s">
        <v>318</v>
      </c>
      <c r="F31" s="164" t="s">
        <v>422</v>
      </c>
      <c r="G31" s="164" t="s">
        <v>427</v>
      </c>
      <c r="H31" s="164" t="s">
        <v>400</v>
      </c>
      <c r="I31" s="164" t="s">
        <v>342</v>
      </c>
      <c r="J31" s="165">
        <v>2610000</v>
      </c>
      <c r="K31" s="170">
        <v>92.66796875</v>
      </c>
      <c r="L31" s="164" t="s">
        <v>337</v>
      </c>
      <c r="M31" s="166">
        <v>2418633.98</v>
      </c>
      <c r="N31" s="166">
        <v>22206.63</v>
      </c>
      <c r="O31" s="166" t="s">
        <v>315</v>
      </c>
      <c r="P31" s="164" t="s">
        <v>370</v>
      </c>
      <c r="Q31" s="164" t="s">
        <v>325</v>
      </c>
      <c r="R31" s="164" t="s">
        <v>315</v>
      </c>
    </row>
    <row r="32" spans="1:18" ht="13.5" customHeight="1" x14ac:dyDescent="0.25">
      <c r="A32" s="164" t="s">
        <v>377</v>
      </c>
      <c r="B32" s="164" t="s">
        <v>429</v>
      </c>
      <c r="C32" s="164" t="s">
        <v>316</v>
      </c>
      <c r="D32" s="164" t="s">
        <v>317</v>
      </c>
      <c r="E32" s="164" t="s">
        <v>388</v>
      </c>
      <c r="F32" s="164" t="s">
        <v>430</v>
      </c>
      <c r="G32" s="164" t="s">
        <v>431</v>
      </c>
      <c r="H32" s="164" t="s">
        <v>432</v>
      </c>
      <c r="I32" s="164" t="s">
        <v>322</v>
      </c>
      <c r="J32" s="165">
        <v>50000000</v>
      </c>
      <c r="K32" s="165">
        <v>137</v>
      </c>
      <c r="L32" s="164" t="s">
        <v>353</v>
      </c>
      <c r="M32" s="166">
        <v>68273045.370000005</v>
      </c>
      <c r="N32" s="166">
        <v>226954.63</v>
      </c>
      <c r="O32" s="166" t="s">
        <v>315</v>
      </c>
      <c r="P32" s="164" t="s">
        <v>397</v>
      </c>
      <c r="Q32" s="164" t="s">
        <v>325</v>
      </c>
      <c r="R32" s="164" t="s">
        <v>315</v>
      </c>
    </row>
    <row r="33" spans="1:18" ht="13.5" customHeight="1" x14ac:dyDescent="0.25">
      <c r="A33" s="164" t="s">
        <v>377</v>
      </c>
      <c r="B33" s="164" t="s">
        <v>433</v>
      </c>
      <c r="C33" s="164" t="s">
        <v>316</v>
      </c>
      <c r="D33" s="164" t="s">
        <v>317</v>
      </c>
      <c r="E33" s="164" t="s">
        <v>318</v>
      </c>
      <c r="F33" s="164" t="s">
        <v>434</v>
      </c>
      <c r="G33" s="164" t="s">
        <v>435</v>
      </c>
      <c r="H33" s="164" t="s">
        <v>436</v>
      </c>
      <c r="I33" s="164" t="s">
        <v>342</v>
      </c>
      <c r="J33" s="165">
        <v>10800000</v>
      </c>
      <c r="K33" s="165">
        <v>100.2</v>
      </c>
      <c r="L33" s="164" t="s">
        <v>386</v>
      </c>
      <c r="M33" s="166">
        <v>10821600</v>
      </c>
      <c r="N33" s="166">
        <v>532.6</v>
      </c>
      <c r="O33" s="166">
        <v>10822132.6</v>
      </c>
      <c r="P33" s="164" t="s">
        <v>397</v>
      </c>
      <c r="Q33" s="164" t="s">
        <v>325</v>
      </c>
      <c r="R33" s="164" t="s">
        <v>315</v>
      </c>
    </row>
    <row r="34" spans="1:18" ht="13.5" customHeight="1" x14ac:dyDescent="0.25">
      <c r="A34" s="164" t="s">
        <v>377</v>
      </c>
      <c r="B34" s="164" t="s">
        <v>437</v>
      </c>
      <c r="C34" s="164" t="s">
        <v>316</v>
      </c>
      <c r="D34" s="164" t="s">
        <v>317</v>
      </c>
      <c r="E34" s="164" t="s">
        <v>318</v>
      </c>
      <c r="F34" s="164" t="s">
        <v>438</v>
      </c>
      <c r="G34" s="164" t="s">
        <v>439</v>
      </c>
      <c r="H34" s="164" t="s">
        <v>440</v>
      </c>
      <c r="I34" s="164" t="s">
        <v>322</v>
      </c>
      <c r="J34" s="165">
        <v>26000000</v>
      </c>
      <c r="K34" s="168">
        <v>99.03125</v>
      </c>
      <c r="L34" s="164" t="s">
        <v>337</v>
      </c>
      <c r="M34" s="166">
        <v>25748125</v>
      </c>
      <c r="N34" s="166">
        <v>39502.76</v>
      </c>
      <c r="O34" s="166">
        <v>25787627.760000002</v>
      </c>
      <c r="P34" s="164" t="s">
        <v>370</v>
      </c>
      <c r="Q34" s="164" t="s">
        <v>325</v>
      </c>
      <c r="R34" s="164" t="s">
        <v>315</v>
      </c>
    </row>
    <row r="35" spans="1:18" ht="13.5" customHeight="1" x14ac:dyDescent="0.25">
      <c r="A35" s="164" t="s">
        <v>377</v>
      </c>
      <c r="B35" s="164" t="s">
        <v>441</v>
      </c>
      <c r="C35" s="164" t="s">
        <v>316</v>
      </c>
      <c r="D35" s="164" t="s">
        <v>317</v>
      </c>
      <c r="E35" s="164" t="s">
        <v>318</v>
      </c>
      <c r="F35" s="164" t="s">
        <v>438</v>
      </c>
      <c r="G35" s="164" t="s">
        <v>439</v>
      </c>
      <c r="H35" s="164" t="s">
        <v>440</v>
      </c>
      <c r="I35" s="164" t="s">
        <v>322</v>
      </c>
      <c r="J35" s="165">
        <v>26000000</v>
      </c>
      <c r="K35" s="168">
        <v>99.03125</v>
      </c>
      <c r="L35" s="164" t="s">
        <v>337</v>
      </c>
      <c r="M35" s="166">
        <v>25748125</v>
      </c>
      <c r="N35" s="166">
        <v>39502.76</v>
      </c>
      <c r="O35" s="166">
        <v>25787627.760000002</v>
      </c>
      <c r="P35" s="164" t="s">
        <v>370</v>
      </c>
      <c r="Q35" s="164" t="s">
        <v>325</v>
      </c>
      <c r="R35" s="164" t="s">
        <v>315</v>
      </c>
    </row>
    <row r="36" spans="1:18" ht="13.5" customHeight="1" x14ac:dyDescent="0.25">
      <c r="A36" s="164" t="s">
        <v>377</v>
      </c>
      <c r="B36" s="164" t="s">
        <v>442</v>
      </c>
      <c r="C36" s="164" t="s">
        <v>316</v>
      </c>
      <c r="D36" s="164" t="s">
        <v>317</v>
      </c>
      <c r="E36" s="164" t="s">
        <v>318</v>
      </c>
      <c r="F36" s="164" t="s">
        <v>438</v>
      </c>
      <c r="G36" s="164" t="s">
        <v>439</v>
      </c>
      <c r="H36" s="164" t="s">
        <v>440</v>
      </c>
      <c r="I36" s="164" t="s">
        <v>322</v>
      </c>
      <c r="J36" s="165">
        <v>26000000</v>
      </c>
      <c r="K36" s="172">
        <v>99.0625</v>
      </c>
      <c r="L36" s="164" t="s">
        <v>337</v>
      </c>
      <c r="M36" s="166">
        <v>25756250</v>
      </c>
      <c r="N36" s="166">
        <v>39502.76</v>
      </c>
      <c r="O36" s="166">
        <v>25795752.760000002</v>
      </c>
      <c r="P36" s="164" t="s">
        <v>370</v>
      </c>
      <c r="Q36" s="164" t="s">
        <v>325</v>
      </c>
      <c r="R36" s="164" t="s">
        <v>315</v>
      </c>
    </row>
    <row r="37" spans="1:18" ht="13.5" customHeight="1" x14ac:dyDescent="0.25">
      <c r="A37" s="164" t="s">
        <v>377</v>
      </c>
      <c r="B37" s="164" t="s">
        <v>443</v>
      </c>
      <c r="C37" s="164" t="s">
        <v>316</v>
      </c>
      <c r="D37" s="164" t="s">
        <v>317</v>
      </c>
      <c r="E37" s="164" t="s">
        <v>318</v>
      </c>
      <c r="F37" s="164" t="s">
        <v>438</v>
      </c>
      <c r="G37" s="164" t="s">
        <v>444</v>
      </c>
      <c r="H37" s="164" t="s">
        <v>445</v>
      </c>
      <c r="I37" s="164" t="s">
        <v>322</v>
      </c>
      <c r="J37" s="165">
        <v>50000000</v>
      </c>
      <c r="K37" s="170">
        <v>99.616931159999993</v>
      </c>
      <c r="L37" s="164" t="s">
        <v>337</v>
      </c>
      <c r="M37" s="166">
        <v>49808465.579999998</v>
      </c>
      <c r="N37" s="166">
        <v>62154.7</v>
      </c>
      <c r="O37" s="166">
        <v>49870620.280000001</v>
      </c>
      <c r="P37" s="164" t="s">
        <v>370</v>
      </c>
      <c r="Q37" s="164" t="s">
        <v>325</v>
      </c>
      <c r="R37" s="164" t="s">
        <v>315</v>
      </c>
    </row>
    <row r="38" spans="1:18" ht="13.5" customHeight="1" x14ac:dyDescent="0.25">
      <c r="A38" s="164" t="s">
        <v>377</v>
      </c>
      <c r="B38" s="164" t="s">
        <v>446</v>
      </c>
      <c r="C38" s="164" t="s">
        <v>316</v>
      </c>
      <c r="D38" s="164" t="s">
        <v>317</v>
      </c>
      <c r="E38" s="164" t="s">
        <v>318</v>
      </c>
      <c r="F38" s="164" t="s">
        <v>438</v>
      </c>
      <c r="G38" s="164" t="s">
        <v>444</v>
      </c>
      <c r="H38" s="164" t="s">
        <v>445</v>
      </c>
      <c r="I38" s="164" t="s">
        <v>322</v>
      </c>
      <c r="J38" s="165">
        <v>50000000</v>
      </c>
      <c r="K38" s="170">
        <v>99.616931159999993</v>
      </c>
      <c r="L38" s="164" t="s">
        <v>337</v>
      </c>
      <c r="M38" s="166">
        <v>49808465.579999998</v>
      </c>
      <c r="N38" s="166">
        <v>62154.7</v>
      </c>
      <c r="O38" s="166">
        <v>49870620.280000001</v>
      </c>
      <c r="P38" s="164" t="s">
        <v>370</v>
      </c>
      <c r="Q38" s="164" t="s">
        <v>325</v>
      </c>
      <c r="R38" s="164" t="s">
        <v>315</v>
      </c>
    </row>
    <row r="39" spans="1:18" ht="13.5" customHeight="1" x14ac:dyDescent="0.25">
      <c r="A39" s="164" t="s">
        <v>377</v>
      </c>
      <c r="B39" s="164" t="s">
        <v>447</v>
      </c>
      <c r="C39" s="164" t="s">
        <v>316</v>
      </c>
      <c r="D39" s="164" t="s">
        <v>317</v>
      </c>
      <c r="E39" s="164" t="s">
        <v>318</v>
      </c>
      <c r="F39" s="164" t="s">
        <v>438</v>
      </c>
      <c r="G39" s="164" t="s">
        <v>444</v>
      </c>
      <c r="H39" s="164" t="s">
        <v>445</v>
      </c>
      <c r="I39" s="164" t="s">
        <v>322</v>
      </c>
      <c r="J39" s="165">
        <v>50000000</v>
      </c>
      <c r="K39" s="170">
        <v>99.610189410000004</v>
      </c>
      <c r="L39" s="164" t="s">
        <v>337</v>
      </c>
      <c r="M39" s="166">
        <v>49805094.700000003</v>
      </c>
      <c r="N39" s="166">
        <v>62154.7</v>
      </c>
      <c r="O39" s="166">
        <v>49867249.399999999</v>
      </c>
      <c r="P39" s="164" t="s">
        <v>370</v>
      </c>
      <c r="Q39" s="164" t="s">
        <v>325</v>
      </c>
      <c r="R39" s="164" t="s">
        <v>315</v>
      </c>
    </row>
    <row r="40" spans="1:18" ht="13.5" customHeight="1" x14ac:dyDescent="0.25">
      <c r="A40" s="164" t="s">
        <v>377</v>
      </c>
      <c r="B40" s="164" t="s">
        <v>448</v>
      </c>
      <c r="C40" s="164" t="s">
        <v>316</v>
      </c>
      <c r="D40" s="164" t="s">
        <v>317</v>
      </c>
      <c r="E40" s="164" t="s">
        <v>318</v>
      </c>
      <c r="F40" s="164" t="s">
        <v>438</v>
      </c>
      <c r="G40" s="164" t="s">
        <v>449</v>
      </c>
      <c r="H40" s="164" t="s">
        <v>450</v>
      </c>
      <c r="I40" s="164" t="s">
        <v>342</v>
      </c>
      <c r="J40" s="165">
        <v>50000000</v>
      </c>
      <c r="K40" s="167">
        <v>99.765625</v>
      </c>
      <c r="L40" s="164" t="s">
        <v>337</v>
      </c>
      <c r="M40" s="166">
        <v>49882812.5</v>
      </c>
      <c r="N40" s="166">
        <v>26154.89</v>
      </c>
      <c r="O40" s="166">
        <v>49908967.390000001</v>
      </c>
      <c r="P40" s="164" t="s">
        <v>370</v>
      </c>
      <c r="Q40" s="164" t="s">
        <v>325</v>
      </c>
      <c r="R40" s="164" t="s">
        <v>315</v>
      </c>
    </row>
    <row r="41" spans="1:18" ht="13.5" customHeight="1" x14ac:dyDescent="0.25">
      <c r="A41" s="164" t="s">
        <v>377</v>
      </c>
      <c r="B41" s="164" t="s">
        <v>451</v>
      </c>
      <c r="C41" s="164" t="s">
        <v>316</v>
      </c>
      <c r="D41" s="164" t="s">
        <v>317</v>
      </c>
      <c r="E41" s="164" t="s">
        <v>318</v>
      </c>
      <c r="F41" s="164" t="s">
        <v>438</v>
      </c>
      <c r="G41" s="164" t="s">
        <v>449</v>
      </c>
      <c r="H41" s="164" t="s">
        <v>450</v>
      </c>
      <c r="I41" s="164" t="s">
        <v>342</v>
      </c>
      <c r="J41" s="165">
        <v>50000000</v>
      </c>
      <c r="K41" s="167">
        <v>99.765625</v>
      </c>
      <c r="L41" s="164" t="s">
        <v>337</v>
      </c>
      <c r="M41" s="166">
        <v>49882812.5</v>
      </c>
      <c r="N41" s="166">
        <v>26154.89</v>
      </c>
      <c r="O41" s="166">
        <v>49908967.390000001</v>
      </c>
      <c r="P41" s="164" t="s">
        <v>370</v>
      </c>
      <c r="Q41" s="164" t="s">
        <v>325</v>
      </c>
      <c r="R41" s="164" t="s">
        <v>315</v>
      </c>
    </row>
    <row r="42" spans="1:18" ht="13.5" customHeight="1" x14ac:dyDescent="0.25">
      <c r="A42" s="164" t="s">
        <v>377</v>
      </c>
      <c r="B42" s="164" t="s">
        <v>452</v>
      </c>
      <c r="C42" s="164" t="s">
        <v>316</v>
      </c>
      <c r="D42" s="164" t="s">
        <v>317</v>
      </c>
      <c r="E42" s="164" t="s">
        <v>318</v>
      </c>
      <c r="F42" s="164" t="s">
        <v>438</v>
      </c>
      <c r="G42" s="164" t="s">
        <v>449</v>
      </c>
      <c r="H42" s="164" t="s">
        <v>450</v>
      </c>
      <c r="I42" s="164" t="s">
        <v>342</v>
      </c>
      <c r="J42" s="165">
        <v>50000000</v>
      </c>
      <c r="K42" s="168">
        <v>99.78125</v>
      </c>
      <c r="L42" s="164" t="s">
        <v>337</v>
      </c>
      <c r="M42" s="166">
        <v>49890625</v>
      </c>
      <c r="N42" s="166">
        <v>26154.89</v>
      </c>
      <c r="O42" s="166">
        <v>49916779.890000001</v>
      </c>
      <c r="P42" s="164" t="s">
        <v>370</v>
      </c>
      <c r="Q42" s="164" t="s">
        <v>325</v>
      </c>
      <c r="R42" s="164" t="s">
        <v>315</v>
      </c>
    </row>
    <row r="43" spans="1:18" ht="13.5" customHeight="1" x14ac:dyDescent="0.25">
      <c r="A43" s="164" t="s">
        <v>377</v>
      </c>
      <c r="B43" s="164" t="s">
        <v>453</v>
      </c>
      <c r="C43" s="164" t="s">
        <v>316</v>
      </c>
      <c r="D43" s="164" t="s">
        <v>317</v>
      </c>
      <c r="E43" s="164" t="s">
        <v>318</v>
      </c>
      <c r="F43" s="164" t="s">
        <v>356</v>
      </c>
      <c r="G43" s="164" t="s">
        <v>454</v>
      </c>
      <c r="H43" s="164" t="s">
        <v>455</v>
      </c>
      <c r="I43" s="164" t="s">
        <v>342</v>
      </c>
      <c r="J43" s="165">
        <v>100000000</v>
      </c>
      <c r="K43" s="169">
        <v>97.1953125</v>
      </c>
      <c r="L43" s="164" t="s">
        <v>337</v>
      </c>
      <c r="M43" s="166">
        <v>97195312.5</v>
      </c>
      <c r="N43" s="166">
        <v>813873.63</v>
      </c>
      <c r="O43" s="166" t="s">
        <v>315</v>
      </c>
      <c r="P43" s="164" t="s">
        <v>370</v>
      </c>
      <c r="Q43" s="164" t="s">
        <v>325</v>
      </c>
      <c r="R43" s="164" t="s">
        <v>315</v>
      </c>
    </row>
    <row r="44" spans="1:18" ht="13.5" customHeight="1" x14ac:dyDescent="0.25">
      <c r="A44" s="164" t="s">
        <v>377</v>
      </c>
      <c r="B44" s="164" t="s">
        <v>456</v>
      </c>
      <c r="C44" s="164" t="s">
        <v>316</v>
      </c>
      <c r="D44" s="164" t="s">
        <v>317</v>
      </c>
      <c r="E44" s="164" t="s">
        <v>318</v>
      </c>
      <c r="F44" s="164" t="s">
        <v>363</v>
      </c>
      <c r="G44" s="164" t="s">
        <v>457</v>
      </c>
      <c r="H44" s="164" t="s">
        <v>458</v>
      </c>
      <c r="I44" s="164" t="s">
        <v>342</v>
      </c>
      <c r="J44" s="165">
        <v>5000000</v>
      </c>
      <c r="K44" s="171">
        <v>96.837999999999994</v>
      </c>
      <c r="L44" s="164" t="s">
        <v>337</v>
      </c>
      <c r="M44" s="166">
        <v>4841900</v>
      </c>
      <c r="N44" s="166">
        <v>2916.67</v>
      </c>
      <c r="O44" s="166">
        <v>4844816.67</v>
      </c>
      <c r="P44" s="164" t="s">
        <v>397</v>
      </c>
      <c r="Q44" s="164" t="s">
        <v>325</v>
      </c>
      <c r="R44" s="164" t="s">
        <v>315</v>
      </c>
    </row>
    <row r="45" spans="1:18" ht="13.5" customHeight="1" x14ac:dyDescent="0.25">
      <c r="A45" s="164" t="s">
        <v>377</v>
      </c>
      <c r="B45" s="164" t="s">
        <v>459</v>
      </c>
      <c r="C45" s="164" t="s">
        <v>316</v>
      </c>
      <c r="D45" s="164" t="s">
        <v>317</v>
      </c>
      <c r="E45" s="164" t="s">
        <v>318</v>
      </c>
      <c r="F45" s="164" t="s">
        <v>363</v>
      </c>
      <c r="G45" s="164" t="s">
        <v>460</v>
      </c>
      <c r="H45" s="164" t="s">
        <v>376</v>
      </c>
      <c r="I45" s="164" t="s">
        <v>322</v>
      </c>
      <c r="J45" s="165">
        <v>4300000</v>
      </c>
      <c r="K45" s="171">
        <v>98.875</v>
      </c>
      <c r="L45" s="164" t="s">
        <v>337</v>
      </c>
      <c r="M45" s="166">
        <v>4251625</v>
      </c>
      <c r="N45" s="166">
        <v>6533.15</v>
      </c>
      <c r="O45" s="166">
        <v>4258158.1500000004</v>
      </c>
      <c r="P45" s="164" t="s">
        <v>370</v>
      </c>
      <c r="Q45" s="164" t="s">
        <v>325</v>
      </c>
      <c r="R45" s="164" t="s">
        <v>315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cols>
    <col min="1" max="2" width="8.28515625" customWidth="1"/>
    <col min="3" max="3" width="7.140625" customWidth="1"/>
    <col min="4" max="4" width="11.7109375" bestFit="1" customWidth="1"/>
    <col min="5" max="5" width="6.42578125" customWidth="1"/>
    <col min="6" max="6" width="8.28515625" customWidth="1"/>
    <col min="7" max="7" width="6.85546875" customWidth="1"/>
    <col min="8" max="8" width="17.7109375" customWidth="1"/>
    <col min="9" max="9" width="10" bestFit="1" customWidth="1"/>
    <col min="10" max="10" width="11.5703125" customWidth="1"/>
    <col min="11" max="11" width="11.28515625" customWidth="1"/>
    <col min="12" max="12" width="5" customWidth="1"/>
    <col min="13" max="13" width="10.140625" customWidth="1"/>
    <col min="14" max="14" width="4.42578125" customWidth="1"/>
    <col min="15" max="15" width="12.85546875" bestFit="1" customWidth="1"/>
    <col min="16" max="16" width="11.28515625" customWidth="1"/>
    <col min="17" max="17" width="11.28515625" bestFit="1" customWidth="1"/>
    <col min="18" max="18" width="8.28515625" customWidth="1"/>
    <col min="19" max="19" width="21" bestFit="1" customWidth="1"/>
    <col min="20" max="20" width="10.42578125" customWidth="1"/>
    <col min="21" max="21" width="6.5703125" bestFit="1" customWidth="1"/>
    <col min="22" max="22" width="10.140625" customWidth="1"/>
    <col min="23" max="23" width="8" customWidth="1"/>
    <col min="24" max="24" width="11.5703125" bestFit="1" customWidth="1"/>
    <col min="25" max="25" width="13.5703125" bestFit="1" customWidth="1"/>
    <col min="26" max="26" width="13.7109375" bestFit="1" customWidth="1"/>
    <col min="27" max="27" width="11.140625" bestFit="1" customWidth="1"/>
    <col min="28" max="28" width="4.7109375" customWidth="1"/>
    <col min="29" max="29" width="18.42578125" bestFit="1" customWidth="1"/>
    <col min="30" max="30" width="9.28515625" bestFit="1" customWidth="1"/>
    <col min="31" max="31" width="10.42578125" customWidth="1"/>
    <col min="32" max="32" width="8.85546875" customWidth="1"/>
  </cols>
  <sheetData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38"/>
  <sheetViews>
    <sheetView workbookViewId="0">
      <selection activeCell="N2" sqref="N2"/>
    </sheetView>
  </sheetViews>
  <sheetFormatPr defaultRowHeight="15" x14ac:dyDescent="0.25"/>
  <cols>
    <col min="1" max="1" width="2.7109375" customWidth="1"/>
    <col min="2" max="2" width="75" bestFit="1" customWidth="1"/>
    <col min="3" max="3" width="11.5703125" customWidth="1"/>
    <col min="4" max="4" width="11.42578125" customWidth="1"/>
    <col min="5" max="5" width="10.85546875" customWidth="1"/>
    <col min="6" max="6" width="4.140625" customWidth="1"/>
    <col min="7" max="7" width="11.28515625" customWidth="1"/>
    <col min="8" max="8" width="11.140625" customWidth="1"/>
    <col min="9" max="9" width="10.7109375" customWidth="1"/>
    <col min="10" max="10" width="3.7109375" customWidth="1"/>
    <col min="11" max="11" width="11.28515625" bestFit="1" customWidth="1"/>
    <col min="12" max="13" width="10" bestFit="1" customWidth="1"/>
    <col min="14" max="14" width="11.28515625" bestFit="1" customWidth="1"/>
    <col min="15" max="16" width="10" bestFit="1" customWidth="1"/>
  </cols>
  <sheetData>
    <row r="1" spans="1:16" ht="15.75" thickBot="1" x14ac:dyDescent="0.3">
      <c r="A1" s="115"/>
      <c r="B1" s="116"/>
      <c r="C1" s="116" t="s">
        <v>73</v>
      </c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7"/>
    </row>
    <row r="2" spans="1:16" ht="15.75" thickBot="1" x14ac:dyDescent="0.3">
      <c r="A2" s="114"/>
      <c r="B2" s="120" t="s">
        <v>74</v>
      </c>
      <c r="C2" s="145"/>
      <c r="D2" s="146">
        <v>43153</v>
      </c>
      <c r="E2" s="147"/>
      <c r="F2" s="114"/>
      <c r="G2" s="145"/>
      <c r="H2" s="146">
        <v>43154</v>
      </c>
      <c r="I2" s="147"/>
      <c r="J2" s="114"/>
      <c r="K2" s="148"/>
      <c r="L2" s="149" t="s">
        <v>75</v>
      </c>
      <c r="M2" s="150"/>
      <c r="N2" s="148"/>
      <c r="O2" s="149" t="s">
        <v>76</v>
      </c>
      <c r="P2" s="150"/>
    </row>
    <row r="3" spans="1:16" ht="15.75" thickBot="1" x14ac:dyDescent="0.3">
      <c r="A3" s="96"/>
      <c r="B3" s="96"/>
      <c r="C3" s="90" t="s">
        <v>77</v>
      </c>
      <c r="D3" s="90" t="s">
        <v>78</v>
      </c>
      <c r="E3" s="122" t="s">
        <v>79</v>
      </c>
      <c r="F3" s="114"/>
      <c r="G3" s="37" t="s">
        <v>77</v>
      </c>
      <c r="H3" s="35" t="s">
        <v>78</v>
      </c>
      <c r="I3" s="35" t="s">
        <v>79</v>
      </c>
      <c r="J3" s="114"/>
      <c r="K3" s="35" t="s">
        <v>77</v>
      </c>
      <c r="L3" s="35" t="s">
        <v>78</v>
      </c>
      <c r="M3" s="36" t="s">
        <v>79</v>
      </c>
      <c r="N3" s="35" t="s">
        <v>77</v>
      </c>
      <c r="O3" s="35" t="s">
        <v>78</v>
      </c>
      <c r="P3" s="35" t="s">
        <v>79</v>
      </c>
    </row>
    <row r="4" spans="1:16" ht="15.75" thickBot="1" x14ac:dyDescent="0.3">
      <c r="A4" s="38">
        <v>1</v>
      </c>
      <c r="B4" s="39" t="s">
        <v>80</v>
      </c>
      <c r="C4" s="126"/>
      <c r="D4" s="118" t="e">
        <v>#DIV/0!</v>
      </c>
      <c r="E4" s="119"/>
      <c r="F4" s="114"/>
      <c r="G4" s="131"/>
      <c r="H4" s="132">
        <v>0.20985691573926868</v>
      </c>
      <c r="I4" s="133"/>
      <c r="J4" s="114"/>
      <c r="K4" s="111"/>
      <c r="L4" s="112" t="e">
        <v>#DIV/0!</v>
      </c>
      <c r="M4" s="113"/>
      <c r="N4" s="111"/>
      <c r="O4" s="112">
        <v>0.89965316771169379</v>
      </c>
      <c r="P4" s="113"/>
    </row>
    <row r="5" spans="1:16" ht="16.5" customHeight="1" thickBot="1" x14ac:dyDescent="0.3">
      <c r="A5" s="38">
        <v>2</v>
      </c>
      <c r="B5" s="41" t="s">
        <v>81</v>
      </c>
      <c r="C5" s="123"/>
      <c r="D5" s="124" t="e">
        <v>#DIV/0!</v>
      </c>
      <c r="E5" s="125"/>
      <c r="F5" s="114"/>
      <c r="G5" s="134"/>
      <c r="H5" s="135">
        <v>0.23613595706618962</v>
      </c>
      <c r="I5" s="136"/>
      <c r="J5" s="114"/>
      <c r="K5" s="111"/>
      <c r="L5" s="112" t="e">
        <v>#DIV/0!</v>
      </c>
      <c r="M5" s="113"/>
      <c r="N5" s="111"/>
      <c r="O5" s="112">
        <v>0.93896045215599955</v>
      </c>
      <c r="P5" s="113"/>
    </row>
    <row r="6" spans="1:16" ht="15.75" thickBot="1" x14ac:dyDescent="0.3">
      <c r="A6" s="38">
        <v>3</v>
      </c>
      <c r="B6" s="41" t="s">
        <v>82</v>
      </c>
      <c r="C6" s="121" t="e">
        <v>#DIV/0!</v>
      </c>
      <c r="D6" s="121" t="e">
        <v>#DIV/0!</v>
      </c>
      <c r="E6" s="121" t="e">
        <v>#DIV/0!</v>
      </c>
      <c r="F6" s="114"/>
      <c r="G6" s="137">
        <v>0.49115044247787609</v>
      </c>
      <c r="H6" s="138">
        <v>0.58181818181818179</v>
      </c>
      <c r="I6" s="138">
        <v>-3.1609195402298854E-2</v>
      </c>
      <c r="J6" s="114"/>
      <c r="K6" s="43" t="e">
        <v>#DIV/0!</v>
      </c>
      <c r="L6" s="43" t="e">
        <v>#DIV/0!</v>
      </c>
      <c r="M6" s="43" t="e">
        <v>#DIV/0!</v>
      </c>
      <c r="N6" s="43">
        <v>0.93567037430513855</v>
      </c>
      <c r="O6" s="43">
        <v>0.89969622741031496</v>
      </c>
      <c r="P6" s="43">
        <v>0.88604291182498762</v>
      </c>
    </row>
    <row r="7" spans="1:16" ht="15.75" thickBot="1" x14ac:dyDescent="0.3">
      <c r="A7" s="38">
        <v>4</v>
      </c>
      <c r="B7" s="44" t="s">
        <v>83</v>
      </c>
      <c r="C7" s="42" t="e">
        <v>#DIV/0!</v>
      </c>
      <c r="D7" s="42" t="e">
        <v>#DIV/0!</v>
      </c>
      <c r="E7" s="42" t="e">
        <v>#DIV/0!</v>
      </c>
      <c r="F7" s="114"/>
      <c r="G7" s="137">
        <v>0.68518518518518523</v>
      </c>
      <c r="H7" s="138">
        <v>0.58181818181818179</v>
      </c>
      <c r="I7" s="138">
        <v>-3.2163742690058478E-2</v>
      </c>
      <c r="J7" s="114"/>
      <c r="K7" s="43" t="e">
        <v>#DIV/0!</v>
      </c>
      <c r="L7" s="43" t="e">
        <v>#DIV/0!</v>
      </c>
      <c r="M7" s="43" t="e">
        <v>#DIV/0!</v>
      </c>
      <c r="N7" s="43">
        <v>0.95251364215789103</v>
      </c>
      <c r="O7" s="43">
        <v>0.9248479694908267</v>
      </c>
      <c r="P7" s="43">
        <v>0.93321946275675316</v>
      </c>
    </row>
    <row r="8" spans="1:16" ht="15.75" thickBot="1" x14ac:dyDescent="0.3">
      <c r="A8" s="38">
        <v>5</v>
      </c>
      <c r="B8" s="44" t="s">
        <v>84</v>
      </c>
      <c r="C8" s="42" t="e">
        <v>#DIV/0!</v>
      </c>
      <c r="D8" s="42" t="e">
        <v>#DIV/0!</v>
      </c>
      <c r="E8" s="42" t="e">
        <v>#DIV/0!</v>
      </c>
      <c r="F8" s="114"/>
      <c r="G8" s="137">
        <v>0.49115044247787609</v>
      </c>
      <c r="H8" s="138">
        <v>0.58181818181818179</v>
      </c>
      <c r="I8" s="138">
        <v>-3.1609195402298854E-2</v>
      </c>
      <c r="J8" s="114"/>
      <c r="K8" s="43" t="e">
        <v>#DIV/0!</v>
      </c>
      <c r="L8" s="43" t="e">
        <v>#DIV/0!</v>
      </c>
      <c r="M8" s="43" t="e">
        <v>#DIV/0!</v>
      </c>
      <c r="N8" s="43">
        <v>0.99356499356499361</v>
      </c>
      <c r="O8" s="43">
        <v>0.99880952380952392</v>
      </c>
      <c r="P8" s="43">
        <v>0.9739490245923047</v>
      </c>
    </row>
    <row r="9" spans="1:16" ht="15.75" thickBot="1" x14ac:dyDescent="0.3">
      <c r="A9" s="97">
        <v>6</v>
      </c>
      <c r="B9" s="44" t="s">
        <v>85</v>
      </c>
      <c r="C9" s="45">
        <v>0</v>
      </c>
      <c r="D9" s="46">
        <v>0</v>
      </c>
      <c r="E9" s="46">
        <v>0</v>
      </c>
      <c r="F9" s="114"/>
      <c r="G9" s="139">
        <v>226</v>
      </c>
      <c r="H9" s="139">
        <v>55</v>
      </c>
      <c r="I9" s="139">
        <v>348</v>
      </c>
      <c r="J9" s="114"/>
      <c r="K9" s="47">
        <v>0</v>
      </c>
      <c r="L9" s="47">
        <v>0</v>
      </c>
      <c r="M9" s="47">
        <v>0</v>
      </c>
      <c r="N9" s="47">
        <v>876</v>
      </c>
      <c r="O9" s="47">
        <v>334</v>
      </c>
      <c r="P9" s="47">
        <v>2637</v>
      </c>
    </row>
    <row r="10" spans="1:16" ht="15.75" thickBot="1" x14ac:dyDescent="0.3">
      <c r="A10" s="98"/>
      <c r="B10" s="103" t="s">
        <v>86</v>
      </c>
      <c r="C10" s="49">
        <v>0</v>
      </c>
      <c r="D10" s="49">
        <v>0</v>
      </c>
      <c r="E10" s="49">
        <v>0</v>
      </c>
      <c r="F10" s="114"/>
      <c r="G10" s="140">
        <v>0</v>
      </c>
      <c r="H10" s="141">
        <v>0</v>
      </c>
      <c r="I10" s="141">
        <v>0</v>
      </c>
      <c r="J10" s="114"/>
      <c r="K10" s="50">
        <v>0</v>
      </c>
      <c r="L10" s="50">
        <v>0</v>
      </c>
      <c r="M10" s="50">
        <v>0</v>
      </c>
      <c r="N10" s="47">
        <v>220</v>
      </c>
      <c r="O10" s="47">
        <v>22</v>
      </c>
      <c r="P10" s="47">
        <v>0</v>
      </c>
    </row>
    <row r="11" spans="1:16" ht="15.75" thickBot="1" x14ac:dyDescent="0.3">
      <c r="A11" s="98"/>
      <c r="B11" s="103" t="s">
        <v>87</v>
      </c>
      <c r="C11" s="49">
        <v>0</v>
      </c>
      <c r="D11" s="49">
        <v>0</v>
      </c>
      <c r="E11" s="49">
        <v>0</v>
      </c>
      <c r="F11" s="114"/>
      <c r="G11" s="140">
        <v>18</v>
      </c>
      <c r="H11" s="141">
        <v>11</v>
      </c>
      <c r="I11" s="141">
        <v>0</v>
      </c>
      <c r="J11" s="114"/>
      <c r="K11" s="50">
        <v>0</v>
      </c>
      <c r="L11" s="50">
        <v>0</v>
      </c>
      <c r="M11" s="50">
        <v>0</v>
      </c>
      <c r="N11" s="47">
        <v>57</v>
      </c>
      <c r="O11" s="47">
        <v>36</v>
      </c>
      <c r="P11" s="47">
        <v>0</v>
      </c>
    </row>
    <row r="12" spans="1:16" ht="15.75" thickBot="1" x14ac:dyDescent="0.3">
      <c r="A12" s="98"/>
      <c r="B12" s="104" t="s">
        <v>88</v>
      </c>
      <c r="C12" s="49">
        <v>0</v>
      </c>
      <c r="D12" s="49">
        <v>0</v>
      </c>
      <c r="E12" s="49">
        <v>0</v>
      </c>
      <c r="F12" s="114"/>
      <c r="G12" s="140">
        <v>93</v>
      </c>
      <c r="H12" s="141">
        <v>11</v>
      </c>
      <c r="I12" s="141">
        <v>0</v>
      </c>
      <c r="J12" s="114"/>
      <c r="K12" s="50">
        <v>0</v>
      </c>
      <c r="L12" s="50">
        <v>0</v>
      </c>
      <c r="M12" s="50">
        <v>0</v>
      </c>
      <c r="N12" s="47">
        <v>592</v>
      </c>
      <c r="O12" s="47">
        <v>0</v>
      </c>
      <c r="P12" s="47">
        <v>0</v>
      </c>
    </row>
    <row r="13" spans="1:16" ht="15.75" thickBot="1" x14ac:dyDescent="0.3">
      <c r="A13" s="98"/>
      <c r="B13" s="103" t="s">
        <v>89</v>
      </c>
      <c r="C13" s="49">
        <v>0</v>
      </c>
      <c r="D13" s="49">
        <v>0</v>
      </c>
      <c r="E13" s="49">
        <v>0</v>
      </c>
      <c r="F13" s="114"/>
      <c r="G13" s="140">
        <v>0</v>
      </c>
      <c r="H13" s="141">
        <v>0</v>
      </c>
      <c r="I13" s="141">
        <v>0</v>
      </c>
      <c r="J13" s="114"/>
      <c r="K13" s="50">
        <v>0</v>
      </c>
      <c r="L13" s="50">
        <v>0</v>
      </c>
      <c r="M13" s="50">
        <v>0</v>
      </c>
      <c r="N13" s="47">
        <v>2</v>
      </c>
      <c r="O13" s="47">
        <v>0</v>
      </c>
      <c r="P13" s="47">
        <v>0</v>
      </c>
    </row>
    <row r="14" spans="1:16" ht="15.75" thickBot="1" x14ac:dyDescent="0.3">
      <c r="A14" s="98"/>
      <c r="B14" s="103" t="s">
        <v>90</v>
      </c>
      <c r="C14" s="49">
        <v>0</v>
      </c>
      <c r="D14" s="49">
        <v>0</v>
      </c>
      <c r="E14" s="49">
        <v>0</v>
      </c>
      <c r="F14" s="114"/>
      <c r="G14" s="140">
        <v>0</v>
      </c>
      <c r="H14" s="141">
        <v>0</v>
      </c>
      <c r="I14" s="141">
        <v>0</v>
      </c>
      <c r="J14" s="114"/>
      <c r="K14" s="50">
        <v>0</v>
      </c>
      <c r="L14" s="50">
        <v>0</v>
      </c>
      <c r="M14" s="50">
        <v>0</v>
      </c>
      <c r="N14" s="47">
        <v>0</v>
      </c>
      <c r="O14" s="47">
        <v>0</v>
      </c>
      <c r="P14" s="47">
        <v>0</v>
      </c>
    </row>
    <row r="15" spans="1:16" ht="15.75" thickBot="1" x14ac:dyDescent="0.3">
      <c r="A15" s="98"/>
      <c r="B15" s="103" t="s">
        <v>91</v>
      </c>
      <c r="C15" s="49">
        <v>0</v>
      </c>
      <c r="D15" s="49">
        <v>0</v>
      </c>
      <c r="E15" s="49">
        <v>0</v>
      </c>
      <c r="F15" s="114"/>
      <c r="G15" s="140">
        <v>0</v>
      </c>
      <c r="H15" s="141">
        <v>0</v>
      </c>
      <c r="I15" s="141">
        <v>0</v>
      </c>
      <c r="J15" s="114"/>
      <c r="K15" s="50">
        <v>0</v>
      </c>
      <c r="L15" s="50">
        <v>0</v>
      </c>
      <c r="M15" s="50">
        <v>0</v>
      </c>
      <c r="N15" s="47">
        <v>0</v>
      </c>
      <c r="O15" s="47">
        <v>0</v>
      </c>
      <c r="P15" s="47">
        <v>0</v>
      </c>
    </row>
    <row r="16" spans="1:16" ht="15.75" thickBot="1" x14ac:dyDescent="0.3">
      <c r="A16" s="98"/>
      <c r="B16" s="103" t="s">
        <v>92</v>
      </c>
      <c r="C16" s="49">
        <v>0</v>
      </c>
      <c r="D16" s="49">
        <v>0</v>
      </c>
      <c r="E16" s="49">
        <v>0</v>
      </c>
      <c r="F16" s="114"/>
      <c r="G16" s="140">
        <v>0</v>
      </c>
      <c r="H16" s="141">
        <v>0</v>
      </c>
      <c r="I16" s="141">
        <v>0</v>
      </c>
      <c r="J16" s="114"/>
      <c r="K16" s="50">
        <v>0</v>
      </c>
      <c r="L16" s="50">
        <v>0</v>
      </c>
      <c r="M16" s="50">
        <v>0</v>
      </c>
      <c r="N16" s="47">
        <v>0</v>
      </c>
      <c r="O16" s="47">
        <v>0</v>
      </c>
      <c r="P16" s="47">
        <v>0</v>
      </c>
    </row>
    <row r="17" spans="1:16" ht="15.75" thickBot="1" x14ac:dyDescent="0.3">
      <c r="A17" s="98"/>
      <c r="B17" s="105" t="s">
        <v>93</v>
      </c>
      <c r="C17" s="49">
        <v>0</v>
      </c>
      <c r="D17" s="49">
        <v>0</v>
      </c>
      <c r="E17" s="49">
        <v>0</v>
      </c>
      <c r="F17" s="114"/>
      <c r="G17" s="140">
        <v>0</v>
      </c>
      <c r="H17" s="141">
        <v>10</v>
      </c>
      <c r="I17" s="141">
        <v>331</v>
      </c>
      <c r="J17" s="114"/>
      <c r="K17" s="50">
        <v>0</v>
      </c>
      <c r="L17" s="50">
        <v>0</v>
      </c>
      <c r="M17" s="50">
        <v>0</v>
      </c>
      <c r="N17" s="47">
        <v>0</v>
      </c>
      <c r="O17" s="47">
        <v>249</v>
      </c>
      <c r="P17" s="47">
        <v>2349</v>
      </c>
    </row>
    <row r="18" spans="1:16" ht="15.75" thickBot="1" x14ac:dyDescent="0.3">
      <c r="A18" s="98"/>
      <c r="B18" s="105" t="s">
        <v>94</v>
      </c>
      <c r="C18" s="49">
        <v>0</v>
      </c>
      <c r="D18" s="49">
        <v>0</v>
      </c>
      <c r="E18" s="49">
        <v>0</v>
      </c>
      <c r="F18" s="114"/>
      <c r="G18" s="140">
        <v>0</v>
      </c>
      <c r="H18" s="141">
        <v>0</v>
      </c>
      <c r="I18" s="141">
        <v>17</v>
      </c>
      <c r="J18" s="114"/>
      <c r="K18" s="50">
        <v>0</v>
      </c>
      <c r="L18" s="50">
        <v>0</v>
      </c>
      <c r="M18" s="50">
        <v>0</v>
      </c>
      <c r="N18" s="47">
        <v>0</v>
      </c>
      <c r="O18" s="47">
        <v>26</v>
      </c>
      <c r="P18" s="47">
        <v>227</v>
      </c>
    </row>
    <row r="19" spans="1:16" ht="15.75" thickBot="1" x14ac:dyDescent="0.3">
      <c r="A19" s="98"/>
      <c r="B19" s="105" t="s">
        <v>95</v>
      </c>
      <c r="C19" s="49">
        <v>0</v>
      </c>
      <c r="D19" s="49">
        <v>0</v>
      </c>
      <c r="E19" s="49">
        <v>0</v>
      </c>
      <c r="F19" s="114"/>
      <c r="G19" s="140">
        <v>0</v>
      </c>
      <c r="H19" s="141">
        <v>0</v>
      </c>
      <c r="I19" s="141">
        <v>0</v>
      </c>
      <c r="J19" s="114"/>
      <c r="K19" s="50">
        <v>0</v>
      </c>
      <c r="L19" s="50">
        <v>0</v>
      </c>
      <c r="M19" s="50">
        <v>0</v>
      </c>
      <c r="N19" s="47">
        <v>0</v>
      </c>
      <c r="O19" s="47">
        <v>0</v>
      </c>
      <c r="P19" s="47">
        <v>61</v>
      </c>
    </row>
    <row r="20" spans="1:16" ht="15.75" thickBot="1" x14ac:dyDescent="0.3">
      <c r="A20" s="98"/>
      <c r="B20" s="105" t="s">
        <v>96</v>
      </c>
      <c r="C20" s="49">
        <v>0</v>
      </c>
      <c r="D20" s="49">
        <v>0</v>
      </c>
      <c r="E20" s="49">
        <v>0</v>
      </c>
      <c r="F20" s="114"/>
      <c r="G20" s="140">
        <v>0</v>
      </c>
      <c r="H20" s="141">
        <v>0</v>
      </c>
      <c r="I20" s="141">
        <v>1</v>
      </c>
      <c r="J20" s="114"/>
      <c r="K20" s="50">
        <v>0</v>
      </c>
      <c r="L20" s="50">
        <v>0</v>
      </c>
      <c r="M20" s="50">
        <v>0</v>
      </c>
      <c r="N20" s="47">
        <v>0</v>
      </c>
      <c r="O20" s="47">
        <v>0</v>
      </c>
      <c r="P20" s="47">
        <v>18</v>
      </c>
    </row>
    <row r="21" spans="1:16" ht="15.75" thickBot="1" x14ac:dyDescent="0.3">
      <c r="A21" s="99"/>
      <c r="B21" s="106" t="s">
        <v>97</v>
      </c>
      <c r="C21" s="49">
        <v>0</v>
      </c>
      <c r="D21" s="49">
        <v>0</v>
      </c>
      <c r="E21" s="49">
        <v>0</v>
      </c>
      <c r="F21" s="114"/>
      <c r="G21" s="140">
        <v>0</v>
      </c>
      <c r="H21" s="141">
        <v>0</v>
      </c>
      <c r="I21" s="141">
        <v>1</v>
      </c>
      <c r="J21" s="114"/>
      <c r="K21" s="50">
        <v>0</v>
      </c>
      <c r="L21" s="50">
        <v>0</v>
      </c>
      <c r="M21" s="50">
        <v>0</v>
      </c>
      <c r="N21" s="47">
        <v>0</v>
      </c>
      <c r="O21" s="47">
        <v>0</v>
      </c>
      <c r="P21" s="47">
        <v>58</v>
      </c>
    </row>
    <row r="22" spans="1:16" ht="15.75" thickBot="1" x14ac:dyDescent="0.3">
      <c r="A22" s="38">
        <v>7</v>
      </c>
      <c r="B22" s="39" t="s">
        <v>98</v>
      </c>
      <c r="C22" s="45">
        <v>0</v>
      </c>
      <c r="D22" s="45">
        <v>0</v>
      </c>
      <c r="E22" s="45">
        <v>0</v>
      </c>
      <c r="F22" s="114"/>
      <c r="G22" s="139">
        <v>115</v>
      </c>
      <c r="H22" s="142">
        <v>23</v>
      </c>
      <c r="I22" s="142">
        <v>359</v>
      </c>
      <c r="J22" s="114"/>
      <c r="K22" s="47">
        <v>0</v>
      </c>
      <c r="L22" s="47">
        <v>0</v>
      </c>
      <c r="M22" s="47">
        <v>0</v>
      </c>
      <c r="N22" s="47">
        <v>5</v>
      </c>
      <c r="O22" s="47">
        <v>1</v>
      </c>
      <c r="P22" s="47">
        <v>61</v>
      </c>
    </row>
    <row r="23" spans="1:16" ht="15.75" thickBot="1" x14ac:dyDescent="0.3">
      <c r="A23" s="97">
        <v>8</v>
      </c>
      <c r="B23" s="44" t="s">
        <v>99</v>
      </c>
      <c r="C23" s="49"/>
      <c r="D23" s="49"/>
      <c r="E23" s="49"/>
      <c r="F23" s="114"/>
      <c r="G23" s="140"/>
      <c r="H23" s="141"/>
      <c r="I23" s="141"/>
      <c r="J23" s="114"/>
      <c r="K23" s="50"/>
      <c r="L23" s="50"/>
      <c r="M23" s="50"/>
      <c r="N23" s="47"/>
      <c r="O23" s="47"/>
      <c r="P23" s="47"/>
    </row>
    <row r="24" spans="1:16" ht="15.75" thickBot="1" x14ac:dyDescent="0.3">
      <c r="A24" s="98"/>
      <c r="B24" s="103" t="s">
        <v>100</v>
      </c>
      <c r="C24" s="49">
        <v>0</v>
      </c>
      <c r="D24" s="49">
        <v>0</v>
      </c>
      <c r="E24" s="49">
        <v>0</v>
      </c>
      <c r="F24" s="114"/>
      <c r="G24" s="140">
        <v>0</v>
      </c>
      <c r="H24" s="141">
        <v>0</v>
      </c>
      <c r="I24" s="141">
        <v>0</v>
      </c>
      <c r="J24" s="114"/>
      <c r="K24" s="50">
        <v>0</v>
      </c>
      <c r="L24" s="50">
        <v>0</v>
      </c>
      <c r="M24" s="50">
        <v>6</v>
      </c>
      <c r="N24" s="47">
        <v>0</v>
      </c>
      <c r="O24" s="47">
        <v>0</v>
      </c>
      <c r="P24" s="47">
        <v>10</v>
      </c>
    </row>
    <row r="25" spans="1:16" ht="15.75" thickBot="1" x14ac:dyDescent="0.3">
      <c r="A25" s="98"/>
      <c r="B25" s="103" t="s">
        <v>101</v>
      </c>
      <c r="C25" s="49">
        <v>0</v>
      </c>
      <c r="D25" s="49">
        <v>0</v>
      </c>
      <c r="E25" s="49">
        <v>0</v>
      </c>
      <c r="F25" s="114"/>
      <c r="G25" s="140">
        <v>0</v>
      </c>
      <c r="H25" s="141">
        <v>0</v>
      </c>
      <c r="I25" s="141">
        <v>0</v>
      </c>
      <c r="J25" s="114"/>
      <c r="K25" s="50">
        <v>0</v>
      </c>
      <c r="L25" s="50">
        <v>0</v>
      </c>
      <c r="M25" s="50">
        <v>5</v>
      </c>
      <c r="N25" s="47">
        <v>0</v>
      </c>
      <c r="O25" s="47">
        <v>0</v>
      </c>
      <c r="P25" s="47">
        <v>9</v>
      </c>
    </row>
    <row r="26" spans="1:16" ht="15.75" thickBot="1" x14ac:dyDescent="0.3">
      <c r="A26" s="99"/>
      <c r="B26" s="107" t="s">
        <v>102</v>
      </c>
      <c r="C26" s="49">
        <v>0</v>
      </c>
      <c r="D26" s="49">
        <v>0</v>
      </c>
      <c r="E26" s="49">
        <v>0</v>
      </c>
      <c r="F26" s="114"/>
      <c r="G26" s="140">
        <v>0</v>
      </c>
      <c r="H26" s="141">
        <v>0</v>
      </c>
      <c r="I26" s="141">
        <v>0</v>
      </c>
      <c r="J26" s="114"/>
      <c r="K26" s="50">
        <v>4</v>
      </c>
      <c r="L26" s="50">
        <v>0</v>
      </c>
      <c r="M26" s="50">
        <v>0</v>
      </c>
      <c r="N26" s="47">
        <v>5</v>
      </c>
      <c r="O26" s="47">
        <v>0</v>
      </c>
      <c r="P26" s="47">
        <v>0</v>
      </c>
    </row>
    <row r="27" spans="1:16" ht="15.75" thickBot="1" x14ac:dyDescent="0.3">
      <c r="A27" s="97">
        <v>9</v>
      </c>
      <c r="B27" s="70" t="s">
        <v>103</v>
      </c>
      <c r="C27" s="45">
        <v>0</v>
      </c>
      <c r="D27" s="45">
        <v>0</v>
      </c>
      <c r="E27" s="45">
        <v>0</v>
      </c>
      <c r="F27" s="114"/>
      <c r="G27" s="139">
        <v>115</v>
      </c>
      <c r="H27" s="142">
        <v>23</v>
      </c>
      <c r="I27" s="142">
        <v>359</v>
      </c>
      <c r="J27" s="114"/>
      <c r="K27" s="50">
        <v>0</v>
      </c>
      <c r="L27" s="50">
        <v>0</v>
      </c>
      <c r="M27" s="50">
        <v>0</v>
      </c>
      <c r="N27" s="47">
        <v>5</v>
      </c>
      <c r="O27" s="47">
        <v>1</v>
      </c>
      <c r="P27" s="47">
        <v>61</v>
      </c>
    </row>
    <row r="28" spans="1:16" ht="15.75" thickBot="1" x14ac:dyDescent="0.3">
      <c r="A28" s="98"/>
      <c r="B28" s="71" t="s">
        <v>104</v>
      </c>
      <c r="C28" s="49">
        <v>0</v>
      </c>
      <c r="D28" s="49">
        <v>0</v>
      </c>
      <c r="E28" s="49">
        <v>0</v>
      </c>
      <c r="F28" s="114"/>
      <c r="G28" s="140">
        <v>64</v>
      </c>
      <c r="H28" s="141">
        <v>0</v>
      </c>
      <c r="I28" s="141">
        <v>6</v>
      </c>
      <c r="J28" s="114"/>
      <c r="K28" s="50">
        <v>0</v>
      </c>
      <c r="L28" s="50">
        <v>0</v>
      </c>
      <c r="M28" s="50">
        <v>0</v>
      </c>
      <c r="N28" s="47">
        <v>0</v>
      </c>
      <c r="O28" s="47">
        <v>0</v>
      </c>
      <c r="P28" s="47">
        <v>29</v>
      </c>
    </row>
    <row r="29" spans="1:16" ht="15.75" thickBot="1" x14ac:dyDescent="0.3">
      <c r="A29" s="99"/>
      <c r="B29" s="71" t="s">
        <v>105</v>
      </c>
      <c r="C29" s="49">
        <v>0</v>
      </c>
      <c r="D29" s="49">
        <v>0</v>
      </c>
      <c r="E29" s="49">
        <v>0</v>
      </c>
      <c r="F29" s="114"/>
      <c r="G29" s="140">
        <v>51</v>
      </c>
      <c r="H29" s="141">
        <v>23</v>
      </c>
      <c r="I29" s="141">
        <v>353</v>
      </c>
      <c r="J29" s="114"/>
      <c r="K29" s="50">
        <v>0</v>
      </c>
      <c r="L29" s="50">
        <v>0</v>
      </c>
      <c r="M29" s="50">
        <v>0</v>
      </c>
      <c r="N29" s="47">
        <v>5</v>
      </c>
      <c r="O29" s="47">
        <v>1</v>
      </c>
      <c r="P29" s="47">
        <v>32</v>
      </c>
    </row>
    <row r="30" spans="1:16" ht="15.75" thickBot="1" x14ac:dyDescent="0.3">
      <c r="A30" s="100">
        <v>10</v>
      </c>
      <c r="B30" s="72" t="s">
        <v>106</v>
      </c>
      <c r="C30" s="49">
        <v>0</v>
      </c>
      <c r="D30" s="49">
        <v>0</v>
      </c>
      <c r="E30" s="45">
        <v>0</v>
      </c>
      <c r="F30" s="114"/>
      <c r="G30" s="140">
        <v>64</v>
      </c>
      <c r="H30" s="141">
        <v>0</v>
      </c>
      <c r="I30" s="142">
        <v>6</v>
      </c>
      <c r="J30" s="114"/>
      <c r="K30" s="50">
        <v>0</v>
      </c>
      <c r="L30" s="50">
        <v>0</v>
      </c>
      <c r="M30" s="50">
        <v>0</v>
      </c>
      <c r="N30" s="47">
        <v>41</v>
      </c>
      <c r="O30" s="47">
        <v>42</v>
      </c>
      <c r="P30" s="47">
        <v>177</v>
      </c>
    </row>
    <row r="31" spans="1:16" ht="15.75" thickBot="1" x14ac:dyDescent="0.3">
      <c r="A31" s="101"/>
      <c r="B31" s="55" t="s">
        <v>107</v>
      </c>
      <c r="C31" s="56" t="e">
        <v>#DIV/0!</v>
      </c>
      <c r="D31" s="56" t="e">
        <v>#DIV/0!</v>
      </c>
      <c r="E31" s="56" t="e">
        <v>#DIV/0!</v>
      </c>
      <c r="F31" s="114"/>
      <c r="G31" s="143">
        <v>0</v>
      </c>
      <c r="H31" s="144" t="e">
        <v>#DIV/0!</v>
      </c>
      <c r="I31" s="144">
        <v>0</v>
      </c>
      <c r="J31" s="114"/>
      <c r="K31" s="57" t="e">
        <v>#DIV/0!</v>
      </c>
      <c r="L31" s="57" t="e">
        <v>#DIV/0!</v>
      </c>
      <c r="M31" s="57" t="e">
        <v>#DIV/0!</v>
      </c>
      <c r="N31" s="43">
        <v>1</v>
      </c>
      <c r="O31" s="43" t="e">
        <v>#DIV/0!</v>
      </c>
      <c r="P31" s="43">
        <v>0.546875</v>
      </c>
    </row>
    <row r="32" spans="1:16" ht="15.75" thickBot="1" x14ac:dyDescent="0.3">
      <c r="A32" s="102"/>
      <c r="B32" s="58" t="s">
        <v>109</v>
      </c>
      <c r="C32" s="56" t="e">
        <v>#DIV/0!</v>
      </c>
      <c r="D32" s="56" t="e">
        <v>#DIV/0!</v>
      </c>
      <c r="E32" s="56" t="e">
        <v>#DIV/0!</v>
      </c>
      <c r="F32" s="114"/>
      <c r="G32" s="143">
        <v>0.7168141592920354</v>
      </c>
      <c r="H32" s="144">
        <v>1</v>
      </c>
      <c r="I32" s="144">
        <v>0.98275862068965514</v>
      </c>
      <c r="J32" s="114"/>
      <c r="K32" s="57" t="e">
        <v>#DIV/0!</v>
      </c>
      <c r="L32" s="57" t="e">
        <v>#DIV/0!</v>
      </c>
      <c r="M32" s="57" t="e">
        <v>#DIV/0!</v>
      </c>
      <c r="N32" s="43">
        <v>1</v>
      </c>
      <c r="O32" s="43">
        <v>1</v>
      </c>
      <c r="P32" s="43">
        <v>0.97534013605442182</v>
      </c>
    </row>
    <row r="33" spans="1:16" ht="15.75" thickBot="1" x14ac:dyDescent="0.3">
      <c r="A33" s="95">
        <v>11</v>
      </c>
      <c r="B33" s="60" t="s">
        <v>110</v>
      </c>
      <c r="C33" s="42" t="e">
        <v>#DIV/0!</v>
      </c>
      <c r="D33" s="42" t="e">
        <v>#DIV/0!</v>
      </c>
      <c r="E33" s="42" t="e">
        <v>#DIV/0!</v>
      </c>
      <c r="F33" s="114"/>
      <c r="G33" s="137">
        <v>7.9646017699115043E-2</v>
      </c>
      <c r="H33" s="138">
        <v>0.2</v>
      </c>
      <c r="I33" s="138">
        <v>4.8850574712643681E-2</v>
      </c>
      <c r="J33" s="114"/>
      <c r="K33" s="57" t="e">
        <v>#DIV/0!</v>
      </c>
      <c r="L33" s="57" t="e">
        <v>#DIV/0!</v>
      </c>
      <c r="M33" s="57" t="e">
        <v>#DIV/0!</v>
      </c>
      <c r="N33" s="43">
        <v>4.8328123177451832E-2</v>
      </c>
      <c r="O33" s="43">
        <v>8.4219858156028365E-2</v>
      </c>
      <c r="P33" s="43">
        <v>9.0241396319591452E-2</v>
      </c>
    </row>
    <row r="34" spans="1:16" ht="15.75" thickBot="1" x14ac:dyDescent="0.3">
      <c r="A34" s="38">
        <v>12</v>
      </c>
      <c r="B34" s="41" t="s">
        <v>111</v>
      </c>
      <c r="C34" s="45">
        <v>0</v>
      </c>
      <c r="D34" s="45">
        <v>0</v>
      </c>
      <c r="E34" s="45">
        <v>0</v>
      </c>
      <c r="F34" s="114"/>
      <c r="G34" s="139">
        <v>0</v>
      </c>
      <c r="H34" s="142">
        <v>0</v>
      </c>
      <c r="I34" s="142">
        <v>0</v>
      </c>
      <c r="J34" s="114"/>
      <c r="K34" s="47">
        <v>0</v>
      </c>
      <c r="L34" s="47">
        <v>0</v>
      </c>
      <c r="M34" s="47">
        <v>0</v>
      </c>
      <c r="N34" s="47">
        <v>0</v>
      </c>
      <c r="O34" s="47">
        <v>0</v>
      </c>
      <c r="P34" s="47">
        <v>0</v>
      </c>
    </row>
    <row r="35" spans="1:16" ht="15.75" thickBot="1" x14ac:dyDescent="0.3">
      <c r="A35" s="61">
        <v>13</v>
      </c>
      <c r="B35" s="62" t="s">
        <v>112</v>
      </c>
      <c r="C35" s="45">
        <v>47</v>
      </c>
      <c r="D35" s="45">
        <v>0</v>
      </c>
      <c r="E35" s="45">
        <v>0</v>
      </c>
      <c r="F35" s="96"/>
      <c r="G35" s="139">
        <v>47</v>
      </c>
      <c r="H35" s="142">
        <v>0</v>
      </c>
      <c r="I35" s="142">
        <v>0</v>
      </c>
      <c r="J35" s="96"/>
      <c r="K35" s="45">
        <v>204</v>
      </c>
      <c r="L35" s="45">
        <v>18</v>
      </c>
      <c r="M35" s="45">
        <v>0</v>
      </c>
      <c r="N35" s="47">
        <v>407</v>
      </c>
      <c r="O35" s="47">
        <v>27</v>
      </c>
      <c r="P35" s="47">
        <v>0</v>
      </c>
    </row>
    <row r="36" spans="1:16" ht="15.75" thickBot="1" x14ac:dyDescent="0.3">
      <c r="A36" s="108"/>
      <c r="B36" s="108"/>
    </row>
    <row r="37" spans="1:16" ht="15.75" thickBot="1" x14ac:dyDescent="0.3">
      <c r="A37" s="108"/>
      <c r="B37" s="109" t="s">
        <v>113</v>
      </c>
    </row>
    <row r="38" spans="1:16" ht="15.75" thickBot="1" x14ac:dyDescent="0.3">
      <c r="A38" s="108"/>
      <c r="B38" s="110" t="s">
        <v>114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N23"/>
  <sheetViews>
    <sheetView workbookViewId="0"/>
  </sheetViews>
  <sheetFormatPr defaultRowHeight="15" x14ac:dyDescent="0.25"/>
  <sheetData>
    <row r="1" spans="1:40" x14ac:dyDescent="0.25">
      <c r="A1" s="173" t="s">
        <v>117</v>
      </c>
      <c r="B1" s="173" t="s">
        <v>115</v>
      </c>
      <c r="C1" s="173" t="s">
        <v>273</v>
      </c>
      <c r="D1" s="173" t="s">
        <v>119</v>
      </c>
      <c r="E1" s="173" t="s">
        <v>118</v>
      </c>
      <c r="F1" s="173" t="s">
        <v>120</v>
      </c>
      <c r="G1" s="173" t="s">
        <v>124</v>
      </c>
      <c r="H1" s="173" t="s">
        <v>131</v>
      </c>
      <c r="I1" s="173" t="s">
        <v>125</v>
      </c>
      <c r="J1" s="173" t="s">
        <v>121</v>
      </c>
      <c r="K1" s="173" t="s">
        <v>122</v>
      </c>
      <c r="L1" s="173" t="s">
        <v>123</v>
      </c>
      <c r="M1" s="173" t="s">
        <v>275</v>
      </c>
      <c r="N1" s="173" t="s">
        <v>276</v>
      </c>
      <c r="O1" s="173" t="s">
        <v>277</v>
      </c>
      <c r="P1" s="173" t="s">
        <v>278</v>
      </c>
      <c r="Q1" s="173" t="s">
        <v>20</v>
      </c>
      <c r="R1" s="173" t="s">
        <v>116</v>
      </c>
      <c r="S1" s="173" t="s">
        <v>279</v>
      </c>
      <c r="T1" s="173" t="s">
        <v>280</v>
      </c>
      <c r="U1" s="173" t="s">
        <v>281</v>
      </c>
      <c r="V1" s="173" t="s">
        <v>21</v>
      </c>
      <c r="W1" s="173" t="s">
        <v>47</v>
      </c>
      <c r="X1" s="173" t="s">
        <v>282</v>
      </c>
      <c r="Y1" s="173" t="s">
        <v>126</v>
      </c>
      <c r="Z1" s="173" t="s">
        <v>283</v>
      </c>
      <c r="AA1" s="173" t="s">
        <v>284</v>
      </c>
      <c r="AB1" s="173" t="s">
        <v>285</v>
      </c>
      <c r="AC1" s="173" t="s">
        <v>286</v>
      </c>
      <c r="AD1" s="173" t="s">
        <v>287</v>
      </c>
      <c r="AE1" s="173" t="s">
        <v>127</v>
      </c>
      <c r="AF1" s="173" t="s">
        <v>288</v>
      </c>
      <c r="AG1" s="173" t="s">
        <v>289</v>
      </c>
      <c r="AH1" s="173" t="s">
        <v>128</v>
      </c>
      <c r="AI1" s="173" t="s">
        <v>290</v>
      </c>
      <c r="AJ1" s="211"/>
      <c r="AK1" s="211"/>
      <c r="AL1" s="211"/>
      <c r="AM1" s="211"/>
      <c r="AN1" s="211"/>
    </row>
    <row r="2" spans="1:40" x14ac:dyDescent="0.25">
      <c r="A2" s="180" t="s">
        <v>461</v>
      </c>
      <c r="B2" s="180" t="s">
        <v>531</v>
      </c>
      <c r="C2" s="181"/>
      <c r="D2" s="180" t="s">
        <v>463</v>
      </c>
      <c r="E2" s="180" t="s">
        <v>506</v>
      </c>
      <c r="F2" s="182">
        <v>43164</v>
      </c>
      <c r="G2" s="182">
        <v>43165</v>
      </c>
      <c r="H2" s="180" t="s">
        <v>507</v>
      </c>
      <c r="I2" s="183" t="s">
        <v>486</v>
      </c>
      <c r="J2" s="180" t="s">
        <v>508</v>
      </c>
      <c r="K2" s="184">
        <v>158700000</v>
      </c>
      <c r="L2" s="184">
        <v>99.90625</v>
      </c>
      <c r="M2" s="184">
        <v>2.7648070224999999</v>
      </c>
      <c r="N2" s="184">
        <v>-158622375</v>
      </c>
      <c r="O2" s="180" t="s">
        <v>337</v>
      </c>
      <c r="P2" s="180" t="s">
        <v>509</v>
      </c>
      <c r="Q2" s="180" t="s">
        <v>532</v>
      </c>
      <c r="R2" s="180" t="s">
        <v>533</v>
      </c>
      <c r="S2" s="181"/>
      <c r="T2" s="181"/>
      <c r="U2" s="181"/>
      <c r="V2" s="181"/>
      <c r="W2" s="180" t="s">
        <v>469</v>
      </c>
      <c r="X2" s="180" t="s">
        <v>511</v>
      </c>
      <c r="Y2" s="180" t="s">
        <v>22</v>
      </c>
      <c r="Z2" s="180"/>
      <c r="AA2" s="181"/>
      <c r="AB2" s="180" t="s">
        <v>512</v>
      </c>
      <c r="AC2" s="181"/>
      <c r="AD2" s="181"/>
      <c r="AE2" s="182">
        <v>43164.443668981483</v>
      </c>
      <c r="AF2" s="182">
        <v>43164.443738425929</v>
      </c>
      <c r="AG2" s="180" t="s">
        <v>473</v>
      </c>
      <c r="AH2" s="181"/>
      <c r="AI2" s="184">
        <v>1</v>
      </c>
    </row>
    <row r="3" spans="1:40" x14ac:dyDescent="0.25">
      <c r="A3" s="180" t="s">
        <v>461</v>
      </c>
      <c r="B3" s="180" t="s">
        <v>818</v>
      </c>
      <c r="C3" s="181"/>
      <c r="D3" s="180" t="s">
        <v>463</v>
      </c>
      <c r="E3" s="180" t="s">
        <v>464</v>
      </c>
      <c r="F3" s="182">
        <v>43164</v>
      </c>
      <c r="G3" s="182">
        <v>43165</v>
      </c>
      <c r="H3" s="180" t="s">
        <v>819</v>
      </c>
      <c r="I3" s="185" t="s">
        <v>466</v>
      </c>
      <c r="J3" s="180" t="s">
        <v>475</v>
      </c>
      <c r="K3" s="184">
        <v>35000000</v>
      </c>
      <c r="L3" s="184">
        <v>99.3046875</v>
      </c>
      <c r="M3" s="184">
        <v>2.8305851257999999</v>
      </c>
      <c r="N3" s="184">
        <v>34807158.580801107</v>
      </c>
      <c r="O3" s="180" t="s">
        <v>337</v>
      </c>
      <c r="P3" s="180" t="s">
        <v>476</v>
      </c>
      <c r="Q3" s="180" t="s">
        <v>532</v>
      </c>
      <c r="R3" s="180" t="s">
        <v>129</v>
      </c>
      <c r="S3" s="180" t="s">
        <v>820</v>
      </c>
      <c r="T3" s="180" t="s">
        <v>132</v>
      </c>
      <c r="U3" s="181"/>
      <c r="V3" s="181"/>
      <c r="W3" s="180" t="s">
        <v>469</v>
      </c>
      <c r="X3" s="180" t="s">
        <v>470</v>
      </c>
      <c r="Y3" s="180" t="s">
        <v>22</v>
      </c>
      <c r="Z3" s="180"/>
      <c r="AA3" s="181"/>
      <c r="AB3" s="180" t="s">
        <v>821</v>
      </c>
      <c r="AC3" s="182">
        <v>43164.415682870371</v>
      </c>
      <c r="AD3" s="180" t="s">
        <v>820</v>
      </c>
      <c r="AE3" s="182">
        <v>43164.411608796298</v>
      </c>
      <c r="AF3" s="182">
        <v>43164.411678240744</v>
      </c>
      <c r="AG3" s="180" t="s">
        <v>822</v>
      </c>
      <c r="AH3" s="181"/>
      <c r="AI3" s="184">
        <v>1</v>
      </c>
    </row>
    <row r="4" spans="1:40" x14ac:dyDescent="0.25">
      <c r="A4" s="180" t="s">
        <v>461</v>
      </c>
      <c r="B4" s="180" t="s">
        <v>1081</v>
      </c>
      <c r="C4" s="181"/>
      <c r="D4" s="180" t="s">
        <v>463</v>
      </c>
      <c r="E4" s="180" t="s">
        <v>506</v>
      </c>
      <c r="F4" s="182">
        <v>43164</v>
      </c>
      <c r="G4" s="182">
        <v>43167</v>
      </c>
      <c r="H4" s="180" t="s">
        <v>1082</v>
      </c>
      <c r="I4" s="183" t="s">
        <v>486</v>
      </c>
      <c r="J4" s="180" t="s">
        <v>1083</v>
      </c>
      <c r="K4" s="184">
        <v>250000000</v>
      </c>
      <c r="L4" s="184">
        <v>99.069777779999995</v>
      </c>
      <c r="M4" s="184">
        <v>1.84</v>
      </c>
      <c r="N4" s="184">
        <v>-247674444.444444</v>
      </c>
      <c r="O4" s="180" t="s">
        <v>337</v>
      </c>
      <c r="P4" s="180" t="s">
        <v>1084</v>
      </c>
      <c r="Q4" s="180" t="s">
        <v>532</v>
      </c>
      <c r="R4" s="180" t="s">
        <v>130</v>
      </c>
      <c r="S4" s="181"/>
      <c r="T4" s="181"/>
      <c r="U4" s="181"/>
      <c r="V4" s="181"/>
      <c r="W4" s="180" t="s">
        <v>469</v>
      </c>
      <c r="X4" s="180" t="s">
        <v>511</v>
      </c>
      <c r="Y4" s="180" t="s">
        <v>532</v>
      </c>
      <c r="Z4" s="180"/>
      <c r="AA4" s="180" t="s">
        <v>1085</v>
      </c>
      <c r="AB4" s="180" t="s">
        <v>1055</v>
      </c>
      <c r="AC4" s="181"/>
      <c r="AD4" s="181"/>
      <c r="AE4" s="182">
        <v>43164.738495370373</v>
      </c>
      <c r="AF4" s="182">
        <v>43164.738553240742</v>
      </c>
      <c r="AG4" s="180" t="s">
        <v>822</v>
      </c>
      <c r="AH4" s="181"/>
      <c r="AI4" s="184">
        <v>1</v>
      </c>
    </row>
    <row r="5" spans="1:40" x14ac:dyDescent="0.25">
      <c r="A5" s="180" t="s">
        <v>461</v>
      </c>
      <c r="B5" s="180" t="s">
        <v>1086</v>
      </c>
      <c r="C5" s="181"/>
      <c r="D5" s="180" t="s">
        <v>463</v>
      </c>
      <c r="E5" s="180" t="s">
        <v>506</v>
      </c>
      <c r="F5" s="182">
        <v>43164</v>
      </c>
      <c r="G5" s="182">
        <v>43167</v>
      </c>
      <c r="H5" s="180" t="s">
        <v>1082</v>
      </c>
      <c r="I5" s="183" t="s">
        <v>486</v>
      </c>
      <c r="J5" s="180" t="s">
        <v>1083</v>
      </c>
      <c r="K5" s="184">
        <v>250000000</v>
      </c>
      <c r="L5" s="184">
        <v>99.069777779999995</v>
      </c>
      <c r="M5" s="184">
        <v>1.84</v>
      </c>
      <c r="N5" s="184">
        <v>-247674444.444444</v>
      </c>
      <c r="O5" s="180" t="s">
        <v>337</v>
      </c>
      <c r="P5" s="180" t="s">
        <v>1084</v>
      </c>
      <c r="Q5" s="180" t="s">
        <v>532</v>
      </c>
      <c r="R5" s="180" t="s">
        <v>130</v>
      </c>
      <c r="S5" s="181"/>
      <c r="T5" s="181"/>
      <c r="U5" s="181"/>
      <c r="V5" s="181"/>
      <c r="W5" s="180" t="s">
        <v>469</v>
      </c>
      <c r="X5" s="180" t="s">
        <v>511</v>
      </c>
      <c r="Y5" s="180" t="s">
        <v>532</v>
      </c>
      <c r="Z5" s="180"/>
      <c r="AA5" s="181"/>
      <c r="AB5" s="180" t="s">
        <v>1055</v>
      </c>
      <c r="AC5" s="181"/>
      <c r="AD5" s="181"/>
      <c r="AE5" s="182">
        <v>43164.741979166669</v>
      </c>
      <c r="AF5" s="182">
        <v>43164.742025462961</v>
      </c>
      <c r="AG5" s="180" t="s">
        <v>822</v>
      </c>
      <c r="AH5" s="181"/>
      <c r="AI5" s="184">
        <v>1</v>
      </c>
    </row>
    <row r="6" spans="1:40" x14ac:dyDescent="0.25">
      <c r="A6" s="180" t="s">
        <v>461</v>
      </c>
      <c r="B6" s="181"/>
      <c r="C6" s="181"/>
      <c r="D6" s="180" t="s">
        <v>463</v>
      </c>
      <c r="E6" s="180" t="s">
        <v>1148</v>
      </c>
      <c r="F6" s="182">
        <v>43164</v>
      </c>
      <c r="G6" s="182">
        <v>43167</v>
      </c>
      <c r="H6" s="180" t="s">
        <v>1322</v>
      </c>
      <c r="I6" s="183" t="s">
        <v>486</v>
      </c>
      <c r="J6" s="180" t="s">
        <v>1083</v>
      </c>
      <c r="K6" s="184">
        <v>200000000</v>
      </c>
      <c r="L6" s="184">
        <v>99.076097219999994</v>
      </c>
      <c r="M6" s="184">
        <v>1.8274999999999999</v>
      </c>
      <c r="N6" s="184">
        <v>-198152194.44</v>
      </c>
      <c r="O6" s="180" t="s">
        <v>337</v>
      </c>
      <c r="P6" s="180" t="s">
        <v>1323</v>
      </c>
      <c r="Q6" s="180" t="s">
        <v>532</v>
      </c>
      <c r="R6" s="180" t="s">
        <v>130</v>
      </c>
      <c r="S6" s="181"/>
      <c r="T6" s="181"/>
      <c r="U6" s="181"/>
      <c r="V6" s="181"/>
      <c r="W6" s="180" t="s">
        <v>469</v>
      </c>
      <c r="X6" s="180" t="s">
        <v>1149</v>
      </c>
      <c r="Y6" s="180" t="s">
        <v>532</v>
      </c>
      <c r="Z6" s="180"/>
      <c r="AA6" s="181"/>
      <c r="AB6" s="180" t="s">
        <v>512</v>
      </c>
      <c r="AC6" s="181"/>
      <c r="AD6" s="181"/>
      <c r="AE6" s="182">
        <v>43164.440601851849</v>
      </c>
      <c r="AF6" s="182">
        <v>43164.440601851849</v>
      </c>
      <c r="AG6" s="181"/>
      <c r="AH6" s="181"/>
      <c r="AI6" s="184">
        <v>1</v>
      </c>
    </row>
    <row r="7" spans="1:40" x14ac:dyDescent="0.25">
      <c r="A7" s="180" t="s">
        <v>461</v>
      </c>
      <c r="B7" s="180" t="s">
        <v>1324</v>
      </c>
      <c r="C7" s="181"/>
      <c r="D7" s="180" t="s">
        <v>463</v>
      </c>
      <c r="E7" s="180" t="s">
        <v>1148</v>
      </c>
      <c r="F7" s="182">
        <v>43164</v>
      </c>
      <c r="G7" s="182">
        <v>43167</v>
      </c>
      <c r="H7" s="180" t="s">
        <v>1322</v>
      </c>
      <c r="I7" s="183" t="s">
        <v>486</v>
      </c>
      <c r="J7" s="180" t="s">
        <v>1083</v>
      </c>
      <c r="K7" s="184">
        <v>200000000</v>
      </c>
      <c r="L7" s="184">
        <v>99.076097000000004</v>
      </c>
      <c r="M7" s="184">
        <v>1.8275004396000001</v>
      </c>
      <c r="N7" s="184">
        <v>-198152194</v>
      </c>
      <c r="O7" s="180" t="s">
        <v>337</v>
      </c>
      <c r="P7" s="180" t="s">
        <v>1084</v>
      </c>
      <c r="Q7" s="180" t="s">
        <v>532</v>
      </c>
      <c r="R7" s="180" t="s">
        <v>130</v>
      </c>
      <c r="S7" s="181"/>
      <c r="T7" s="181"/>
      <c r="U7" s="181"/>
      <c r="V7" s="181"/>
      <c r="W7" s="180" t="s">
        <v>469</v>
      </c>
      <c r="X7" s="180" t="s">
        <v>1149</v>
      </c>
      <c r="Y7" s="180" t="s">
        <v>532</v>
      </c>
      <c r="Z7" s="180"/>
      <c r="AA7" s="181"/>
      <c r="AB7" s="180" t="s">
        <v>1055</v>
      </c>
      <c r="AC7" s="181"/>
      <c r="AD7" s="181"/>
      <c r="AE7" s="182">
        <v>43164.736388888887</v>
      </c>
      <c r="AF7" s="182">
        <v>43164.736701388887</v>
      </c>
      <c r="AG7" s="181"/>
      <c r="AH7" s="181"/>
      <c r="AI7" s="184">
        <v>1</v>
      </c>
    </row>
    <row r="8" spans="1:40" x14ac:dyDescent="0.25">
      <c r="A8" s="180" t="s">
        <v>461</v>
      </c>
      <c r="B8" s="180" t="s">
        <v>1468</v>
      </c>
      <c r="C8" s="181"/>
      <c r="D8" s="180" t="s">
        <v>566</v>
      </c>
      <c r="E8" s="180" t="s">
        <v>846</v>
      </c>
      <c r="F8" s="182">
        <v>43164</v>
      </c>
      <c r="G8" s="182">
        <v>43166</v>
      </c>
      <c r="H8" s="180" t="s">
        <v>1363</v>
      </c>
      <c r="I8" s="183" t="s">
        <v>486</v>
      </c>
      <c r="J8" s="180" t="s">
        <v>1469</v>
      </c>
      <c r="K8" s="184">
        <v>10000000</v>
      </c>
      <c r="L8" s="184">
        <v>100.55</v>
      </c>
      <c r="M8" s="184">
        <v>-0.1074033405</v>
      </c>
      <c r="N8" s="184">
        <v>-10055000</v>
      </c>
      <c r="O8" s="180" t="s">
        <v>386</v>
      </c>
      <c r="P8" s="180" t="s">
        <v>1470</v>
      </c>
      <c r="Q8" s="180" t="s">
        <v>532</v>
      </c>
      <c r="R8" s="180" t="s">
        <v>130</v>
      </c>
      <c r="S8" s="181"/>
      <c r="T8" s="181"/>
      <c r="U8" s="181"/>
      <c r="V8" s="181"/>
      <c r="W8" s="180" t="s">
        <v>575</v>
      </c>
      <c r="X8" s="180" t="s">
        <v>851</v>
      </c>
      <c r="Y8" s="180" t="s">
        <v>532</v>
      </c>
      <c r="Z8" s="180"/>
      <c r="AA8" s="181"/>
      <c r="AB8" s="180" t="s">
        <v>1471</v>
      </c>
      <c r="AC8" s="181"/>
      <c r="AD8" s="181"/>
      <c r="AE8" s="182">
        <v>43164.386817129627</v>
      </c>
      <c r="AF8" s="182">
        <v>43164.386874999997</v>
      </c>
      <c r="AG8" s="181"/>
      <c r="AH8" s="181"/>
      <c r="AI8" s="184">
        <v>1</v>
      </c>
    </row>
    <row r="9" spans="1:40" x14ac:dyDescent="0.25">
      <c r="A9" s="180" t="s">
        <v>484</v>
      </c>
      <c r="B9" s="180" t="s">
        <v>1615</v>
      </c>
      <c r="C9" s="181"/>
      <c r="D9" s="180" t="s">
        <v>478</v>
      </c>
      <c r="E9" s="180" t="s">
        <v>582</v>
      </c>
      <c r="F9" s="182">
        <v>43164</v>
      </c>
      <c r="G9" s="182">
        <v>43166</v>
      </c>
      <c r="H9" s="180" t="s">
        <v>29</v>
      </c>
      <c r="I9" s="185" t="s">
        <v>466</v>
      </c>
      <c r="J9" s="180" t="s">
        <v>1616</v>
      </c>
      <c r="K9" s="184">
        <v>9100000</v>
      </c>
      <c r="L9" s="184">
        <v>100.01600000000001</v>
      </c>
      <c r="M9" s="184">
        <v>0.78775203599999999</v>
      </c>
      <c r="N9" s="184">
        <v>9102878.9215000011</v>
      </c>
      <c r="O9" s="180" t="s">
        <v>337</v>
      </c>
      <c r="P9" s="180" t="s">
        <v>1617</v>
      </c>
      <c r="Q9" s="180" t="s">
        <v>532</v>
      </c>
      <c r="R9" s="180" t="s">
        <v>130</v>
      </c>
      <c r="S9" s="181"/>
      <c r="T9" s="181"/>
      <c r="U9" s="181"/>
      <c r="V9" s="181"/>
      <c r="W9" s="180" t="s">
        <v>489</v>
      </c>
      <c r="X9" s="180" t="s">
        <v>586</v>
      </c>
      <c r="Y9" s="180" t="s">
        <v>532</v>
      </c>
      <c r="Z9" s="180"/>
      <c r="AA9" s="181"/>
      <c r="AB9" s="180" t="s">
        <v>512</v>
      </c>
      <c r="AC9" s="181"/>
      <c r="AD9" s="181"/>
      <c r="AE9" s="182">
        <v>43164.361493055556</v>
      </c>
      <c r="AF9" s="182">
        <v>43164.361539351848</v>
      </c>
      <c r="AG9" s="181"/>
      <c r="AH9" s="181"/>
      <c r="AI9" s="184">
        <v>1</v>
      </c>
    </row>
    <row r="10" spans="1:40" x14ac:dyDescent="0.25">
      <c r="A10" s="180" t="s">
        <v>484</v>
      </c>
      <c r="B10" s="180" t="s">
        <v>1618</v>
      </c>
      <c r="C10" s="181"/>
      <c r="D10" s="180" t="s">
        <v>478</v>
      </c>
      <c r="E10" s="180" t="s">
        <v>582</v>
      </c>
      <c r="F10" s="182">
        <v>43164</v>
      </c>
      <c r="G10" s="182">
        <v>43166</v>
      </c>
      <c r="H10" s="180" t="s">
        <v>29</v>
      </c>
      <c r="I10" s="183" t="s">
        <v>486</v>
      </c>
      <c r="J10" s="180" t="s">
        <v>1616</v>
      </c>
      <c r="K10" s="184">
        <v>9100000</v>
      </c>
      <c r="L10" s="184">
        <v>100.01600000000001</v>
      </c>
      <c r="M10" s="184">
        <v>0.78775203599999999</v>
      </c>
      <c r="N10" s="184">
        <v>-9102878.9215000011</v>
      </c>
      <c r="O10" s="180" t="s">
        <v>337</v>
      </c>
      <c r="P10" s="180" t="s">
        <v>1617</v>
      </c>
      <c r="Q10" s="180" t="s">
        <v>532</v>
      </c>
      <c r="R10" s="180" t="s">
        <v>130</v>
      </c>
      <c r="S10" s="181"/>
      <c r="T10" s="181"/>
      <c r="U10" s="181"/>
      <c r="V10" s="181"/>
      <c r="W10" s="180" t="s">
        <v>489</v>
      </c>
      <c r="X10" s="180" t="s">
        <v>586</v>
      </c>
      <c r="Y10" s="180" t="s">
        <v>532</v>
      </c>
      <c r="Z10" s="180"/>
      <c r="AA10" s="181"/>
      <c r="AB10" s="180" t="s">
        <v>512</v>
      </c>
      <c r="AC10" s="181"/>
      <c r="AD10" s="181"/>
      <c r="AE10" s="182">
        <v>43164.361666666664</v>
      </c>
      <c r="AF10" s="182">
        <v>43164.361747685187</v>
      </c>
      <c r="AG10" s="181"/>
      <c r="AH10" s="181"/>
      <c r="AI10" s="184">
        <v>1</v>
      </c>
    </row>
    <row r="11" spans="1:40" x14ac:dyDescent="0.25">
      <c r="A11" s="180" t="s">
        <v>484</v>
      </c>
      <c r="B11" s="180" t="s">
        <v>1621</v>
      </c>
      <c r="C11" s="181"/>
      <c r="D11" s="180" t="s">
        <v>478</v>
      </c>
      <c r="E11" s="180" t="s">
        <v>558</v>
      </c>
      <c r="F11" s="182">
        <v>43164</v>
      </c>
      <c r="G11" s="182">
        <v>43166</v>
      </c>
      <c r="H11" s="180" t="s">
        <v>29</v>
      </c>
      <c r="I11" s="183" t="s">
        <v>486</v>
      </c>
      <c r="J11" s="180" t="s">
        <v>1616</v>
      </c>
      <c r="K11" s="184">
        <v>18200000</v>
      </c>
      <c r="L11" s="184">
        <v>100.01600000000001</v>
      </c>
      <c r="M11" s="184">
        <v>0.78775203599999999</v>
      </c>
      <c r="N11" s="184">
        <v>-18205757.843000002</v>
      </c>
      <c r="O11" s="180" t="s">
        <v>337</v>
      </c>
      <c r="P11" s="180" t="s">
        <v>1617</v>
      </c>
      <c r="Q11" s="180" t="s">
        <v>532</v>
      </c>
      <c r="R11" s="180" t="s">
        <v>130</v>
      </c>
      <c r="S11" s="181"/>
      <c r="T11" s="181"/>
      <c r="U11" s="181"/>
      <c r="V11" s="181"/>
      <c r="W11" s="180" t="s">
        <v>489</v>
      </c>
      <c r="X11" s="180" t="s">
        <v>560</v>
      </c>
      <c r="Y11" s="180" t="s">
        <v>532</v>
      </c>
      <c r="Z11" s="180"/>
      <c r="AA11" s="181"/>
      <c r="AB11" s="180" t="s">
        <v>512</v>
      </c>
      <c r="AC11" s="181"/>
      <c r="AD11" s="181"/>
      <c r="AE11" s="182">
        <v>43164.362997685188</v>
      </c>
      <c r="AF11" s="182">
        <v>43164.363055555557</v>
      </c>
      <c r="AG11" s="181"/>
      <c r="AH11" s="181"/>
      <c r="AI11" s="184">
        <v>1</v>
      </c>
    </row>
    <row r="12" spans="1:40" x14ac:dyDescent="0.25">
      <c r="A12" s="180" t="s">
        <v>484</v>
      </c>
      <c r="B12" s="180" t="s">
        <v>1622</v>
      </c>
      <c r="C12" s="181"/>
      <c r="D12" s="180" t="s">
        <v>478</v>
      </c>
      <c r="E12" s="180" t="s">
        <v>558</v>
      </c>
      <c r="F12" s="182">
        <v>43164</v>
      </c>
      <c r="G12" s="182">
        <v>43166</v>
      </c>
      <c r="H12" s="180" t="s">
        <v>29</v>
      </c>
      <c r="I12" s="185" t="s">
        <v>466</v>
      </c>
      <c r="J12" s="180" t="s">
        <v>1616</v>
      </c>
      <c r="K12" s="184">
        <v>18200000</v>
      </c>
      <c r="L12" s="184">
        <v>100.01600000000001</v>
      </c>
      <c r="M12" s="184">
        <v>0.78775203599999999</v>
      </c>
      <c r="N12" s="184">
        <v>18205757.843000002</v>
      </c>
      <c r="O12" s="180" t="s">
        <v>337</v>
      </c>
      <c r="P12" s="180" t="s">
        <v>1617</v>
      </c>
      <c r="Q12" s="180" t="s">
        <v>532</v>
      </c>
      <c r="R12" s="180" t="s">
        <v>130</v>
      </c>
      <c r="S12" s="181"/>
      <c r="T12" s="181"/>
      <c r="U12" s="181"/>
      <c r="V12" s="181"/>
      <c r="W12" s="180" t="s">
        <v>489</v>
      </c>
      <c r="X12" s="180" t="s">
        <v>560</v>
      </c>
      <c r="Y12" s="180" t="s">
        <v>532</v>
      </c>
      <c r="Z12" s="180"/>
      <c r="AA12" s="181"/>
      <c r="AB12" s="180" t="s">
        <v>512</v>
      </c>
      <c r="AC12" s="181"/>
      <c r="AD12" s="181"/>
      <c r="AE12" s="182">
        <v>43164.363113425927</v>
      </c>
      <c r="AF12" s="182">
        <v>43164.363171296296</v>
      </c>
      <c r="AG12" s="181"/>
      <c r="AH12" s="181"/>
      <c r="AI12" s="184">
        <v>1</v>
      </c>
    </row>
    <row r="13" spans="1:40" x14ac:dyDescent="0.25">
      <c r="A13" s="180" t="s">
        <v>484</v>
      </c>
      <c r="B13" s="180" t="s">
        <v>1762</v>
      </c>
      <c r="C13" s="181"/>
      <c r="D13" s="180" t="s">
        <v>478</v>
      </c>
      <c r="E13" s="180" t="s">
        <v>491</v>
      </c>
      <c r="F13" s="182">
        <v>43164</v>
      </c>
      <c r="G13" s="182">
        <v>43164</v>
      </c>
      <c r="H13" s="180" t="s">
        <v>29</v>
      </c>
      <c r="I13" s="185" t="s">
        <v>466</v>
      </c>
      <c r="J13" s="180" t="s">
        <v>1053</v>
      </c>
      <c r="K13" s="184">
        <v>16407000</v>
      </c>
      <c r="L13" s="184">
        <v>100</v>
      </c>
      <c r="M13" s="184">
        <v>2.6952023767000002</v>
      </c>
      <c r="N13" s="184">
        <v>16564081.5295</v>
      </c>
      <c r="O13" s="180" t="s">
        <v>337</v>
      </c>
      <c r="P13" s="180" t="s">
        <v>1054</v>
      </c>
      <c r="Q13" s="180" t="s">
        <v>532</v>
      </c>
      <c r="R13" s="180" t="s">
        <v>130</v>
      </c>
      <c r="S13" s="181"/>
      <c r="T13" s="181"/>
      <c r="U13" s="181"/>
      <c r="V13" s="181"/>
      <c r="W13" s="180" t="s">
        <v>489</v>
      </c>
      <c r="X13" s="180" t="s">
        <v>494</v>
      </c>
      <c r="Y13" s="180" t="s">
        <v>532</v>
      </c>
      <c r="Z13" s="180"/>
      <c r="AA13" s="181"/>
      <c r="AB13" s="180" t="s">
        <v>1763</v>
      </c>
      <c r="AC13" s="181"/>
      <c r="AD13" s="181"/>
      <c r="AE13" s="182">
        <v>43164.542974537035</v>
      </c>
      <c r="AF13" s="182">
        <v>43164.543032407404</v>
      </c>
      <c r="AG13" s="181"/>
      <c r="AH13" s="181"/>
      <c r="AI13" s="184">
        <v>1</v>
      </c>
    </row>
    <row r="14" spans="1:40" x14ac:dyDescent="0.25">
      <c r="A14" s="180" t="s">
        <v>484</v>
      </c>
      <c r="B14" s="180" t="s">
        <v>1764</v>
      </c>
      <c r="C14" s="181"/>
      <c r="D14" s="180" t="s">
        <v>478</v>
      </c>
      <c r="E14" s="180" t="s">
        <v>491</v>
      </c>
      <c r="F14" s="182">
        <v>43164</v>
      </c>
      <c r="G14" s="182">
        <v>43166</v>
      </c>
      <c r="H14" s="180" t="s">
        <v>29</v>
      </c>
      <c r="I14" s="183" t="s">
        <v>486</v>
      </c>
      <c r="J14" s="180" t="s">
        <v>1765</v>
      </c>
      <c r="K14" s="184">
        <v>9100000</v>
      </c>
      <c r="L14" s="184">
        <v>100.04</v>
      </c>
      <c r="M14" s="184">
        <v>0.78224273300000002</v>
      </c>
      <c r="N14" s="184">
        <v>-9105062.9215000011</v>
      </c>
      <c r="O14" s="180" t="s">
        <v>337</v>
      </c>
      <c r="P14" s="180" t="s">
        <v>1766</v>
      </c>
      <c r="Q14" s="180" t="s">
        <v>532</v>
      </c>
      <c r="R14" s="180" t="s">
        <v>130</v>
      </c>
      <c r="S14" s="181"/>
      <c r="T14" s="181"/>
      <c r="U14" s="181"/>
      <c r="V14" s="181"/>
      <c r="W14" s="180" t="s">
        <v>1583</v>
      </c>
      <c r="X14" s="180" t="s">
        <v>494</v>
      </c>
      <c r="Y14" s="180" t="s">
        <v>532</v>
      </c>
      <c r="Z14" s="180"/>
      <c r="AA14" s="181"/>
      <c r="AB14" s="180" t="s">
        <v>512</v>
      </c>
      <c r="AC14" s="181"/>
      <c r="AD14" s="181"/>
      <c r="AE14" s="182">
        <v>43164.648379629631</v>
      </c>
      <c r="AF14" s="182">
        <v>43164.648460648146</v>
      </c>
      <c r="AG14" s="181"/>
      <c r="AH14" s="181"/>
      <c r="AI14" s="184">
        <v>1</v>
      </c>
    </row>
    <row r="15" spans="1:40" x14ac:dyDescent="0.25">
      <c r="A15" s="180" t="s">
        <v>484</v>
      </c>
      <c r="B15" s="180" t="s">
        <v>1767</v>
      </c>
      <c r="C15" s="181"/>
      <c r="D15" s="180" t="s">
        <v>478</v>
      </c>
      <c r="E15" s="180" t="s">
        <v>491</v>
      </c>
      <c r="F15" s="182">
        <v>43164</v>
      </c>
      <c r="G15" s="182">
        <v>43166</v>
      </c>
      <c r="H15" s="180" t="s">
        <v>29</v>
      </c>
      <c r="I15" s="185" t="s">
        <v>466</v>
      </c>
      <c r="J15" s="180" t="s">
        <v>1765</v>
      </c>
      <c r="K15" s="184">
        <v>9100000</v>
      </c>
      <c r="L15" s="184">
        <v>100.04</v>
      </c>
      <c r="M15" s="184">
        <v>0.78224273300000002</v>
      </c>
      <c r="N15" s="184">
        <v>9105062.9215000011</v>
      </c>
      <c r="O15" s="180" t="s">
        <v>337</v>
      </c>
      <c r="P15" s="180" t="s">
        <v>1766</v>
      </c>
      <c r="Q15" s="180" t="s">
        <v>532</v>
      </c>
      <c r="R15" s="180" t="s">
        <v>130</v>
      </c>
      <c r="S15" s="181"/>
      <c r="T15" s="181"/>
      <c r="U15" s="181"/>
      <c r="V15" s="181"/>
      <c r="W15" s="180" t="s">
        <v>1583</v>
      </c>
      <c r="X15" s="180" t="s">
        <v>494</v>
      </c>
      <c r="Y15" s="180" t="s">
        <v>532</v>
      </c>
      <c r="Z15" s="180"/>
      <c r="AA15" s="181"/>
      <c r="AB15" s="180" t="s">
        <v>512</v>
      </c>
      <c r="AC15" s="181"/>
      <c r="AD15" s="181"/>
      <c r="AE15" s="182">
        <v>43164.648379629631</v>
      </c>
      <c r="AF15" s="182">
        <v>43164.648472222223</v>
      </c>
      <c r="AG15" s="181"/>
      <c r="AH15" s="181"/>
      <c r="AI15" s="184">
        <v>1</v>
      </c>
    </row>
    <row r="16" spans="1:40" x14ac:dyDescent="0.25">
      <c r="A16" s="180" t="s">
        <v>461</v>
      </c>
      <c r="B16" s="180" t="s">
        <v>1782</v>
      </c>
      <c r="C16" s="181"/>
      <c r="D16" s="180" t="s">
        <v>463</v>
      </c>
      <c r="E16" s="180" t="s">
        <v>553</v>
      </c>
      <c r="F16" s="182">
        <v>43164</v>
      </c>
      <c r="G16" s="182">
        <v>43165</v>
      </c>
      <c r="H16" s="180" t="s">
        <v>30</v>
      </c>
      <c r="I16" s="185" t="s">
        <v>466</v>
      </c>
      <c r="J16" s="180" t="s">
        <v>754</v>
      </c>
      <c r="K16" s="184">
        <v>300000000</v>
      </c>
      <c r="L16" s="184">
        <v>94.7109375</v>
      </c>
      <c r="M16" s="184">
        <v>2.8789748283000001</v>
      </c>
      <c r="N16" s="184">
        <v>286202563.88121545</v>
      </c>
      <c r="O16" s="180" t="s">
        <v>337</v>
      </c>
      <c r="P16" s="180" t="s">
        <v>755</v>
      </c>
      <c r="Q16" s="180" t="s">
        <v>532</v>
      </c>
      <c r="R16" s="180" t="s">
        <v>130</v>
      </c>
      <c r="S16" s="181"/>
      <c r="T16" s="181"/>
      <c r="U16" s="181"/>
      <c r="V16" s="181"/>
      <c r="W16" s="180" t="s">
        <v>469</v>
      </c>
      <c r="X16" s="180" t="s">
        <v>555</v>
      </c>
      <c r="Y16" s="180" t="s">
        <v>532</v>
      </c>
      <c r="Z16" s="180"/>
      <c r="AA16" s="181"/>
      <c r="AB16" s="180" t="s">
        <v>512</v>
      </c>
      <c r="AC16" s="181"/>
      <c r="AD16" s="181"/>
      <c r="AE16" s="182">
        <v>43164.505694444444</v>
      </c>
      <c r="AF16" s="182">
        <v>43164.505798611113</v>
      </c>
      <c r="AG16" s="181"/>
      <c r="AH16" s="181"/>
      <c r="AI16" s="184">
        <v>1</v>
      </c>
    </row>
    <row r="17" spans="1:35" x14ac:dyDescent="0.25">
      <c r="A17" s="180" t="s">
        <v>461</v>
      </c>
      <c r="B17" s="180" t="s">
        <v>1783</v>
      </c>
      <c r="C17" s="181"/>
      <c r="D17" s="180" t="s">
        <v>463</v>
      </c>
      <c r="E17" s="180" t="s">
        <v>553</v>
      </c>
      <c r="F17" s="182">
        <v>43164</v>
      </c>
      <c r="G17" s="182">
        <v>43165</v>
      </c>
      <c r="H17" s="180" t="s">
        <v>30</v>
      </c>
      <c r="I17" s="183" t="s">
        <v>486</v>
      </c>
      <c r="J17" s="180" t="s">
        <v>754</v>
      </c>
      <c r="K17" s="184">
        <v>300000000</v>
      </c>
      <c r="L17" s="184">
        <v>94.7109375</v>
      </c>
      <c r="M17" s="184">
        <v>2.8789748283000001</v>
      </c>
      <c r="N17" s="184">
        <v>-286202563.88121545</v>
      </c>
      <c r="O17" s="180" t="s">
        <v>337</v>
      </c>
      <c r="P17" s="180" t="s">
        <v>755</v>
      </c>
      <c r="Q17" s="180" t="s">
        <v>532</v>
      </c>
      <c r="R17" s="180" t="s">
        <v>130</v>
      </c>
      <c r="S17" s="181"/>
      <c r="T17" s="181"/>
      <c r="U17" s="181"/>
      <c r="V17" s="181"/>
      <c r="W17" s="180" t="s">
        <v>469</v>
      </c>
      <c r="X17" s="180" t="s">
        <v>555</v>
      </c>
      <c r="Y17" s="180" t="s">
        <v>532</v>
      </c>
      <c r="Z17" s="180"/>
      <c r="AA17" s="181"/>
      <c r="AB17" s="180" t="s">
        <v>512</v>
      </c>
      <c r="AC17" s="181"/>
      <c r="AD17" s="181"/>
      <c r="AE17" s="182">
        <v>43164.505694444444</v>
      </c>
      <c r="AF17" s="182">
        <v>43164.50582175926</v>
      </c>
      <c r="AG17" s="181"/>
      <c r="AH17" s="181"/>
      <c r="AI17" s="184">
        <v>1</v>
      </c>
    </row>
    <row r="18" spans="1:35" x14ac:dyDescent="0.25">
      <c r="A18" s="180" t="s">
        <v>461</v>
      </c>
      <c r="B18" s="180" t="s">
        <v>1784</v>
      </c>
      <c r="C18" s="181"/>
      <c r="D18" s="180" t="s">
        <v>463</v>
      </c>
      <c r="E18" s="180" t="s">
        <v>553</v>
      </c>
      <c r="F18" s="182">
        <v>43164</v>
      </c>
      <c r="G18" s="182">
        <v>43165</v>
      </c>
      <c r="H18" s="180" t="s">
        <v>30</v>
      </c>
      <c r="I18" s="185" t="s">
        <v>466</v>
      </c>
      <c r="J18" s="180" t="s">
        <v>754</v>
      </c>
      <c r="K18" s="184">
        <v>368300000</v>
      </c>
      <c r="L18" s="184">
        <v>94.7109375</v>
      </c>
      <c r="M18" s="184">
        <v>2.8789748283000001</v>
      </c>
      <c r="N18" s="184">
        <v>351361347.59150553</v>
      </c>
      <c r="O18" s="180" t="s">
        <v>337</v>
      </c>
      <c r="P18" s="180" t="s">
        <v>755</v>
      </c>
      <c r="Q18" s="180" t="s">
        <v>532</v>
      </c>
      <c r="R18" s="180" t="s">
        <v>130</v>
      </c>
      <c r="S18" s="181"/>
      <c r="T18" s="181"/>
      <c r="U18" s="181"/>
      <c r="V18" s="181"/>
      <c r="W18" s="180" t="s">
        <v>469</v>
      </c>
      <c r="X18" s="180" t="s">
        <v>555</v>
      </c>
      <c r="Y18" s="180" t="s">
        <v>532</v>
      </c>
      <c r="Z18" s="180"/>
      <c r="AA18" s="181"/>
      <c r="AB18" s="180" t="s">
        <v>512</v>
      </c>
      <c r="AC18" s="181"/>
      <c r="AD18" s="181"/>
      <c r="AE18" s="182">
        <v>43164.505694444444</v>
      </c>
      <c r="AF18" s="182">
        <v>43164.505833333336</v>
      </c>
      <c r="AG18" s="181"/>
      <c r="AH18" s="181"/>
      <c r="AI18" s="184">
        <v>1</v>
      </c>
    </row>
    <row r="19" spans="1:35" x14ac:dyDescent="0.25">
      <c r="A19" s="180" t="s">
        <v>461</v>
      </c>
      <c r="B19" s="180" t="s">
        <v>1785</v>
      </c>
      <c r="C19" s="181"/>
      <c r="D19" s="180" t="s">
        <v>463</v>
      </c>
      <c r="E19" s="180" t="s">
        <v>553</v>
      </c>
      <c r="F19" s="182">
        <v>43164</v>
      </c>
      <c r="G19" s="182">
        <v>43165</v>
      </c>
      <c r="H19" s="180" t="s">
        <v>30</v>
      </c>
      <c r="I19" s="183" t="s">
        <v>486</v>
      </c>
      <c r="J19" s="180" t="s">
        <v>754</v>
      </c>
      <c r="K19" s="184">
        <v>368300000</v>
      </c>
      <c r="L19" s="184">
        <v>94.7109375</v>
      </c>
      <c r="M19" s="184">
        <v>2.8789748283000001</v>
      </c>
      <c r="N19" s="184">
        <v>-351361347.59150553</v>
      </c>
      <c r="O19" s="180" t="s">
        <v>337</v>
      </c>
      <c r="P19" s="180" t="s">
        <v>755</v>
      </c>
      <c r="Q19" s="180" t="s">
        <v>532</v>
      </c>
      <c r="R19" s="180" t="s">
        <v>130</v>
      </c>
      <c r="S19" s="181"/>
      <c r="T19" s="181"/>
      <c r="U19" s="181"/>
      <c r="V19" s="181"/>
      <c r="W19" s="180" t="s">
        <v>469</v>
      </c>
      <c r="X19" s="180" t="s">
        <v>555</v>
      </c>
      <c r="Y19" s="180" t="s">
        <v>532</v>
      </c>
      <c r="Z19" s="180"/>
      <c r="AA19" s="181"/>
      <c r="AB19" s="180" t="s">
        <v>512</v>
      </c>
      <c r="AC19" s="181"/>
      <c r="AD19" s="181"/>
      <c r="AE19" s="182">
        <v>43164.505694444444</v>
      </c>
      <c r="AF19" s="182">
        <v>43164.506018518521</v>
      </c>
      <c r="AG19" s="181"/>
      <c r="AH19" s="181"/>
      <c r="AI19" s="184">
        <v>1</v>
      </c>
    </row>
    <row r="20" spans="1:35" x14ac:dyDescent="0.25">
      <c r="A20" s="180" t="s">
        <v>461</v>
      </c>
      <c r="B20" s="180" t="s">
        <v>1829</v>
      </c>
      <c r="C20" s="181"/>
      <c r="D20" s="180" t="s">
        <v>497</v>
      </c>
      <c r="E20" s="180" t="s">
        <v>1818</v>
      </c>
      <c r="F20" s="182">
        <v>43164</v>
      </c>
      <c r="G20" s="182">
        <v>43165</v>
      </c>
      <c r="H20" s="180" t="s">
        <v>1819</v>
      </c>
      <c r="I20" s="183" t="s">
        <v>486</v>
      </c>
      <c r="J20" s="180" t="s">
        <v>1820</v>
      </c>
      <c r="K20" s="184">
        <v>500000</v>
      </c>
      <c r="L20" s="184">
        <v>162.82499999999999</v>
      </c>
      <c r="M20" s="184">
        <v>1.6562868956000001</v>
      </c>
      <c r="N20" s="184">
        <v>-816203.72928176995</v>
      </c>
      <c r="O20" s="180" t="s">
        <v>998</v>
      </c>
      <c r="P20" s="180" t="s">
        <v>1821</v>
      </c>
      <c r="Q20" s="180" t="s">
        <v>532</v>
      </c>
      <c r="R20" s="180" t="s">
        <v>533</v>
      </c>
      <c r="S20" s="181"/>
      <c r="T20" s="181"/>
      <c r="U20" s="181"/>
      <c r="V20" s="181"/>
      <c r="W20" s="180" t="s">
        <v>1001</v>
      </c>
      <c r="X20" s="180" t="s">
        <v>1823</v>
      </c>
      <c r="Y20" s="180" t="s">
        <v>22</v>
      </c>
      <c r="Z20" s="180"/>
      <c r="AA20" s="181"/>
      <c r="AB20" s="180" t="s">
        <v>512</v>
      </c>
      <c r="AC20" s="181"/>
      <c r="AD20" s="181"/>
      <c r="AE20" s="182">
        <v>43164.248761574076</v>
      </c>
      <c r="AF20" s="182">
        <v>43164.248819444445</v>
      </c>
      <c r="AG20" s="181"/>
      <c r="AH20" s="181"/>
      <c r="AI20" s="184">
        <v>1</v>
      </c>
    </row>
    <row r="21" spans="1:35" x14ac:dyDescent="0.25">
      <c r="A21" s="180" t="s">
        <v>461</v>
      </c>
      <c r="B21" s="180" t="s">
        <v>1839</v>
      </c>
      <c r="C21" s="181"/>
      <c r="D21" s="180" t="s">
        <v>566</v>
      </c>
      <c r="E21" s="180" t="s">
        <v>708</v>
      </c>
      <c r="F21" s="182">
        <v>43164</v>
      </c>
      <c r="G21" s="182">
        <v>43166</v>
      </c>
      <c r="H21" s="180" t="s">
        <v>1840</v>
      </c>
      <c r="I21" s="185" t="s">
        <v>466</v>
      </c>
      <c r="J21" s="180" t="s">
        <v>1841</v>
      </c>
      <c r="K21" s="184">
        <v>50000000</v>
      </c>
      <c r="L21" s="184">
        <v>107.425</v>
      </c>
      <c r="M21" s="184">
        <v>-0.1448786014</v>
      </c>
      <c r="N21" s="184">
        <v>54090582.19178082</v>
      </c>
      <c r="O21" s="180" t="s">
        <v>386</v>
      </c>
      <c r="P21" s="180" t="s">
        <v>1842</v>
      </c>
      <c r="Q21" s="180" t="s">
        <v>532</v>
      </c>
      <c r="R21" s="180" t="s">
        <v>129</v>
      </c>
      <c r="S21" s="180" t="s">
        <v>1843</v>
      </c>
      <c r="T21" s="180" t="s">
        <v>132</v>
      </c>
      <c r="U21" s="181"/>
      <c r="V21" s="181"/>
      <c r="W21" s="180" t="s">
        <v>575</v>
      </c>
      <c r="X21" s="180" t="s">
        <v>712</v>
      </c>
      <c r="Y21" s="180" t="s">
        <v>532</v>
      </c>
      <c r="Z21" s="180"/>
      <c r="AA21" s="180" t="s">
        <v>1844</v>
      </c>
      <c r="AB21" s="180" t="s">
        <v>1759</v>
      </c>
      <c r="AC21" s="182">
        <v>43164.486863425926</v>
      </c>
      <c r="AD21" s="180" t="s">
        <v>1843</v>
      </c>
      <c r="AE21" s="182">
        <v>43164.484467592592</v>
      </c>
      <c r="AF21" s="182">
        <v>43164.484525462962</v>
      </c>
      <c r="AG21" s="181"/>
      <c r="AH21" s="181"/>
      <c r="AI21" s="184">
        <v>1</v>
      </c>
    </row>
    <row r="22" spans="1:35" x14ac:dyDescent="0.25">
      <c r="A22" s="180" t="s">
        <v>461</v>
      </c>
      <c r="B22" s="180" t="s">
        <v>1845</v>
      </c>
      <c r="C22" s="181"/>
      <c r="D22" s="180" t="s">
        <v>566</v>
      </c>
      <c r="E22" s="180" t="s">
        <v>708</v>
      </c>
      <c r="F22" s="182">
        <v>43164</v>
      </c>
      <c r="G22" s="182">
        <v>43166</v>
      </c>
      <c r="H22" s="180" t="s">
        <v>1840</v>
      </c>
      <c r="I22" s="185" t="s">
        <v>466</v>
      </c>
      <c r="J22" s="180" t="s">
        <v>1841</v>
      </c>
      <c r="K22" s="184">
        <v>50000000</v>
      </c>
      <c r="L22" s="184">
        <v>107.425</v>
      </c>
      <c r="M22" s="184">
        <v>-0.1448786014</v>
      </c>
      <c r="N22" s="184">
        <v>54090582.19178082</v>
      </c>
      <c r="O22" s="180" t="s">
        <v>386</v>
      </c>
      <c r="P22" s="180" t="s">
        <v>1842</v>
      </c>
      <c r="Q22" s="180" t="s">
        <v>532</v>
      </c>
      <c r="R22" s="180" t="s">
        <v>129</v>
      </c>
      <c r="S22" s="180" t="s">
        <v>1846</v>
      </c>
      <c r="T22" s="180" t="s">
        <v>132</v>
      </c>
      <c r="U22" s="181"/>
      <c r="V22" s="181"/>
      <c r="W22" s="180" t="s">
        <v>575</v>
      </c>
      <c r="X22" s="180" t="s">
        <v>712</v>
      </c>
      <c r="Y22" s="180" t="s">
        <v>532</v>
      </c>
      <c r="Z22" s="180"/>
      <c r="AA22" s="180" t="s">
        <v>1844</v>
      </c>
      <c r="AB22" s="180" t="s">
        <v>1759</v>
      </c>
      <c r="AC22" s="182">
        <v>43164.486863425926</v>
      </c>
      <c r="AD22" s="180" t="s">
        <v>1846</v>
      </c>
      <c r="AE22" s="182">
        <v>43164.484606481485</v>
      </c>
      <c r="AF22" s="182">
        <v>43164.484710648147</v>
      </c>
      <c r="AG22" s="181"/>
      <c r="AH22" s="181"/>
      <c r="AI22" s="184">
        <v>1</v>
      </c>
    </row>
    <row r="23" spans="1:35" x14ac:dyDescent="0.25">
      <c r="A23" s="180" t="s">
        <v>461</v>
      </c>
      <c r="B23" s="180" t="s">
        <v>1869</v>
      </c>
      <c r="C23" s="181"/>
      <c r="D23" s="180" t="s">
        <v>478</v>
      </c>
      <c r="E23" s="180" t="s">
        <v>768</v>
      </c>
      <c r="F23" s="182">
        <v>43164</v>
      </c>
      <c r="G23" s="182">
        <v>43165</v>
      </c>
      <c r="H23" s="180" t="s">
        <v>1863</v>
      </c>
      <c r="I23" s="183" t="s">
        <v>486</v>
      </c>
      <c r="J23" s="180" t="s">
        <v>543</v>
      </c>
      <c r="K23" s="184">
        <v>3000000</v>
      </c>
      <c r="L23" s="184">
        <v>91.96875</v>
      </c>
      <c r="M23" s="184">
        <v>3.1692644617000001</v>
      </c>
      <c r="N23" s="184">
        <v>-2784359.46132597</v>
      </c>
      <c r="O23" s="180" t="s">
        <v>337</v>
      </c>
      <c r="P23" s="180" t="s">
        <v>544</v>
      </c>
      <c r="Q23" s="180" t="s">
        <v>532</v>
      </c>
      <c r="R23" s="180" t="s">
        <v>130</v>
      </c>
      <c r="S23" s="181"/>
      <c r="T23" s="181"/>
      <c r="U23" s="181"/>
      <c r="V23" s="181"/>
      <c r="W23" s="180" t="s">
        <v>469</v>
      </c>
      <c r="X23" s="180" t="s">
        <v>770</v>
      </c>
      <c r="Y23" s="180" t="s">
        <v>532</v>
      </c>
      <c r="Z23" s="180"/>
      <c r="AA23" s="181"/>
      <c r="AB23" s="180" t="s">
        <v>512</v>
      </c>
      <c r="AC23" s="181"/>
      <c r="AD23" s="181"/>
      <c r="AE23" s="182">
        <v>43164.620925925927</v>
      </c>
      <c r="AF23" s="182">
        <v>43164.620983796296</v>
      </c>
      <c r="AG23" s="181"/>
      <c r="AH23" s="181"/>
      <c r="AI23" s="184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32"/>
  <sheetViews>
    <sheetView workbookViewId="0">
      <selection sqref="A1:A32"/>
    </sheetView>
  </sheetViews>
  <sheetFormatPr defaultRowHeight="15" x14ac:dyDescent="0.25"/>
  <sheetData>
    <row r="1" spans="1:1" x14ac:dyDescent="0.25">
      <c r="A1" s="3" t="s">
        <v>115</v>
      </c>
    </row>
    <row r="2" spans="1:1" x14ac:dyDescent="0.25">
      <c r="A2" s="3" t="s">
        <v>116</v>
      </c>
    </row>
    <row r="3" spans="1:1" x14ac:dyDescent="0.25">
      <c r="A3" s="3" t="s">
        <v>117</v>
      </c>
    </row>
    <row r="4" spans="1:1" x14ac:dyDescent="0.25">
      <c r="A4" s="3" t="s">
        <v>118</v>
      </c>
    </row>
    <row r="5" spans="1:1" x14ac:dyDescent="0.25">
      <c r="A5" s="3" t="s">
        <v>119</v>
      </c>
    </row>
    <row r="6" spans="1:1" x14ac:dyDescent="0.25">
      <c r="A6" s="3" t="s">
        <v>47</v>
      </c>
    </row>
    <row r="7" spans="1:1" x14ac:dyDescent="0.25">
      <c r="A7" s="3" t="s">
        <v>2019</v>
      </c>
    </row>
    <row r="8" spans="1:1" x14ac:dyDescent="0.25">
      <c r="A8" s="3" t="s">
        <v>120</v>
      </c>
    </row>
    <row r="9" spans="1:1" x14ac:dyDescent="0.25">
      <c r="A9" s="3" t="s">
        <v>121</v>
      </c>
    </row>
    <row r="10" spans="1:1" x14ac:dyDescent="0.25">
      <c r="A10" s="3" t="s">
        <v>122</v>
      </c>
    </row>
    <row r="11" spans="1:1" x14ac:dyDescent="0.25">
      <c r="A11" s="3" t="s">
        <v>123</v>
      </c>
    </row>
    <row r="12" spans="1:1" x14ac:dyDescent="0.25">
      <c r="A12" s="3" t="s">
        <v>124</v>
      </c>
    </row>
    <row r="13" spans="1:1" x14ac:dyDescent="0.25">
      <c r="A13" s="3" t="s">
        <v>125</v>
      </c>
    </row>
    <row r="14" spans="1:1" x14ac:dyDescent="0.25">
      <c r="A14" s="3" t="s">
        <v>126</v>
      </c>
    </row>
    <row r="15" spans="1:1" x14ac:dyDescent="0.25">
      <c r="A15" s="3" t="s">
        <v>288</v>
      </c>
    </row>
    <row r="16" spans="1:1" x14ac:dyDescent="0.25">
      <c r="A16" s="3" t="s">
        <v>275</v>
      </c>
    </row>
    <row r="17" spans="1:1" x14ac:dyDescent="0.25">
      <c r="A17" s="3" t="s">
        <v>2020</v>
      </c>
    </row>
    <row r="18" spans="1:1" x14ac:dyDescent="0.25">
      <c r="A18" s="3" t="s">
        <v>277</v>
      </c>
    </row>
    <row r="19" spans="1:1" x14ac:dyDescent="0.25">
      <c r="A19" s="3" t="s">
        <v>278</v>
      </c>
    </row>
    <row r="20" spans="1:1" x14ac:dyDescent="0.25">
      <c r="A20" s="3" t="s">
        <v>20</v>
      </c>
    </row>
    <row r="21" spans="1:1" x14ac:dyDescent="0.25">
      <c r="A21" s="3" t="s">
        <v>279</v>
      </c>
    </row>
    <row r="22" spans="1:1" x14ac:dyDescent="0.25">
      <c r="A22" s="3" t="s">
        <v>280</v>
      </c>
    </row>
    <row r="23" spans="1:1" x14ac:dyDescent="0.25">
      <c r="A23" s="3" t="s">
        <v>281</v>
      </c>
    </row>
    <row r="24" spans="1:1" x14ac:dyDescent="0.25">
      <c r="A24" s="3" t="s">
        <v>21</v>
      </c>
    </row>
    <row r="25" spans="1:1" x14ac:dyDescent="0.25">
      <c r="A25" s="3" t="s">
        <v>282</v>
      </c>
    </row>
    <row r="26" spans="1:1" x14ac:dyDescent="0.25">
      <c r="A26" s="3" t="s">
        <v>283</v>
      </c>
    </row>
    <row r="27" spans="1:1" x14ac:dyDescent="0.25">
      <c r="A27" s="3" t="s">
        <v>284</v>
      </c>
    </row>
    <row r="28" spans="1:1" x14ac:dyDescent="0.25">
      <c r="A28" s="3" t="s">
        <v>285</v>
      </c>
    </row>
    <row r="29" spans="1:1" x14ac:dyDescent="0.25">
      <c r="A29" s="3" t="s">
        <v>286</v>
      </c>
    </row>
    <row r="30" spans="1:1" x14ac:dyDescent="0.25">
      <c r="A30" s="3" t="s">
        <v>287</v>
      </c>
    </row>
    <row r="31" spans="1:1" x14ac:dyDescent="0.25">
      <c r="A31" s="3" t="s">
        <v>127</v>
      </c>
    </row>
    <row r="32" spans="1:1" x14ac:dyDescent="0.25">
      <c r="A32" s="3" t="s">
        <v>290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Steps</vt:lpstr>
      <vt:lpstr>Macro</vt:lpstr>
      <vt:lpstr>Mapping</vt:lpstr>
      <vt:lpstr>DeleteStrikeThroughValues</vt:lpstr>
      <vt:lpstr>Processed Data</vt:lpstr>
      <vt:lpstr>Mail</vt:lpstr>
      <vt:lpstr>PIVOT</vt:lpstr>
      <vt:lpstr>EOD Report</vt:lpstr>
      <vt:lpstr>Outstanding Trades</vt:lpstr>
      <vt:lpstr>Brokers Alleged Trades</vt:lpstr>
      <vt:lpstr>OutPut</vt:lpstr>
      <vt:lpstr>EOD Template</vt:lpstr>
      <vt:lpstr>Strikeout_Deleted</vt:lpstr>
      <vt:lpstr>Sheet1</vt:lpstr>
    </vt:vector>
  </TitlesOfParts>
  <Company>Millennium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Swapnil Kulkarni</cp:lastModifiedBy>
  <cp:lastPrinted>2016-08-26T13:51:32Z</cp:lastPrinted>
  <dcterms:created xsi:type="dcterms:W3CDTF">2016-07-05T11:31:27Z</dcterms:created>
  <dcterms:modified xsi:type="dcterms:W3CDTF">2018-03-22T04:55:57Z</dcterms:modified>
</cp:coreProperties>
</file>